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ec0edc09a2fcc/Documents/GitHub/kek-sentence-generator/data/templates/"/>
    </mc:Choice>
  </mc:AlternateContent>
  <xr:revisionPtr revIDLastSave="4670" documentId="8_{A7898B93-5F1D-4587-8BE5-7D1111BCAE4F}" xr6:coauthVersionLast="47" xr6:coauthVersionMax="47" xr10:uidLastSave="{97940210-9793-460C-90B3-D8B5546FD49F}"/>
  <bookViews>
    <workbookView xWindow="-98" yWindow="-98" windowWidth="21795" windowHeight="12975" xr2:uid="{061E6C15-3E10-456A-8047-B042217918D7}"/>
  </bookViews>
  <sheets>
    <sheet name="kek_templates" sheetId="7" r:id="rId1"/>
    <sheet name="full_list" sheetId="1" r:id="rId2"/>
    <sheet name="Sheet1" sheetId="10" r:id="rId3"/>
    <sheet name="Config" sheetId="9" r:id="rId4"/>
    <sheet name="Medical" sheetId="3" r:id="rId5"/>
  </sheets>
  <definedNames>
    <definedName name="_xlnm._FilterDatabase" localSheetId="1" hidden="1">full_list!$A$1:$S$686</definedName>
    <definedName name="_xlnm._FilterDatabase" localSheetId="0" hidden="1">kek_templates!$A$1:$S$546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85" i="1" l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1" i="1"/>
  <c r="P652" i="1"/>
  <c r="P653" i="1"/>
  <c r="P654" i="1"/>
  <c r="P655" i="1"/>
  <c r="P656" i="1"/>
  <c r="P635" i="1"/>
  <c r="P636" i="1"/>
  <c r="P637" i="1"/>
  <c r="P638" i="1"/>
  <c r="P647" i="1"/>
  <c r="P648" i="1"/>
  <c r="P649" i="1"/>
  <c r="P650" i="1"/>
  <c r="P3" i="1"/>
  <c r="P4" i="1"/>
  <c r="P386" i="1"/>
  <c r="P387" i="1"/>
  <c r="P354" i="1"/>
  <c r="P2" i="1"/>
  <c r="P353" i="1"/>
  <c r="P350" i="1"/>
  <c r="P565" i="1"/>
  <c r="P568" i="1"/>
  <c r="P571" i="1"/>
  <c r="P391" i="1"/>
  <c r="P389" i="1"/>
  <c r="P390" i="1"/>
  <c r="P388" i="1"/>
  <c r="P7" i="1"/>
  <c r="P15" i="1"/>
  <c r="P392" i="1"/>
  <c r="P393" i="1"/>
  <c r="P356" i="1"/>
  <c r="P6" i="1"/>
  <c r="P352" i="1"/>
  <c r="P351" i="1"/>
  <c r="P566" i="1"/>
  <c r="P569" i="1"/>
  <c r="P641" i="1"/>
  <c r="P642" i="1"/>
  <c r="P643" i="1"/>
  <c r="P644" i="1"/>
  <c r="P645" i="1"/>
  <c r="P646" i="1"/>
  <c r="P639" i="1"/>
  <c r="P640" i="1"/>
  <c r="P345" i="1"/>
  <c r="P348" i="1"/>
  <c r="P305" i="1"/>
  <c r="P341" i="1"/>
  <c r="P336" i="1"/>
  <c r="P335" i="1"/>
  <c r="P503" i="1"/>
  <c r="P379" i="1"/>
  <c r="P347" i="1"/>
  <c r="P346" i="1"/>
  <c r="P344" i="1"/>
  <c r="P343" i="1"/>
  <c r="P342" i="1"/>
  <c r="P297" i="1"/>
  <c r="P304" i="1"/>
  <c r="P303" i="1"/>
  <c r="P300" i="1"/>
  <c r="P302" i="1"/>
  <c r="P301" i="1"/>
  <c r="P502" i="1"/>
  <c r="P340" i="1"/>
  <c r="P337" i="1"/>
  <c r="P339" i="1"/>
  <c r="P338" i="1"/>
  <c r="P377" i="1"/>
  <c r="P295" i="1"/>
  <c r="P334" i="1"/>
  <c r="P333" i="1"/>
  <c r="P522" i="1"/>
  <c r="P521" i="1"/>
  <c r="P520" i="1"/>
  <c r="P329" i="1"/>
  <c r="P332" i="1"/>
  <c r="P331" i="1"/>
  <c r="P330" i="1"/>
  <c r="P519" i="1"/>
  <c r="P518" i="1"/>
  <c r="P517" i="1"/>
  <c r="P318" i="1"/>
  <c r="P321" i="1"/>
  <c r="P320" i="1"/>
  <c r="P319" i="1"/>
  <c r="P516" i="1"/>
  <c r="P515" i="1"/>
  <c r="P514" i="1"/>
  <c r="P513" i="1"/>
  <c r="P313" i="1"/>
  <c r="P312" i="1"/>
  <c r="P311" i="1"/>
  <c r="P310" i="1"/>
  <c r="P328" i="1"/>
  <c r="P327" i="1"/>
  <c r="P326" i="1"/>
  <c r="P512" i="1"/>
  <c r="P511" i="1"/>
  <c r="P510" i="1"/>
  <c r="P325" i="1"/>
  <c r="P324" i="1"/>
  <c r="P323" i="1"/>
  <c r="P322" i="1"/>
  <c r="P509" i="1"/>
  <c r="P508" i="1"/>
  <c r="P507" i="1"/>
  <c r="P314" i="1"/>
  <c r="P317" i="1"/>
  <c r="P316" i="1"/>
  <c r="P315" i="1"/>
  <c r="P506" i="1"/>
  <c r="P505" i="1"/>
  <c r="P504" i="1"/>
  <c r="P306" i="1"/>
  <c r="P309" i="1"/>
  <c r="P308" i="1"/>
  <c r="P307" i="1"/>
  <c r="P299" i="1"/>
  <c r="P298" i="1"/>
  <c r="P501" i="1"/>
  <c r="P375" i="1"/>
  <c r="P293" i="1"/>
  <c r="P500" i="1"/>
  <c r="P378" i="1"/>
  <c r="P296" i="1"/>
  <c r="P499" i="1"/>
  <c r="P376" i="1"/>
  <c r="P294" i="1"/>
  <c r="P498" i="1"/>
  <c r="P374" i="1"/>
  <c r="P292" i="1"/>
  <c r="P217" i="1"/>
  <c r="P264" i="1"/>
  <c r="P253" i="1"/>
  <c r="P252" i="1"/>
  <c r="P251" i="1"/>
  <c r="P250" i="1"/>
  <c r="P291" i="1"/>
  <c r="P290" i="1"/>
  <c r="P287" i="1"/>
  <c r="P286" i="1"/>
  <c r="P283" i="1"/>
  <c r="P282" i="1"/>
  <c r="P289" i="1"/>
  <c r="P288" i="1"/>
  <c r="P285" i="1"/>
  <c r="P284" i="1"/>
  <c r="P281" i="1"/>
  <c r="P280" i="1"/>
  <c r="P279" i="1"/>
  <c r="P497" i="1"/>
  <c r="P496" i="1"/>
  <c r="P278" i="1"/>
  <c r="P277" i="1"/>
  <c r="P495" i="1"/>
  <c r="P494" i="1"/>
  <c r="P272" i="1"/>
  <c r="P271" i="1"/>
  <c r="P493" i="1"/>
  <c r="P492" i="1"/>
  <c r="P268" i="1"/>
  <c r="P267" i="1"/>
  <c r="P276" i="1"/>
  <c r="P275" i="1"/>
  <c r="P491" i="1"/>
  <c r="P490" i="1"/>
  <c r="P274" i="1"/>
  <c r="P273" i="1"/>
  <c r="P489" i="1"/>
  <c r="P488" i="1"/>
  <c r="P270" i="1"/>
  <c r="P269" i="1"/>
  <c r="P487" i="1"/>
  <c r="P486" i="1"/>
  <c r="P266" i="1"/>
  <c r="P265" i="1"/>
  <c r="P196" i="1"/>
  <c r="P216" i="1"/>
  <c r="P215" i="1"/>
  <c r="P212" i="1"/>
  <c r="P211" i="1"/>
  <c r="P208" i="1"/>
  <c r="P214" i="1"/>
  <c r="P213" i="1"/>
  <c r="P210" i="1"/>
  <c r="P209" i="1"/>
  <c r="P195" i="1"/>
  <c r="P263" i="1"/>
  <c r="P262" i="1"/>
  <c r="P257" i="1"/>
  <c r="P259" i="1"/>
  <c r="P258" i="1"/>
  <c r="P254" i="1"/>
  <c r="P261" i="1"/>
  <c r="P260" i="1"/>
  <c r="P256" i="1"/>
  <c r="P255" i="1"/>
  <c r="P194" i="1"/>
  <c r="P107" i="1"/>
  <c r="P549" i="1"/>
  <c r="P548" i="1"/>
  <c r="P249" i="1"/>
  <c r="P248" i="1"/>
  <c r="P247" i="1"/>
  <c r="P242" i="1"/>
  <c r="P241" i="1"/>
  <c r="P240" i="1"/>
  <c r="P239" i="1"/>
  <c r="P244" i="1"/>
  <c r="P243" i="1"/>
  <c r="P485" i="1"/>
  <c r="P484" i="1"/>
  <c r="P238" i="1"/>
  <c r="P237" i="1"/>
  <c r="P483" i="1"/>
  <c r="P482" i="1"/>
  <c r="P225" i="1"/>
  <c r="P224" i="1"/>
  <c r="P481" i="1"/>
  <c r="P480" i="1"/>
  <c r="P221" i="1"/>
  <c r="P220" i="1"/>
  <c r="P246" i="1"/>
  <c r="P245" i="1"/>
  <c r="P236" i="1"/>
  <c r="P235" i="1"/>
  <c r="P234" i="1"/>
  <c r="P233" i="1"/>
  <c r="P232" i="1"/>
  <c r="P231" i="1"/>
  <c r="P228" i="1"/>
  <c r="P230" i="1"/>
  <c r="P229" i="1"/>
  <c r="P479" i="1"/>
  <c r="P478" i="1"/>
  <c r="P227" i="1"/>
  <c r="P226" i="1"/>
  <c r="P477" i="1"/>
  <c r="P476" i="1"/>
  <c r="P223" i="1"/>
  <c r="P222" i="1"/>
  <c r="P475" i="1"/>
  <c r="P474" i="1"/>
  <c r="P219" i="1"/>
  <c r="P218" i="1"/>
  <c r="P207" i="1"/>
  <c r="P206" i="1"/>
  <c r="P205" i="1"/>
  <c r="P473" i="1"/>
  <c r="P204" i="1"/>
  <c r="P472" i="1"/>
  <c r="P200" i="1"/>
  <c r="P471" i="1"/>
  <c r="P198" i="1"/>
  <c r="P202" i="1"/>
  <c r="P203" i="1"/>
  <c r="P470" i="1"/>
  <c r="P201" i="1"/>
  <c r="P469" i="1"/>
  <c r="P199" i="1"/>
  <c r="P468" i="1"/>
  <c r="P197" i="1"/>
  <c r="P547" i="1"/>
  <c r="P106" i="1"/>
  <c r="P546" i="1"/>
  <c r="P193" i="1"/>
  <c r="P192" i="1"/>
  <c r="P191" i="1"/>
  <c r="P545" i="1"/>
  <c r="P543" i="1"/>
  <c r="P104" i="1"/>
  <c r="P105" i="1"/>
  <c r="P97" i="1"/>
  <c r="P98" i="1"/>
  <c r="P93" i="1"/>
  <c r="P94" i="1"/>
  <c r="P102" i="1"/>
  <c r="P103" i="1"/>
  <c r="P99" i="1"/>
  <c r="P100" i="1"/>
  <c r="P101" i="1"/>
  <c r="P95" i="1"/>
  <c r="P96" i="1"/>
  <c r="P91" i="1"/>
  <c r="P92" i="1"/>
  <c r="P90" i="1"/>
  <c r="P89" i="1"/>
  <c r="P88" i="1"/>
  <c r="P87" i="1"/>
  <c r="P437" i="1"/>
  <c r="P85" i="1"/>
  <c r="P436" i="1"/>
  <c r="P86" i="1"/>
  <c r="P435" i="1"/>
  <c r="P77" i="1"/>
  <c r="P434" i="1"/>
  <c r="P78" i="1"/>
  <c r="P433" i="1"/>
  <c r="P73" i="1"/>
  <c r="P432" i="1"/>
  <c r="P74" i="1"/>
  <c r="P83" i="1"/>
  <c r="P84" i="1"/>
  <c r="P431" i="1"/>
  <c r="P430" i="1"/>
  <c r="P80" i="1"/>
  <c r="P79" i="1"/>
  <c r="P81" i="1"/>
  <c r="P82" i="1"/>
  <c r="P429" i="1"/>
  <c r="P75" i="1"/>
  <c r="P428" i="1"/>
  <c r="P76" i="1"/>
  <c r="P427" i="1"/>
  <c r="P71" i="1"/>
  <c r="P426" i="1"/>
  <c r="P72" i="1"/>
  <c r="P190" i="1"/>
  <c r="P467" i="1"/>
  <c r="P189" i="1"/>
  <c r="P466" i="1"/>
  <c r="P185" i="1"/>
  <c r="P465" i="1"/>
  <c r="P183" i="1"/>
  <c r="P188" i="1"/>
  <c r="P464" i="1"/>
  <c r="P187" i="1"/>
  <c r="P186" i="1"/>
  <c r="P463" i="1"/>
  <c r="P184" i="1"/>
  <c r="P462" i="1"/>
  <c r="P182" i="1"/>
  <c r="P181" i="1"/>
  <c r="P180" i="1"/>
  <c r="P179" i="1"/>
  <c r="P178" i="1"/>
  <c r="P176" i="1"/>
  <c r="P177" i="1"/>
  <c r="P172" i="1"/>
  <c r="P173" i="1"/>
  <c r="P461" i="1"/>
  <c r="P170" i="1"/>
  <c r="P460" i="1"/>
  <c r="P171" i="1"/>
  <c r="P459" i="1"/>
  <c r="P162" i="1"/>
  <c r="P458" i="1"/>
  <c r="P163" i="1"/>
  <c r="P457" i="1"/>
  <c r="P158" i="1"/>
  <c r="P456" i="1"/>
  <c r="P159" i="1"/>
  <c r="P168" i="1"/>
  <c r="P169" i="1"/>
  <c r="P455" i="1"/>
  <c r="P165" i="1"/>
  <c r="P164" i="1"/>
  <c r="P454" i="1"/>
  <c r="P166" i="1"/>
  <c r="P167" i="1"/>
  <c r="P453" i="1"/>
  <c r="P160" i="1"/>
  <c r="P452" i="1"/>
  <c r="P161" i="1"/>
  <c r="P451" i="1"/>
  <c r="P156" i="1"/>
  <c r="P450" i="1"/>
  <c r="P157" i="1"/>
  <c r="P155" i="1"/>
  <c r="P154" i="1"/>
  <c r="P153" i="1"/>
  <c r="P151" i="1"/>
  <c r="P150" i="1"/>
  <c r="P449" i="1"/>
  <c r="P149" i="1"/>
  <c r="P448" i="1"/>
  <c r="P144" i="1"/>
  <c r="P447" i="1"/>
  <c r="P142" i="1"/>
  <c r="P148" i="1"/>
  <c r="P147" i="1"/>
  <c r="P441" i="1"/>
  <c r="P446" i="1"/>
  <c r="P146" i="1"/>
  <c r="P145" i="1"/>
  <c r="P442" i="1"/>
  <c r="P445" i="1"/>
  <c r="P143" i="1"/>
  <c r="P443" i="1"/>
  <c r="P444" i="1"/>
  <c r="P141" i="1"/>
  <c r="P140" i="1"/>
  <c r="P139" i="1"/>
  <c r="P138" i="1"/>
  <c r="P137" i="1"/>
  <c r="P136" i="1"/>
  <c r="P135" i="1"/>
  <c r="P134" i="1"/>
  <c r="P133" i="1"/>
  <c r="P131" i="1"/>
  <c r="P132" i="1"/>
  <c r="P130" i="1"/>
  <c r="P128" i="1"/>
  <c r="P129" i="1"/>
  <c r="P127" i="1"/>
  <c r="P124" i="1"/>
  <c r="P123" i="1"/>
  <c r="P126" i="1"/>
  <c r="P125" i="1"/>
  <c r="P119" i="1"/>
  <c r="P121" i="1"/>
  <c r="P120" i="1"/>
  <c r="P118" i="1"/>
  <c r="P385" i="1"/>
  <c r="P111" i="1"/>
  <c r="P122" i="1"/>
  <c r="P109" i="1"/>
  <c r="P116" i="1"/>
  <c r="P117" i="1"/>
  <c r="P114" i="1"/>
  <c r="P115" i="1"/>
  <c r="P112" i="1"/>
  <c r="P113" i="1"/>
  <c r="P384" i="1"/>
  <c r="P110" i="1"/>
  <c r="P383" i="1"/>
  <c r="P108" i="1"/>
  <c r="P373" i="1"/>
  <c r="P439" i="1"/>
  <c r="P425" i="1"/>
  <c r="P424" i="1"/>
  <c r="P70" i="1"/>
  <c r="P423" i="1"/>
  <c r="P369" i="1"/>
  <c r="P68" i="1"/>
  <c r="P422" i="1"/>
  <c r="P367" i="1"/>
  <c r="P66" i="1"/>
  <c r="P372" i="1"/>
  <c r="P371" i="1"/>
  <c r="P421" i="1"/>
  <c r="P370" i="1"/>
  <c r="P69" i="1"/>
  <c r="P420" i="1"/>
  <c r="P368" i="1"/>
  <c r="P67" i="1"/>
  <c r="P419" i="1"/>
  <c r="P366" i="1"/>
  <c r="P65" i="1"/>
  <c r="P64" i="1"/>
  <c r="P63" i="1"/>
  <c r="P62" i="1"/>
  <c r="P418" i="1"/>
  <c r="P365" i="1"/>
  <c r="P61" i="1"/>
  <c r="P417" i="1"/>
  <c r="P364" i="1"/>
  <c r="P55" i="1"/>
  <c r="P416" i="1"/>
  <c r="P362" i="1"/>
  <c r="P53" i="1"/>
  <c r="P59" i="1"/>
  <c r="P60" i="1"/>
  <c r="P58" i="1"/>
  <c r="P415" i="1"/>
  <c r="P56" i="1"/>
  <c r="P57" i="1"/>
  <c r="P414" i="1"/>
  <c r="P363" i="1"/>
  <c r="P54" i="1"/>
  <c r="P413" i="1"/>
  <c r="P361" i="1"/>
  <c r="P52" i="1"/>
  <c r="P51" i="1"/>
  <c r="P50" i="1"/>
  <c r="P49" i="1"/>
  <c r="P47" i="1"/>
  <c r="P48" i="1"/>
  <c r="P537" i="1"/>
  <c r="P531" i="1"/>
  <c r="P544" i="1"/>
  <c r="P525" i="1"/>
  <c r="P536" i="1"/>
  <c r="P530" i="1"/>
  <c r="P542" i="1"/>
  <c r="P524" i="1"/>
  <c r="P535" i="1"/>
  <c r="P529" i="1"/>
  <c r="P541" i="1"/>
  <c r="P523" i="1"/>
  <c r="P534" i="1"/>
  <c r="P528" i="1"/>
  <c r="P540" i="1"/>
  <c r="P174" i="1"/>
  <c r="P533" i="1"/>
  <c r="P527" i="1"/>
  <c r="P539" i="1"/>
  <c r="P175" i="1"/>
  <c r="P532" i="1"/>
  <c r="P526" i="1"/>
  <c r="P538" i="1"/>
  <c r="P152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0" i="1"/>
  <c r="P31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412" i="1"/>
  <c r="P359" i="1"/>
  <c r="P411" i="1"/>
  <c r="P410" i="1"/>
  <c r="P16" i="1"/>
  <c r="P440" i="1"/>
  <c r="P409" i="1"/>
  <c r="P357" i="1"/>
  <c r="P408" i="1"/>
  <c r="P407" i="1"/>
  <c r="P9" i="1"/>
  <c r="P382" i="1"/>
  <c r="P406" i="1"/>
  <c r="P355" i="1"/>
  <c r="P405" i="1"/>
  <c r="P404" i="1"/>
  <c r="P5" i="1"/>
  <c r="P381" i="1"/>
  <c r="P349" i="1"/>
  <c r="P14" i="1"/>
  <c r="P12" i="1"/>
  <c r="P360" i="1"/>
  <c r="P13" i="1"/>
  <c r="P400" i="1"/>
  <c r="P402" i="1"/>
  <c r="P401" i="1"/>
  <c r="P403" i="1"/>
  <c r="P438" i="1"/>
  <c r="P10" i="1"/>
  <c r="P8" i="1"/>
  <c r="P358" i="1"/>
  <c r="P399" i="1"/>
  <c r="P398" i="1"/>
  <c r="P11" i="1"/>
  <c r="P380" i="1"/>
  <c r="P394" i="1"/>
  <c r="P396" i="1"/>
  <c r="P395" i="1"/>
  <c r="P397" i="1"/>
  <c r="Q390" i="1"/>
  <c r="Q389" i="1"/>
  <c r="Q353" i="1"/>
  <c r="Q2" i="1"/>
  <c r="B15" i="9" l="1"/>
  <c r="B14" i="9"/>
  <c r="B13" i="9"/>
  <c r="B12" i="9"/>
  <c r="B11" i="9"/>
  <c r="B4" i="9"/>
  <c r="B7" i="9"/>
  <c r="B6" i="9"/>
  <c r="B5" i="9"/>
  <c r="B10" i="9"/>
  <c r="B9" i="9"/>
  <c r="B8" i="9"/>
  <c r="B3" i="9"/>
  <c r="B2" i="9"/>
  <c r="B18" i="9" l="1"/>
  <c r="B19" i="9" s="1"/>
  <c r="R674" i="1" l="1"/>
  <c r="R681" i="1"/>
  <c r="R677" i="1"/>
  <c r="R675" i="1"/>
  <c r="R676" i="1"/>
  <c r="R678" i="1"/>
  <c r="R682" i="1"/>
  <c r="R683" i="1"/>
  <c r="R684" i="1"/>
  <c r="R679" i="1"/>
  <c r="R685" i="1"/>
  <c r="R680" i="1"/>
  <c r="R666" i="1"/>
  <c r="R659" i="1"/>
  <c r="R658" i="1"/>
  <c r="R657" i="1"/>
  <c r="R665" i="1"/>
  <c r="R672" i="1"/>
  <c r="R671" i="1"/>
  <c r="R664" i="1"/>
  <c r="R663" i="1"/>
  <c r="R670" i="1"/>
  <c r="R669" i="1"/>
  <c r="R662" i="1"/>
  <c r="R661" i="1"/>
  <c r="R668" i="1"/>
  <c r="R660" i="1"/>
  <c r="R667" i="1"/>
  <c r="R673" i="1"/>
  <c r="R656" i="1"/>
  <c r="R651" i="1"/>
  <c r="R654" i="1"/>
  <c r="R653" i="1"/>
  <c r="R652" i="1"/>
  <c r="R655" i="1"/>
  <c r="R649" i="1"/>
  <c r="R647" i="1"/>
  <c r="R648" i="1"/>
  <c r="R638" i="1"/>
  <c r="R637" i="1"/>
  <c r="R636" i="1"/>
  <c r="R650" i="1"/>
  <c r="R635" i="1"/>
  <c r="R639" i="1"/>
  <c r="R640" i="1"/>
  <c r="R641" i="1"/>
  <c r="R642" i="1"/>
  <c r="R643" i="1"/>
  <c r="R644" i="1"/>
  <c r="R645" i="1"/>
  <c r="R646" i="1"/>
  <c r="R634" i="1"/>
  <c r="R624" i="1"/>
  <c r="R572" i="1"/>
  <c r="R558" i="1"/>
  <c r="R633" i="1"/>
  <c r="R623" i="1"/>
  <c r="R571" i="1"/>
  <c r="R557" i="1"/>
  <c r="R632" i="1"/>
  <c r="R622" i="1"/>
  <c r="R570" i="1"/>
  <c r="R556" i="1"/>
  <c r="R631" i="1"/>
  <c r="R621" i="1"/>
  <c r="R569" i="1"/>
  <c r="R555" i="1"/>
  <c r="R630" i="1"/>
  <c r="R620" i="1"/>
  <c r="R568" i="1"/>
  <c r="R554" i="1"/>
  <c r="R629" i="1"/>
  <c r="R619" i="1"/>
  <c r="R567" i="1"/>
  <c r="R553" i="1"/>
  <c r="R628" i="1"/>
  <c r="R618" i="1"/>
  <c r="R566" i="1"/>
  <c r="R552" i="1"/>
  <c r="R627" i="1"/>
  <c r="R617" i="1"/>
  <c r="R565" i="1"/>
  <c r="R551" i="1"/>
  <c r="R614" i="1"/>
  <c r="R616" i="1"/>
  <c r="R564" i="1"/>
  <c r="R550" i="1"/>
  <c r="R613" i="1"/>
  <c r="R615" i="1"/>
  <c r="R563" i="1"/>
  <c r="R612" i="1"/>
  <c r="R580" i="1"/>
  <c r="R562" i="1"/>
  <c r="R611" i="1"/>
  <c r="R578" i="1"/>
  <c r="R561" i="1"/>
  <c r="R626" i="1"/>
  <c r="R576" i="1"/>
  <c r="R560" i="1"/>
  <c r="R625" i="1"/>
  <c r="R574" i="1"/>
  <c r="R559" i="1"/>
  <c r="R485" i="1"/>
  <c r="R211" i="1"/>
  <c r="R523" i="1"/>
  <c r="R452" i="1"/>
  <c r="R362" i="1"/>
  <c r="R106" i="1"/>
  <c r="R377" i="1"/>
  <c r="R221" i="1"/>
  <c r="R451" i="1"/>
  <c r="R109" i="1"/>
  <c r="R524" i="1"/>
  <c r="R437" i="1"/>
  <c r="R328" i="1"/>
  <c r="R200" i="1"/>
  <c r="R394" i="1"/>
  <c r="R151" i="1"/>
  <c r="R265" i="1"/>
  <c r="R476" i="1"/>
  <c r="R481" i="1"/>
  <c r="R61" i="1"/>
  <c r="R469" i="1"/>
  <c r="R502" i="1"/>
  <c r="R519" i="1"/>
  <c r="R120" i="1"/>
  <c r="R482" i="1"/>
  <c r="R115" i="1"/>
  <c r="R542" i="1"/>
  <c r="R16" i="1"/>
  <c r="R461" i="1"/>
  <c r="R288" i="1"/>
  <c r="R531" i="1"/>
  <c r="R91" i="1"/>
  <c r="R514" i="1"/>
  <c r="R387" i="1"/>
  <c r="R63" i="1"/>
  <c r="R202" i="1"/>
  <c r="R303" i="1"/>
  <c r="R64" i="1"/>
  <c r="R198" i="1"/>
  <c r="R304" i="1"/>
  <c r="R543" i="1"/>
  <c r="R222" i="1"/>
  <c r="R422" i="1"/>
  <c r="R345" i="1"/>
  <c r="R254" i="1"/>
  <c r="R171" i="1"/>
  <c r="R280" i="1"/>
  <c r="R228" i="1"/>
  <c r="R146" i="1"/>
  <c r="R77" i="1"/>
  <c r="R40" i="1"/>
  <c r="R307" i="1"/>
  <c r="R203" i="1"/>
  <c r="R399" i="1"/>
  <c r="R489" i="1"/>
  <c r="R235" i="1"/>
  <c r="R297" i="1"/>
  <c r="R513" i="1"/>
  <c r="R356" i="1"/>
  <c r="R2" i="1"/>
  <c r="R541" i="1"/>
  <c r="R330" i="1"/>
  <c r="R39" i="1"/>
  <c r="R372" i="1"/>
  <c r="R5" i="1"/>
  <c r="R315" i="1"/>
  <c r="R123" i="1"/>
  <c r="R195" i="1"/>
  <c r="R434" i="1"/>
  <c r="R346" i="1"/>
  <c r="R459" i="1"/>
  <c r="R27" i="1"/>
  <c r="R95" i="1"/>
  <c r="R100" i="1"/>
  <c r="R274" i="1"/>
  <c r="R161" i="1"/>
  <c r="R179" i="1"/>
  <c r="R67" i="1"/>
  <c r="R204" i="1"/>
  <c r="R344" i="1"/>
  <c r="R240" i="1"/>
  <c r="R286" i="1"/>
  <c r="R128" i="1"/>
  <c r="R361" i="1"/>
  <c r="R94" i="1"/>
  <c r="R518" i="1"/>
  <c r="R256" i="1"/>
  <c r="R360" i="1"/>
  <c r="R454" i="1"/>
  <c r="R267" i="1"/>
  <c r="R214" i="1"/>
  <c r="R259" i="1"/>
  <c r="R421" i="1"/>
  <c r="R218" i="1"/>
  <c r="R335" i="1"/>
  <c r="R3" i="1"/>
  <c r="R134" i="1"/>
  <c r="R249" i="1"/>
  <c r="R176" i="1"/>
  <c r="R364" i="1"/>
  <c r="R26" i="1"/>
  <c r="R187" i="1"/>
  <c r="R292" i="1"/>
  <c r="R56" i="1"/>
  <c r="R520" i="1"/>
  <c r="R7" i="1"/>
  <c r="R367" i="1"/>
  <c r="R348" i="1"/>
  <c r="R223" i="1"/>
  <c r="R255" i="1"/>
  <c r="R281" i="1"/>
  <c r="R108" i="1"/>
  <c r="R10" i="1"/>
  <c r="R263" i="1"/>
  <c r="R132" i="1"/>
  <c r="R76" i="1"/>
  <c r="R62" i="1"/>
  <c r="R300" i="1"/>
  <c r="R113" i="1"/>
  <c r="R112" i="1"/>
  <c r="R492" i="1"/>
  <c r="R384" i="1"/>
  <c r="R354" i="1"/>
  <c r="R138" i="1"/>
  <c r="R160" i="1"/>
  <c r="R72" i="1"/>
  <c r="R268" i="1"/>
  <c r="R196" i="1"/>
  <c r="R209" i="1"/>
  <c r="R494" i="1"/>
  <c r="R338" i="1"/>
  <c r="R375" i="1"/>
  <c r="R74" i="1"/>
  <c r="R464" i="1"/>
  <c r="R326" i="1"/>
  <c r="R371" i="1"/>
  <c r="R334" i="1"/>
  <c r="R352" i="1"/>
  <c r="R278" i="1"/>
  <c r="R287" i="1"/>
  <c r="R466" i="1"/>
  <c r="R70" i="1"/>
  <c r="R227" i="1"/>
  <c r="R353" i="1"/>
  <c r="R443" i="1"/>
  <c r="R55" i="1"/>
  <c r="R197" i="1"/>
  <c r="R339" i="1"/>
  <c r="R342" i="1"/>
  <c r="R357" i="1"/>
  <c r="R333" i="1"/>
  <c r="R388" i="1"/>
  <c r="R234" i="1"/>
  <c r="R490" i="1"/>
  <c r="R159" i="1"/>
  <c r="R320" i="1"/>
  <c r="R35" i="1"/>
  <c r="R32" i="1"/>
  <c r="R290" i="1"/>
  <c r="R403" i="1"/>
  <c r="R86" i="1"/>
  <c r="R116" i="1"/>
  <c r="R220" i="1"/>
  <c r="R245" i="1"/>
  <c r="R215" i="1"/>
  <c r="R45" i="1"/>
  <c r="R453" i="1"/>
  <c r="R420" i="1"/>
  <c r="R205" i="1"/>
  <c r="R347" i="1"/>
  <c r="R396" i="1"/>
  <c r="R23" i="1"/>
  <c r="R184" i="1"/>
  <c r="R253" i="1"/>
  <c r="R49" i="1"/>
  <c r="R314" i="1"/>
  <c r="R118" i="1"/>
  <c r="R225" i="1"/>
  <c r="R65" i="1"/>
  <c r="R11" i="1"/>
  <c r="R154" i="1"/>
  <c r="R486" i="1"/>
  <c r="R471" i="1"/>
  <c r="R462" i="1"/>
  <c r="R533" i="1"/>
  <c r="R73" i="1"/>
  <c r="R322" i="1"/>
  <c r="R66" i="1"/>
  <c r="R475" i="1"/>
  <c r="R305" i="1"/>
  <c r="R41" i="1"/>
  <c r="R125" i="1"/>
  <c r="R238" i="1"/>
  <c r="R273" i="1"/>
  <c r="R126" i="1"/>
  <c r="R484" i="1"/>
  <c r="R456" i="1"/>
  <c r="R544" i="1"/>
  <c r="R233" i="1"/>
  <c r="R137" i="1"/>
  <c r="R194" i="1"/>
  <c r="R401" i="1"/>
  <c r="R402" i="1"/>
  <c r="R258" i="1"/>
  <c r="R98" i="1"/>
  <c r="R164" i="1"/>
  <c r="R299" i="1"/>
  <c r="R341" i="1"/>
  <c r="R404" i="1"/>
  <c r="R142" i="1"/>
  <c r="R182" i="1"/>
  <c r="R539" i="1"/>
  <c r="R15" i="1"/>
  <c r="R78" i="1"/>
  <c r="R436" i="1"/>
  <c r="R140" i="1"/>
  <c r="R312" i="1"/>
  <c r="R398" i="1"/>
  <c r="R537" i="1"/>
  <c r="R53" i="1"/>
  <c r="R296" i="1"/>
  <c r="R406" i="1"/>
  <c r="R246" i="1"/>
  <c r="R129" i="1"/>
  <c r="R239" i="1"/>
  <c r="R20" i="1"/>
  <c r="R491" i="1"/>
  <c r="R447" i="1"/>
  <c r="R458" i="1"/>
  <c r="R425" i="1"/>
  <c r="R479" i="1"/>
  <c r="R405" i="1"/>
  <c r="R36" i="1"/>
  <c r="R37" i="1"/>
  <c r="R426" i="1"/>
  <c r="R501" i="1"/>
  <c r="R124" i="1"/>
  <c r="R337" i="1"/>
  <c r="R133" i="1"/>
  <c r="R248" i="1"/>
  <c r="R14" i="1"/>
  <c r="R165" i="1"/>
  <c r="R84" i="1"/>
  <c r="R92" i="1"/>
  <c r="R107" i="1"/>
  <c r="R149" i="1"/>
  <c r="R465" i="1"/>
  <c r="R301" i="1"/>
  <c r="R190" i="1"/>
  <c r="R127" i="1"/>
  <c r="R506" i="1"/>
  <c r="R18" i="1"/>
  <c r="R350" i="1"/>
  <c r="R444" i="1"/>
  <c r="R261" i="1"/>
  <c r="R535" i="1"/>
  <c r="R497" i="1"/>
  <c r="R277" i="1"/>
  <c r="R467" i="1"/>
  <c r="R122" i="1"/>
  <c r="R480" i="1"/>
  <c r="R60" i="1"/>
  <c r="R69" i="1"/>
  <c r="R175" i="1"/>
  <c r="R83" i="1"/>
  <c r="R507" i="1"/>
  <c r="R81" i="1"/>
  <c r="R4" i="1"/>
  <c r="R145" i="1"/>
  <c r="R262" i="1"/>
  <c r="R510" i="1"/>
  <c r="R440" i="1"/>
  <c r="R170" i="1"/>
  <c r="R285" i="1"/>
  <c r="R355" i="1"/>
  <c r="R93" i="1"/>
  <c r="R57" i="1"/>
  <c r="R104" i="1"/>
  <c r="R329" i="1"/>
  <c r="R119" i="1"/>
  <c r="R237" i="1"/>
  <c r="R534" i="1"/>
  <c r="R392" i="1"/>
  <c r="R147" i="1"/>
  <c r="R210" i="1"/>
  <c r="R393" i="1"/>
  <c r="R148" i="1"/>
  <c r="R213" i="1"/>
  <c r="R88" i="1"/>
  <c r="R217" i="1"/>
  <c r="R418" i="1"/>
  <c r="R302" i="1"/>
  <c r="R549" i="1"/>
  <c r="R450" i="1"/>
  <c r="R8" i="1"/>
  <c r="R488" i="1"/>
  <c r="R79" i="1"/>
  <c r="R500" i="1"/>
  <c r="R143" i="1"/>
  <c r="R101" i="1"/>
  <c r="R243" i="1"/>
  <c r="R158" i="1"/>
  <c r="R114" i="1"/>
  <c r="R441" i="1"/>
  <c r="R272" i="1"/>
  <c r="R226" i="1"/>
  <c r="R52" i="1"/>
  <c r="R251" i="1"/>
  <c r="R224" i="1"/>
  <c r="R508" i="1"/>
  <c r="R374" i="1"/>
  <c r="R529" i="1"/>
  <c r="R293" i="1"/>
  <c r="R379" i="1"/>
  <c r="R536" i="1"/>
  <c r="R219" i="1"/>
  <c r="R308" i="1"/>
  <c r="R516" i="1"/>
  <c r="R457" i="1"/>
  <c r="R512" i="1"/>
  <c r="R46" i="1"/>
  <c r="R351" i="1"/>
  <c r="R448" i="1"/>
  <c r="R212" i="1"/>
  <c r="R424" i="1"/>
  <c r="R250" i="1"/>
  <c r="R397" i="1"/>
  <c r="R473" i="1"/>
  <c r="R130" i="1"/>
  <c r="R241" i="1"/>
  <c r="R139" i="1"/>
  <c r="R150" i="1"/>
  <c r="R530" i="1"/>
  <c r="R311" i="1"/>
  <c r="R193" i="1"/>
  <c r="R380" i="1"/>
  <c r="R153" i="1"/>
  <c r="R266" i="1"/>
  <c r="R30" i="1"/>
  <c r="R25" i="1"/>
  <c r="R186" i="1"/>
  <c r="R59" i="1"/>
  <c r="R229" i="1"/>
  <c r="R470" i="1"/>
  <c r="R136" i="1"/>
  <c r="R68" i="1"/>
  <c r="R358" i="1"/>
  <c r="R270" i="1"/>
  <c r="R156" i="1"/>
  <c r="R321" i="1"/>
  <c r="R389" i="1"/>
  <c r="R54" i="1"/>
  <c r="R12" i="1"/>
  <c r="R427" i="1"/>
  <c r="R474" i="1"/>
  <c r="R168" i="1"/>
  <c r="R117" i="1"/>
  <c r="R369" i="1"/>
  <c r="R365" i="1"/>
  <c r="R178" i="1"/>
  <c r="R141" i="1"/>
  <c r="R131" i="1"/>
  <c r="R336" i="1"/>
  <c r="R515" i="1"/>
  <c r="R99" i="1"/>
  <c r="R295" i="1"/>
  <c r="R50" i="1"/>
  <c r="R382" i="1"/>
  <c r="R163" i="1"/>
  <c r="R496" i="1"/>
  <c r="R181" i="1"/>
  <c r="R316" i="1"/>
  <c r="R9" i="1"/>
  <c r="R395" i="1"/>
  <c r="R449" i="1"/>
  <c r="R216" i="1"/>
  <c r="R236" i="1"/>
  <c r="R468" i="1"/>
  <c r="R417" i="1"/>
  <c r="R199" i="1"/>
  <c r="R340" i="1"/>
  <c r="R505" i="1"/>
  <c r="R409" i="1"/>
  <c r="R460" i="1"/>
  <c r="R284" i="1"/>
  <c r="R499" i="1"/>
  <c r="R527" i="1"/>
  <c r="R432" i="1"/>
  <c r="R509" i="1"/>
  <c r="R185" i="1"/>
  <c r="R252" i="1"/>
  <c r="R110" i="1"/>
  <c r="R232" i="1"/>
  <c r="R495" i="1"/>
  <c r="R157" i="1"/>
  <c r="R269" i="1"/>
  <c r="R376" i="1"/>
  <c r="R411" i="1"/>
  <c r="R172" i="1"/>
  <c r="R282" i="1"/>
  <c r="R359" i="1"/>
  <c r="R177" i="1"/>
  <c r="R283" i="1"/>
  <c r="R381" i="1"/>
  <c r="R366" i="1"/>
  <c r="R43" i="1"/>
  <c r="R152" i="1"/>
  <c r="R201" i="1"/>
  <c r="R324" i="1"/>
  <c r="R416" i="1"/>
  <c r="R82" i="1"/>
  <c r="R155" i="1"/>
  <c r="R48" i="1"/>
  <c r="R546" i="1"/>
  <c r="R343" i="1"/>
  <c r="R419" i="1"/>
  <c r="R19" i="1"/>
  <c r="R180" i="1"/>
  <c r="R291" i="1"/>
  <c r="R430" i="1"/>
  <c r="R327" i="1"/>
  <c r="R34" i="1"/>
  <c r="R400" i="1"/>
  <c r="R167" i="1"/>
  <c r="R275" i="1"/>
  <c r="R319" i="1"/>
  <c r="R242" i="1"/>
  <c r="R370" i="1"/>
  <c r="R207" i="1"/>
  <c r="R503" i="1"/>
  <c r="R13" i="1"/>
  <c r="R24" i="1"/>
  <c r="R463" i="1"/>
  <c r="R264" i="1"/>
  <c r="R408" i="1"/>
  <c r="R525" i="1"/>
  <c r="R90" i="1"/>
  <c r="R313" i="1"/>
  <c r="R477" i="1"/>
  <c r="R310" i="1"/>
  <c r="R121" i="1"/>
  <c r="R483" i="1"/>
  <c r="R511" i="1"/>
  <c r="R169" i="1"/>
  <c r="R271" i="1"/>
  <c r="R438" i="1"/>
  <c r="R28" i="1"/>
  <c r="R188" i="1"/>
  <c r="R498" i="1"/>
  <c r="R29" i="1"/>
  <c r="R183" i="1"/>
  <c r="R294" i="1"/>
  <c r="R38" i="1"/>
  <c r="R332" i="1"/>
  <c r="R135" i="1"/>
  <c r="R173" i="1"/>
  <c r="R42" i="1"/>
  <c r="R309" i="1"/>
  <c r="R429" i="1"/>
  <c r="R80" i="1"/>
  <c r="R21" i="1"/>
  <c r="R385" i="1"/>
  <c r="R111" i="1"/>
  <c r="R446" i="1"/>
  <c r="R540" i="1"/>
  <c r="R504" i="1"/>
  <c r="R247" i="1"/>
  <c r="R391" i="1"/>
  <c r="R96" i="1"/>
  <c r="R472" i="1"/>
  <c r="R31" i="1"/>
  <c r="R423" i="1"/>
  <c r="R33" i="1"/>
  <c r="R189" i="1"/>
  <c r="R378" i="1"/>
  <c r="R85" i="1"/>
  <c r="R517" i="1"/>
  <c r="R538" i="1"/>
  <c r="R407" i="1"/>
  <c r="R162" i="1"/>
  <c r="R279" i="1"/>
  <c r="R17" i="1"/>
  <c r="R276" i="1"/>
  <c r="R373" i="1"/>
  <c r="R230" i="1"/>
  <c r="R412" i="1"/>
  <c r="R532" i="1"/>
  <c r="R71" i="1"/>
  <c r="R298" i="1"/>
  <c r="R413" i="1"/>
  <c r="R414" i="1"/>
  <c r="R105" i="1"/>
  <c r="R208" i="1"/>
  <c r="R386" i="1"/>
  <c r="R548" i="1"/>
  <c r="R289" i="1"/>
  <c r="R75" i="1"/>
  <c r="R306" i="1"/>
  <c r="R102" i="1"/>
  <c r="R439" i="1"/>
  <c r="R410" i="1"/>
  <c r="R325" i="1"/>
  <c r="R547" i="1"/>
  <c r="R89" i="1"/>
  <c r="R428" i="1"/>
  <c r="R260" i="1"/>
  <c r="R6" i="1"/>
  <c r="R144" i="1"/>
  <c r="R51" i="1"/>
  <c r="R103" i="1"/>
  <c r="R318" i="1"/>
  <c r="R478" i="1"/>
  <c r="R47" i="1"/>
  <c r="R368" i="1"/>
  <c r="R526" i="1"/>
  <c r="R431" i="1"/>
  <c r="R317" i="1"/>
  <c r="R435" i="1"/>
  <c r="R390" i="1"/>
  <c r="R442" i="1"/>
  <c r="R257" i="1"/>
  <c r="R192" i="1"/>
  <c r="R87" i="1"/>
  <c r="R363" i="1"/>
  <c r="R97" i="1"/>
  <c r="R331" i="1"/>
  <c r="R206" i="1"/>
  <c r="R383" i="1"/>
  <c r="R231" i="1"/>
  <c r="R44" i="1"/>
  <c r="R22" i="1"/>
  <c r="R349" i="1"/>
  <c r="R455" i="1"/>
  <c r="R493" i="1"/>
  <c r="R174" i="1"/>
  <c r="R433" i="1"/>
  <c r="R323" i="1"/>
  <c r="R445" i="1"/>
  <c r="R415" i="1"/>
  <c r="R545" i="1"/>
  <c r="R521" i="1"/>
  <c r="R58" i="1"/>
  <c r="R191" i="1"/>
  <c r="R522" i="1"/>
  <c r="R528" i="1"/>
  <c r="R244" i="1"/>
  <c r="R166" i="1"/>
  <c r="R48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05C68E-3A69-4207-B776-6964A9F8C0FF}" keepAlive="1" name="Query - numeral-templates" description="Connection to the 'numeral-templates' query in the workbook." type="5" refreshedVersion="0" background="1" saveData="1">
    <dbPr connection="Provider=Microsoft.Mashup.OleDb.1;Data Source=$Workbook$;Location=numeral-templates;Extended Properties=&quot;&quot;" command="SELECT * FROM [numeral-templates]"/>
  </connection>
  <connection id="2" xr16:uid="{CD21E104-F90F-4731-9F25-80321D2C8338}" keepAlive="1" name="Query - numeral-templates (2)" description="Connection to the 'numeral-templates (2)' query in the workbook." type="5" refreshedVersion="0" background="1" saveData="1">
    <dbPr connection="Provider=Microsoft.Mashup.OleDb.1;Data Source=$Workbook$;Location=&quot;numeral-templates (2)&quot;;Extended Properties=&quot;&quot;" command="SELECT * FROM [numeral-templates (2)]"/>
  </connection>
  <connection id="3" xr16:uid="{83C040D3-A226-4E78-9B14-55BADFB2B89E}" keepAlive="1" name="Query - passive" description="Connection to the 'passive' query in the workbook." type="5" refreshedVersion="8" background="1" saveData="1">
    <dbPr connection="Provider=Microsoft.Mashup.OleDb.1;Data Source=$Workbook$;Location=passive;Extended Properties=&quot;&quot;" command="SELECT * FROM [passive]"/>
  </connection>
  <connection id="4" xr16:uid="{38D841A7-3C79-4CC9-8E23-61FA4097AB03}" keepAlive="1" name="Query - templates-2" description="Connection to the 'templates-2' query in the workbook." type="5" refreshedVersion="0" background="1" saveData="1">
    <dbPr connection="Provider=Microsoft.Mashup.OleDb.1;Data Source=$Workbook$;Location=templates-2;Extended Properties=&quot;&quot;" command="SELECT * FROM [templates-2]"/>
  </connection>
  <connection id="5" xr16:uid="{DC5EE284-A097-4FF4-9362-F32BB0A7DB20}" keepAlive="1" name="Query - templates-2 (2)" description="Connection to the 'templates-2 (2)' query in the workbook." type="5" refreshedVersion="0" background="1" saveData="1">
    <dbPr connection="Provider=Microsoft.Mashup.OleDb.1;Data Source=$Workbook$;Location=&quot;templates-2 (2)&quot;;Extended Properties=&quot;&quot;" command="SELECT * FROM [templates-2 (2)]"/>
  </connection>
  <connection id="6" xr16:uid="{5AFF9BA9-1BFC-40AA-BF5B-B90D39F5143B}" keepAlive="1" name="Query - templates-2 (3)" description="Connection to the 'templates-2 (3)' query in the workbook." type="5" refreshedVersion="0" background="1" saveData="1">
    <dbPr connection="Provider=Microsoft.Mashup.OleDb.1;Data Source=$Workbook$;Location=&quot;templates-2 (3)&quot;;Extended Properties=&quot;&quot;" command="SELECT * FROM [templates-2 (3)]"/>
  </connection>
</connections>
</file>

<file path=xl/sharedStrings.xml><?xml version="1.0" encoding="utf-8"?>
<sst xmlns="http://schemas.openxmlformats.org/spreadsheetml/2006/main" count="17089" uniqueCount="1643">
  <si>
    <t>id</t>
  </si>
  <si>
    <t>kek</t>
  </si>
  <si>
    <t>en</t>
  </si>
  <si>
    <t>description</t>
  </si>
  <si>
    <t>example_en</t>
  </si>
  <si>
    <t>My wife is kind.</t>
  </si>
  <si>
    <t>Negative attributive predicate.</t>
  </si>
  <si>
    <t>My wife is not kind.</t>
  </si>
  <si>
    <t>Yes/no question for an attributive predicate.</t>
  </si>
  <si>
    <t>Is my wife kind?</t>
  </si>
  <si>
    <t>Negative existential.</t>
  </si>
  <si>
    <t>{POSS_NP_EN} {V_INTR_EN}.</t>
  </si>
  <si>
    <t>Intransitive clause with possessed subject (often body parts).</t>
  </si>
  <si>
    <t>My head hurts.</t>
  </si>
  <si>
    <t>Negative intransitive with possessed subject.</t>
  </si>
  <si>
    <t>My head does not hurt.</t>
  </si>
  <si>
    <t>Intransitive with adverbial modifier.</t>
  </si>
  <si>
    <t>My head suddenly hurts.</t>
  </si>
  <si>
    <t>{YN_Q_MARKER} {POSS_NP} {V_INTR}?</t>
  </si>
  <si>
    <t>Yes/no question with intransitive verb.</t>
  </si>
  <si>
    <t>Does my head hurt?</t>
  </si>
  <si>
    <t>{AGENT_NP} {V_TR} {POSS_NP}.</t>
  </si>
  <si>
    <t>{AGENT_NP_EN} {V_TR_EN} {POSS_NP_EN}.</t>
  </si>
  <si>
    <t>Transitive clause where the object is a possessed NP.</t>
  </si>
  <si>
    <t>{NEG_PRE} {AGENT_NP} {V_TR} {POSS_NP} {NEG_SUF}.</t>
  </si>
  <si>
    <t>Negative transitive with possessed object.</t>
  </si>
  <si>
    <t>Yes/no question for a transitive with possessed object.</t>
  </si>
  <si>
    <t>{AGENT_NP} {V_DITR} {THEME_NP} {BENEF_REL} {POSS_NP}.</t>
  </si>
  <si>
    <t>{AGENT_NP_EN} {V_DITR_EN} {THEME_NP_EN} to {POSS_NP_EN}.</t>
  </si>
  <si>
    <t>Ditransitive: theme transferred to a possessed beneficiary/recipient.</t>
  </si>
  <si>
    <t>{NEG_PRE} {AGENT_NP} {V_DITR} {THEME_NP} {BENEF_REL} {POSS_NP} {NEG_SUF}.</t>
  </si>
  <si>
    <t>Negative ditransitive with possessed beneficiary.</t>
  </si>
  <si>
    <t>The teacher does not give a book to my son.</t>
  </si>
  <si>
    <t>WH-locative question about a possessed NP.</t>
  </si>
  <si>
    <t>Where is my phone?</t>
  </si>
  <si>
    <t>The house is big.</t>
  </si>
  <si>
    <t>The house is not big.</t>
  </si>
  <si>
    <t>Yes/no attributive question.</t>
  </si>
  <si>
    <t>Is the house big?</t>
  </si>
  <si>
    <t>{EXIST} {NP}.</t>
  </si>
  <si>
    <t>{NP_EN} {V_INTR_EN}.</t>
  </si>
  <si>
    <t>The child sleeps.</t>
  </si>
  <si>
    <t>Negative intransitive.</t>
  </si>
  <si>
    <t>The child does not sleep.</t>
  </si>
  <si>
    <t>The teacher reads the book.</t>
  </si>
  <si>
    <t>Negative transitive.</t>
  </si>
  <si>
    <t>The teacher does not read the book.</t>
  </si>
  <si>
    <t>{AGENT_NP} {V_DITR} {THEME_NP} {BENEF_REL} {NP}.</t>
  </si>
  <si>
    <t>{AGENT_NP_EN} {V_DITR_EN} {THEME_NP_EN} to {NP_EN}.</t>
  </si>
  <si>
    <t>The teacher gave a book to the student.</t>
  </si>
  <si>
    <t>WH-locative question about an NP.</t>
  </si>
  <si>
    <t>Where is the phone?</t>
  </si>
  <si>
    <t>{YN_Q_MARKER} {V_INTR_FUT} {NP}?</t>
  </si>
  <si>
    <t>{YN_Q_MARKER} {V_DITR_FUT} {THEME_NP} {GOAL_REL} {GOAL_NP} {AGENT_NP}?</t>
  </si>
  <si>
    <t>{WH_LOC} {V_INTR_FUT} {NP}?</t>
  </si>
  <si>
    <t>WH-locative question about a noun with attribute</t>
  </si>
  <si>
    <t>Where is the big phone?</t>
  </si>
  <si>
    <t>The man will walk</t>
  </si>
  <si>
    <t>The man will hunt the jaguar</t>
  </si>
  <si>
    <t>The mother will give the boy a book</t>
  </si>
  <si>
    <t>The nurse washes my back.</t>
  </si>
  <si>
    <t>The nurse does not wash my back.</t>
  </si>
  <si>
    <t>Does the nurse wash my back?</t>
  </si>
  <si>
    <t>{V_INTR} {NP}.</t>
  </si>
  <si>
    <t>Intransitive clause.</t>
  </si>
  <si>
    <t>{ADV} {V_INTR} {NP}.</t>
  </si>
  <si>
    <t>Intransitive with adverbial modifier, possessed subject</t>
  </si>
  <si>
    <t>Yes/no question with intransitive verb and possessed object.</t>
  </si>
  <si>
    <t>The boys walks quickly.</t>
  </si>
  <si>
    <t>{YN_Q_MARKER} {V_INTR} {NP}?</t>
  </si>
  <si>
    <t>Does the boy walk?</t>
  </si>
  <si>
    <t>Transitive clause.</t>
  </si>
  <si>
    <t>Yes/no question for a transitive.</t>
  </si>
  <si>
    <t>Do I drink water?</t>
  </si>
  <si>
    <t>The teacher gives a book to my son.</t>
  </si>
  <si>
    <t>Ditransitive: theme transferred to a beneficiary/recipient.</t>
  </si>
  <si>
    <t>Negative ditransitive.</t>
  </si>
  <si>
    <t>{NEG_PRE} {AGENT_NP} {V_DITR} {THEME_NP} {BENEF_REL} {NP} {NEG_SUF}.</t>
  </si>
  <si>
    <t>Negative attributive predicate for possessed subject.</t>
  </si>
  <si>
    <t>Attributive predicate: a non-possessed noun described by an adjective.</t>
  </si>
  <si>
    <t>Attributive predicate: a possessed noun described by an adjective.</t>
  </si>
  <si>
    <t>She does not send a letter to the office.</t>
  </si>
  <si>
    <t>{WH_TIME_EN} did {AGENT_NP_EN} {V_TR_BASE_EN} {THEME_NP_EN}?</t>
  </si>
  <si>
    <t>When did the boy eat?</t>
  </si>
  <si>
    <t>Where did the woman sing?</t>
  </si>
  <si>
    <t>{AGENT_NP} {V_DITR_PST} {THEME_NP} {BENEF_REL} {NP}.</t>
  </si>
  <si>
    <t>Ditransitive, past: theme to a beneficiary.</t>
  </si>
  <si>
    <t>{V_INTR} {POSS_NP}.</t>
  </si>
  <si>
    <t>{ADJ} {NP}.</t>
  </si>
  <si>
    <t>{ADJ} {POSS_NP}.</t>
  </si>
  <si>
    <t>{NEG_PRE} {ADJ} {NEG_SUF} {NP}.</t>
  </si>
  <si>
    <t>{NEG_PRE} {ADJ} {NEG_SUF} {POSS_NP}.</t>
  </si>
  <si>
    <t>{YN_Q_MARKER} {ADJ} {NP}?</t>
  </si>
  <si>
    <t>{YN_Q_MARKER} {ADJ} {POSS_NP}?</t>
  </si>
  <si>
    <t>My wife slept.</t>
  </si>
  <si>
    <t>My wife will sleep.</t>
  </si>
  <si>
    <t>{V_INTR_PST} {NP}.</t>
  </si>
  <si>
    <t>{V_INTR_FUT} {NP}.</t>
  </si>
  <si>
    <t>{V_INTR_PST} {POSS_NP}.</t>
  </si>
  <si>
    <t>{V_INTR_FUT} {POSS_NP}.</t>
  </si>
  <si>
    <t>{NP_EN} {V_INTR_PST_EN}.</t>
  </si>
  <si>
    <t>{POSS_NP_EN} {V_INTR_PST_EN}.</t>
  </si>
  <si>
    <t>The doctor will not run.</t>
  </si>
  <si>
    <t>My wife did not sleep.</t>
  </si>
  <si>
    <t>My wife will not sleep.</t>
  </si>
  <si>
    <t>Future tense with pronoun subject</t>
  </si>
  <si>
    <t>Present tense with pronoun subject</t>
  </si>
  <si>
    <t>Past tense with pronoun subject</t>
  </si>
  <si>
    <t>Negative present</t>
  </si>
  <si>
    <t>I do not run.</t>
  </si>
  <si>
    <t>Negative past</t>
  </si>
  <si>
    <t>I did not run.</t>
  </si>
  <si>
    <t>Intransive in the future with possessed subject</t>
  </si>
  <si>
    <t>{YN_Q_MARKER} {V_INTR_PST} {NP}?</t>
  </si>
  <si>
    <t>{YN_Q_MARKER} {V_DITR_PST} {THEME_NP} {GOAL_REL} {GOAL_NP} {AGENT_NP}?</t>
  </si>
  <si>
    <t>Yes/no question for transitive in the past</t>
  </si>
  <si>
    <t>Yes/no question for intransitive in the past</t>
  </si>
  <si>
    <t>Yes/no question for ditransitive in the past</t>
  </si>
  <si>
    <t>Did the jaguar run?</t>
  </si>
  <si>
    <t>Did the man hunt the jaguar?</t>
  </si>
  <si>
    <t>Did the boy give the book to the girl?</t>
  </si>
  <si>
    <t>Yes/no question for intransitive in the future</t>
  </si>
  <si>
    <t>Yes/no question for transitive in the future</t>
  </si>
  <si>
    <t>Yes/no question for ditransitive in the future</t>
  </si>
  <si>
    <t>Will the jaguar run?</t>
  </si>
  <si>
    <t>Will the man hunt the jaguar?</t>
  </si>
  <si>
    <t>Will the boy give the book to the girl?</t>
  </si>
  <si>
    <t>Ditransitive, future: theme to a beneficiary.</t>
  </si>
  <si>
    <t>I ran.</t>
  </si>
  <si>
    <t>The child ran.</t>
  </si>
  <si>
    <t>The child did not run.</t>
  </si>
  <si>
    <t>Intransitive past tense with possessed subject.</t>
  </si>
  <si>
    <t>Intransitive past tense with adverb.</t>
  </si>
  <si>
    <t>The child ran quickly.</t>
  </si>
  <si>
    <t>Intransitive future with adverb.</t>
  </si>
  <si>
    <t>The child will run quickly.</t>
  </si>
  <si>
    <t>Intransitive future yes/no question with adverb.</t>
  </si>
  <si>
    <t>Will the child run quickly?</t>
  </si>
  <si>
    <t>Negative transitive past tense.</t>
  </si>
  <si>
    <t>The man did not eat the tortilla.</t>
  </si>
  <si>
    <t>The man ate the tortilla quickly.</t>
  </si>
  <si>
    <t>Negative transitive future tense.</t>
  </si>
  <si>
    <t>The man will not eat the tortilla.</t>
  </si>
  <si>
    <t>Intransitive past tense</t>
  </si>
  <si>
    <t>Negative intransitive past tense</t>
  </si>
  <si>
    <t>{V_INTR_PST} {ADV} {NP}.</t>
  </si>
  <si>
    <t>Intransitive future tense</t>
  </si>
  <si>
    <t>Negative intransitive future tense</t>
  </si>
  <si>
    <t>Negative intransitive past tense with possessed subject</t>
  </si>
  <si>
    <t>Negative intransitive future tensewith possessed subject</t>
  </si>
  <si>
    <t>{V_INTR_FUT} {ADV} {NP}.</t>
  </si>
  <si>
    <t>{YN_Q_MARKER} {V_INTR_FUT} {ADV} {NP}?</t>
  </si>
  <si>
    <t>The man hunted the jaguar.</t>
  </si>
  <si>
    <t>{AGENT_NP_EN} {V_TR_PST_EN} {THEME_NP_EN}.</t>
  </si>
  <si>
    <t>Intransitive future with pronoun and adverb.</t>
  </si>
  <si>
    <t>I went yesterday.</t>
  </si>
  <si>
    <t>Intransitive past with pronoun and adverb.</t>
  </si>
  <si>
    <t>Will I go?</t>
  </si>
  <si>
    <t>Intransitive future yes/no question with pronoun subject.</t>
  </si>
  <si>
    <t>Will the man give the tortilla to the child?</t>
  </si>
  <si>
    <t>Ditransitive future yes/no question.</t>
  </si>
  <si>
    <t>The man will give the tortilla to the child tomorrow.</t>
  </si>
  <si>
    <t>Ditransitive future with adverb.</t>
  </si>
  <si>
    <t>The man will give my tortilla to the child.</t>
  </si>
  <si>
    <t>Ditransitive future with possessed object.</t>
  </si>
  <si>
    <t>The man will not give the tortilla to the child.</t>
  </si>
  <si>
    <t>Negative ditransitive future tense.</t>
  </si>
  <si>
    <t>The man gave the tortilla to the child yesterday.</t>
  </si>
  <si>
    <t>Ditransitive past with adverb.</t>
  </si>
  <si>
    <t>{NP_EN} {V_EN_PST} {OBJ_NP_EN} to {RECIP_NP_EN} {ADV_EN}.</t>
  </si>
  <si>
    <t>The man gave my tortilla to the child.</t>
  </si>
  <si>
    <t>Ditransitive past with possessed object.</t>
  </si>
  <si>
    <t>{NP_EN} {V_EN_PST} {POSS_NP_EN} to {RECIP_NP_EN}.</t>
  </si>
  <si>
    <t>The man did not give the tortilla to the child.</t>
  </si>
  <si>
    <t>Negative ditransitive past tense.</t>
  </si>
  <si>
    <t>The man will eat the tortilla quickly.</t>
  </si>
  <si>
    <t>Transitive future with adverb.</t>
  </si>
  <si>
    <t>The man will eat my tortilla.</t>
  </si>
  <si>
    <t>Transitive future with possessed object.</t>
  </si>
  <si>
    <t>The man ate my tortilla.</t>
  </si>
  <si>
    <t>Transitive past with possessed object.</t>
  </si>
  <si>
    <t>{NEG_PRE} {AGENT_NP} {V_DITR_PST} {THEME_NP} {BENEF_REL} {POSS_NP} {NEG_SUF}.</t>
  </si>
  <si>
    <t>{AGENT_NP_EN} did not {V_DITR_BASE_EN} {THEME_NP_EN} to {POSS_NP_EN}.</t>
  </si>
  <si>
    <t>{NEG_PRE} {V_DITR_FUT} {NEG_SUF} {AGENT_NP} {THEME_NP} {BENEF_REL} {POSS_NP}.</t>
  </si>
  <si>
    <t>{V_DITR_PST} {NP} {POSS_NP} {RECIP_NP}.</t>
  </si>
  <si>
    <t>{V_DITR_PST} {ADV} {NP} {OBJ_NP} {RECIP_NP}.</t>
  </si>
  <si>
    <t>{V_DITR_FUT} {NP} {POSS_NP} {RECIP_NP}.</t>
  </si>
  <si>
    <t>{V_DITR_FUT} {ADV} {NP} {OBJ_NP} {RECIP_NP}.</t>
  </si>
  <si>
    <t>{YN_Q_MARKER} {V_DITR_FUT} {NP} {OBJ_NP} {RECIP_NP}?</t>
  </si>
  <si>
    <t>{V_INTR_PST} {ADV}.</t>
  </si>
  <si>
    <t>{V_INTR_FUT} {ADV}.</t>
  </si>
  <si>
    <t>{V_DITR_FUT} {THEME_NP} {GOAL_REL} {GOAL_NP} {AGENT_NP}.</t>
  </si>
  <si>
    <t>{AGENT_NP_EN} {V_TR_PST_EN} {THEME_NP_EN} {ADV_EN}.</t>
  </si>
  <si>
    <t>{V_TR_PST} {NP} {POSS_NP}.</t>
  </si>
  <si>
    <t>{V_TR_FUT} {NP} {POSS_NP}.</t>
  </si>
  <si>
    <t>{NP_EN} {V_INTR_EN} {ADV_EN}.</t>
  </si>
  <si>
    <t>{NP_EN} {V_INTR_PST_EN} {ADV_EN}.</t>
  </si>
  <si>
    <t>{V_INTR_PST} {NP_PL}.</t>
  </si>
  <si>
    <t>{NP_PL_EN} {V_INTR_PST_EN}.</t>
  </si>
  <si>
    <t>{V_INTR_PST} {ADV} {NP_PL}.</t>
  </si>
  <si>
    <t>{ADJ} {NP_PL}.</t>
  </si>
  <si>
    <t>The houses are big.</t>
  </si>
  <si>
    <t>Mice are small.</t>
  </si>
  <si>
    <t>{ADJ} {POSS_NP_PL_PRE}.</t>
  </si>
  <si>
    <t>My brothers are kind.</t>
  </si>
  <si>
    <t>{ADJ} {POSS_NP_PL_POST}.</t>
  </si>
  <si>
    <t>{NEG_PRE} {ADJ} {NEG_SUF} {NP_PL}.</t>
  </si>
  <si>
    <t>The houses are not big.</t>
  </si>
  <si>
    <t>Mice are not big.</t>
  </si>
  <si>
    <t>{NEG_PRE} {ADJ} {NEG_SUF} {POSS_NP_PL_PRE}.</t>
  </si>
  <si>
    <t>My brothers are not kind.</t>
  </si>
  <si>
    <t>{NEG_PRE} {ADJ} {NEG_SUF} {POSS_NP_PL_POST}.</t>
  </si>
  <si>
    <t>{YN_Q_MARKER} {ADJ} {NP_PL}?</t>
  </si>
  <si>
    <t>Are the houses big?</t>
  </si>
  <si>
    <t>Are mice small?</t>
  </si>
  <si>
    <t>{YN_Q_MARKER} {ADJ} {POSS_NP_PL_PRE}?</t>
  </si>
  <si>
    <t>Are my brothers kind?</t>
  </si>
  <si>
    <t>{YN_Q_MARKER} {ADJ} {POSS_NP_PL_POST}?</t>
  </si>
  <si>
    <t>{V_INTR} {NP_PL}.</t>
  </si>
  <si>
    <t>{NP_PL_EN} {V_INTR_EN}.</t>
  </si>
  <si>
    <t>The children sleep.</t>
  </si>
  <si>
    <t>{V_INTR} {POSS_NP_PL_PRE}.</t>
  </si>
  <si>
    <t>{POSS_NP_PL_EN} {V_INTR_EN}.</t>
  </si>
  <si>
    <t>My arms hurt.</t>
  </si>
  <si>
    <t>{V_INTR} {POSS_NP_PL_POST}.</t>
  </si>
  <si>
    <t>{NEG_PRE} {V_INTR} {NP_PL} {NEG_SUF}.</t>
  </si>
  <si>
    <t>The children do not sleep.</t>
  </si>
  <si>
    <t>Trees don't sleep.</t>
  </si>
  <si>
    <t>{NEG_PRE} {V_INTR} {POSS_NP_PL_PRE} {NEG_SUF}.</t>
  </si>
  <si>
    <t>My arms do not hurt.</t>
  </si>
  <si>
    <t>{NEG_PRE} {V_INTR} {POSS_NP_PL_POST} {NEG_SUF}.</t>
  </si>
  <si>
    <t>{V_INTR} {ADV} {NP_PL}.</t>
  </si>
  <si>
    <t>{NP_PL_EN} {V_INTR_EN} {ADV_EN}.</t>
  </si>
  <si>
    <t>The boys walk quickly.</t>
  </si>
  <si>
    <t>{YN_Q_MARKER} {V_INTR} {NP_PL}?</t>
  </si>
  <si>
    <t>Do the boys walk?</t>
  </si>
  <si>
    <t>Do birds sing?</t>
  </si>
  <si>
    <t>{V_INTR}  {ADV} {POSS_NP_PL_PRE}.</t>
  </si>
  <si>
    <t>My arms suddenly hurt.</t>
  </si>
  <si>
    <t>{V_INTR}  {ADV} {POSS_NP_PL_POST}.</t>
  </si>
  <si>
    <t>Do my arms hurt?</t>
  </si>
  <si>
    <t>{NEG_PRE} {V_INTR_PST} {NEG_SUF} {NP}.</t>
  </si>
  <si>
    <t>{NEG_PRE} {V_INTR_FUT} {NEG_SUF} {NP}.</t>
  </si>
  <si>
    <t>{NEG_PRE} {V_INTR_PST} {NEG_SUF} {POSS_NP}.</t>
  </si>
  <si>
    <t>{NEG_PRE} {V_INTR_FUT} {NEG_SUF} {POSS_NP}.</t>
  </si>
  <si>
    <t>Where are my brothers?</t>
  </si>
  <si>
    <t>Where are the pigs?</t>
  </si>
  <si>
    <t>Where will the man eat?</t>
  </si>
  <si>
    <t>When will the jaguar hunt the goat?</t>
  </si>
  <si>
    <t>The teacher reads his books.</t>
  </si>
  <si>
    <t>es</t>
  </si>
  <si>
    <t>{NP_ES} {V_INTR_ES}.</t>
  </si>
  <si>
    <t>{POSS_NP_ES} {V_INTR_ES}.</t>
  </si>
  <si>
    <t>{NP_ES} {V_INTR_ES} {ADV_ES}.</t>
  </si>
  <si>
    <t>{AGENT_NP_ES} {V_TR_ES} {POSS_NP_ES}.</t>
  </si>
  <si>
    <t>{NP_ES} {V_INTR_PST_ES}.</t>
  </si>
  <si>
    <t>{NP_ES} {V_INTR_PST_ES} {ADV_ES}.</t>
  </si>
  <si>
    <t>{NP_ES} {V_INTR_FUT_ES}.</t>
  </si>
  <si>
    <t>{POSS_NP_ES} {V_INTR_PST_ES}.</t>
  </si>
  <si>
    <t>{AGENT_NP_ES} {V_TR_PST_ES} {THEME_NP_ES}.</t>
  </si>
  <si>
    <t>{AGENT_NP_ES} {V_TR_PST_ES} {THEME_NP_ES} {ADV_ES}.</t>
  </si>
  <si>
    <t>{NP_ES} {V_ES_PST} {POSS_NP_ES} to {RECIP_NP_ES}.</t>
  </si>
  <si>
    <t>{NP_PL_ES} {V_INTR_ES}.</t>
  </si>
  <si>
    <t>{POSS_NP_PL_ES} {V_INTR_ES}.</t>
  </si>
  <si>
    <t>{NP_PL_ES} {V_INTR_ES} {ADV_ES}.</t>
  </si>
  <si>
    <t>{NP_ES} no {V_INTR_PST_ES}.</t>
  </si>
  <si>
    <t>{POSS_NP_ES} no {V_INTR_PST_ES}.</t>
  </si>
  <si>
    <t>{NP_ES} no {V_INTR_FUT_ES}.</t>
  </si>
  <si>
    <t>{POSS_NP_ES} no {V_INTR_FUT_ES}.</t>
  </si>
  <si>
    <t>{NEG_PRE} {V_INTR} {NEG_SUF} {NP}.</t>
  </si>
  <si>
    <t>{NEG_PRE} {V_INTR} {NEG_SUF} {POSS_NP}.</t>
  </si>
  <si>
    <t>{NP_ES} {COP_ES} {ADJ_ES}.</t>
  </si>
  <si>
    <t>{POSS_NP_ES} {COP_ES} {ADJ_ES}.</t>
  </si>
  <si>
    <t>{POSS_NP_PL_ES} {COP_ES} {ADJ_ES}.</t>
  </si>
  <si>
    <t>{POSS_NP_PL_ES} no {V_INTR_ES}.</t>
  </si>
  <si>
    <t>{NP_ES} no {V_INTR_ES}.</t>
  </si>
  <si>
    <t>{POSS_NP_ES} no {V_INTR_ES}.</t>
  </si>
  <si>
    <t>¿{NP_ES} {V_INTR_PST_ES}?</t>
  </si>
  <si>
    <t>¿{NP_ES} {V_INTR_FUT_ES}?</t>
  </si>
  <si>
    <t>¿{NP_ES} {V_INTR_FUT_ES} {ADV_ES}?</t>
  </si>
  <si>
    <t>¿{COP_ES} {NP_PL_ES} {ADJ_ES}?</t>
  </si>
  <si>
    <t>¿{NP_PL_ES} {V_INTR_ES}?</t>
  </si>
  <si>
    <t>¿{POSS_NP_PL_ES} {V_INTR_ES}?</t>
  </si>
  <si>
    <t>{NP_ES} {V_INTR_FUT_ES} {ADV_ES}.</t>
  </si>
  <si>
    <t>{POSS_NP_ES} {V_INTR_FUT_ES}.</t>
  </si>
  <si>
    <t>{AGENT_NP_ES} {V_TR_FUT_ES} {THEME_NP_ES}.</t>
  </si>
  <si>
    <t>¿{NP_ES} {COP_ES} {ADJ_ES}?</t>
  </si>
  <si>
    <t>¿{POSS_NP_ES} {COP_ES} {ADJ_ES}?</t>
  </si>
  <si>
    <t>{AGENT_NP_ES} {V_DITR_ES} {THEME_NP_ES} a {NP_ES}.</t>
  </si>
  <si>
    <t>¿{AGENT_NP_ES} {V_DITR_PST_ES} {THEME_NP_ES} a {GOAL_NP_ES}?</t>
  </si>
  <si>
    <t>¿{AGENT_NP_ES} {V_DITR_FUT_ES} {THEME_NP_ES} a {GOAL_NP_ES}?</t>
  </si>
  <si>
    <t>{AGENT_NP_ES} {V_DITR_FUT_ES} {THEME_NP_ES} a {GOAL_NP_ES}.</t>
  </si>
  <si>
    <t>{AGENT_NP_ES} no {V_DITR_FUT_ES} {THEME_NP_ES} a {POSS_NP_ES}.</t>
  </si>
  <si>
    <t>{NP_ES} {V_DITR_FUT_ES} {POSS_NP_ES} a {RECIP_NP_ES}.</t>
  </si>
  <si>
    <t>¿{NP_ES} {V_DITR_FUT_ES} {OBJ_NP_ES} a {RECIP_NP_ES}?</t>
  </si>
  <si>
    <t>Existential clause (non-possessed NP).</t>
  </si>
  <si>
    <t>There is water.</t>
  </si>
  <si>
    <t>There is no water.</t>
  </si>
  <si>
    <t>{NEG_PRE} {EXIST} {NEG_SUF} {NP}.</t>
  </si>
  <si>
    <t>Patient Self-Description</t>
  </si>
  <si>
    <t>Doctor Question</t>
  </si>
  <si>
    <t>Doctor Observation</t>
  </si>
  <si>
    <t>Instruction</t>
  </si>
  <si>
    <t>My {BODY_PART} hurts.</t>
  </si>
  <si>
    <t>Me duele el/la {BODY_PART}.</t>
  </si>
  <si>
    <t>I have pain in my {BODY_PART}.</t>
  </si>
  <si>
    <t>Tengo dolor en mi {BODY_PART}.</t>
  </si>
  <si>
    <t>There’s a strange feeling in my {BODY_PART}.</t>
  </si>
  <si>
    <t>Siento una sensación extraña en mi {BODY_PART}.</t>
  </si>
  <si>
    <t>My {BODY_PART} feels numb.</t>
  </si>
  <si>
    <t>Mi {BODY_PART} está entumecido/a.</t>
  </si>
  <si>
    <t>My {BODY_PART} tingles.</t>
  </si>
  <si>
    <t>Siento hormigueo en mi {BODY_PART}.</t>
  </si>
  <si>
    <t>My {BODY_PART} is swollen.</t>
  </si>
  <si>
    <t>Mi {BODY_PART} está hinchado/a.</t>
  </si>
  <si>
    <t>I can’t move my {BODY_PART}.</t>
  </si>
  <si>
    <t>No puedo mover mi {BODY_PART}.</t>
  </si>
  <si>
    <t>I injured my {BODY_PART}.</t>
  </si>
  <si>
    <t>Me lastimé el/la {BODY_PART}.</t>
  </si>
  <si>
    <t>My right {BODY_PART} feels weaker than the left.</t>
  </si>
  <si>
    <t>Mi {BODY_PART} derecho/a se siente más débil que el izquierdo/a.</t>
  </si>
  <si>
    <t>There’s a lump on my {BODY_PART}.</t>
  </si>
  <si>
    <t>Tengo un bulto en mi {BODY_PART}.</t>
  </si>
  <si>
    <t>Where exactly does your {BODY_PART} hurt?</t>
  </si>
  <si>
    <t>¿Dónde exactamente le duele el/la {BODY_PART}?</t>
  </si>
  <si>
    <t>How long has your {BODY_PART} been hurting?</t>
  </si>
  <si>
    <t>¿Desde cuándo le duele el/la {BODY_PART}?</t>
  </si>
  <si>
    <t>Does your {BODY_PART} hurt all the time or only when you move it?</t>
  </si>
  <si>
    <t>¿Le duele el/la {BODY_PART} todo el tiempo o solo cuando la/lo mueve?</t>
  </si>
  <si>
    <t>Is the pain in your {BODY_PART} sharp or dull?</t>
  </si>
  <si>
    <t>¿El dolor en su {BODY_PART} es agudo o sordo?</t>
  </si>
  <si>
    <t>Can you show me your {BODY_PART}?</t>
  </si>
  <si>
    <t>¿Puede mostrarme su {BODY_PART}?</t>
  </si>
  <si>
    <t>Can you bend your {BODY_PART}?</t>
  </si>
  <si>
    <t>¿Puede doblar su {BODY_PART}?</t>
  </si>
  <si>
    <t>Do you feel this when I touch your {BODY_PART}?</t>
  </si>
  <si>
    <t>¿Siente esto cuando toco su {BODY_PART}?</t>
  </si>
  <si>
    <t>Your {BODY_PART} looks inflamed.</t>
  </si>
  <si>
    <t>Su {BODY_PART} parece inflamado/a.</t>
  </si>
  <si>
    <t>Has your {BODY_PART} improved since last visit?</t>
  </si>
  <si>
    <t>¿Ha mejorado su {BODY_PART} desde la última visita?</t>
  </si>
  <si>
    <t>Did you fall on your {BODY_PART}?</t>
  </si>
  <si>
    <t>¿Se cayó sobre su {BODY_PART}?</t>
  </si>
  <si>
    <t>The {BODY_PART} appears swollen/red/bruised.</t>
  </si>
  <si>
    <t>El/la {BODY_PART} parece hinchado/a, rojo/a o con moretones.</t>
  </si>
  <si>
    <t>Tenderness over the {BODY_PART}.</t>
  </si>
  <si>
    <t>Sensibilidad al tocar el/la {BODY_PART}.</t>
  </si>
  <si>
    <t>Limited range of motion in the {BODY_PART}.</t>
  </si>
  <si>
    <t>Movimiento limitado en el/la {BODY_PART}.</t>
  </si>
  <si>
    <t>No deformity noted in the {BODY_PART}.</t>
  </si>
  <si>
    <t>No se observa deformidad en el/la {BODY_PART}.</t>
  </si>
  <si>
    <t>The skin over the {BODY_PART} is warm to touch.</t>
  </si>
  <si>
    <t>La piel sobre el/la {BODY_PART} está caliente al tacto.</t>
  </si>
  <si>
    <t>The left {BODY_PART} is larger than the right.</t>
  </si>
  <si>
    <t>El/la {BODY_PART} izquierdo/a es más grande que el/la derecho/a.</t>
  </si>
  <si>
    <t>A small lesion was noted on the {BODY_PART}.</t>
  </si>
  <si>
    <t>Se observó una pequeña lesión en el/la {BODY_PART}.</t>
  </si>
  <si>
    <t>Scarring present on the {BODY_PART}.</t>
  </si>
  <si>
    <t>Cicatriz presente en el/la {BODY_PART}.</t>
  </si>
  <si>
    <t>Please raise your {BODY_PART}.</t>
  </si>
  <si>
    <t>Por favor, levante su {BODY_PART}.</t>
  </si>
  <si>
    <t>Try to rotate your {BODY_PART}.</t>
  </si>
  <si>
    <t>Intente girar su {BODY_PART}.</t>
  </si>
  <si>
    <t>Keep your {BODY_PART} still.</t>
  </si>
  <si>
    <t>Mantenga quieto/a su {BODY_PART}.</t>
  </si>
  <si>
    <t>I’m going to check your {BODY_PART}.</t>
  </si>
  <si>
    <t>Voy a revisar su {BODY_PART}.</t>
  </si>
  <si>
    <t>Apply this cream to your {BODY_PART} twice a day.</t>
  </si>
  <si>
    <t>Aplique esta crema en su {BODY_PART} dos veces al día.</t>
  </si>
  <si>
    <t>Keep your {BODY_PART} elevated.</t>
  </si>
  <si>
    <t>Mantenga su {BODY_PART} elevado/a.</t>
  </si>
  <si>
    <t>Wrap your {BODY_PART} with this bandage.</t>
  </si>
  <si>
    <t>Venda su {BODY_PART} con esta venda.</t>
  </si>
  <si>
    <t>Avoid putting weight on your {BODY_PART}.</t>
  </si>
  <si>
    <t>Evite poner peso sobre su {BODY_PART}.</t>
  </si>
  <si>
    <t>My {BODY_PART} feels cold.</t>
  </si>
  <si>
    <t>Mi {BODY_PART} está frío/a.</t>
  </si>
  <si>
    <t>I feel it in my {BODY_PART}.</t>
  </si>
  <si>
    <t>Lo siento en mi {BODY_PART}.</t>
  </si>
  <si>
    <t>The sun burned my {BODY_PART}.</t>
  </si>
  <si>
    <t>El sol me quemó el/la {BODY_PART}.</t>
  </si>
  <si>
    <t>My {BODY_PART} looks strange.</t>
  </si>
  <si>
    <t>Mi {BODY_PART} se ve raro/a.</t>
  </si>
  <si>
    <t>My {BODY_PART} is healing.</t>
  </si>
  <si>
    <t>Mi {BODY_PART} se está curando.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</si>
  <si>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</si>
  <si>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</si>
  <si>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</si>
  <si>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</si>
  <si>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</si>
  <si>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</si>
  <si>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</si>
  <si>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</si>
  <si>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</si>
  <si>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</si>
  <si>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</si>
  <si>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</si>
  <si>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</si>
  <si>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</si>
  <si>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</si>
  <si>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</si>
  <si>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</si>
  <si>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</si>
  <si>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</si>
  <si>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</si>
  <si>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</si>
  <si>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</si>
  <si>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</si>
  <si>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</si>
  <si>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</si>
  <si>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</si>
  <si>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</si>
  <si>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</si>
  <si>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</si>
  <si>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</si>
  <si>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</si>
  <si>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</si>
  <si>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</si>
  <si>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</si>
  <si>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</si>
  <si>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</si>
  <si>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</si>
  <si>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</si>
  <si>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</si>
  <si>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</si>
  <si>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</si>
  <si>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My knee hurts.</t>
  </si>
  <si>
    <t>I have pain in my shoulder.</t>
  </si>
  <si>
    <t>There’s a strange feeling in my arm.</t>
  </si>
  <si>
    <t>My hand feels numb.</t>
  </si>
  <si>
    <t>My fingers tingle.</t>
  </si>
  <si>
    <t>My ankle is swollen.</t>
  </si>
  <si>
    <t>I can’t move my wrist.</t>
  </si>
  <si>
    <t>I injured my back.</t>
  </si>
  <si>
    <t>My right leg feels weaker than the left.</t>
  </si>
  <si>
    <t>There’s a lump on my neck.</t>
  </si>
  <si>
    <t>Where exactly does your abdomen hurt?</t>
  </si>
  <si>
    <t>How long has your shoulder been hurting?</t>
  </si>
  <si>
    <t>Does your leg hurt all the time or only when you move it?</t>
  </si>
  <si>
    <t>Is the pain in your chest sharp or dull?</t>
  </si>
  <si>
    <t>Can you show me your arm?</t>
  </si>
  <si>
    <t>Can you bend your knee?</t>
  </si>
  <si>
    <t>Do you feel this when I touch your foot?</t>
  </si>
  <si>
    <t>Your throat looks inflamed.</t>
  </si>
  <si>
    <t>Has your ankle improved since last visit?</t>
  </si>
  <si>
    <t>Did you fall on your wrist?</t>
  </si>
  <si>
    <t>The arm appears swollen.</t>
  </si>
  <si>
    <t>Tenderness over the ribs.</t>
  </si>
  <si>
    <t>Limited range of motion in the elbow.</t>
  </si>
  <si>
    <t>No deformity noted in the leg.</t>
  </si>
  <si>
    <t>The skin over the calf is warm to touch.</t>
  </si>
  <si>
    <t>The left foot is larger than the right.</t>
  </si>
  <si>
    <t>A small lesion was noted on the neck.</t>
  </si>
  <si>
    <t>Scarring present on the abdomen.</t>
  </si>
  <si>
    <t>Please raise your arm.</t>
  </si>
  <si>
    <t>Try to rotate your shoulder.</t>
  </si>
  <si>
    <t>Keep your leg still.</t>
  </si>
  <si>
    <t>I’m going to check your throat.</t>
  </si>
  <si>
    <t>Apply this cream to your hand twice a day.</t>
  </si>
  <si>
    <t>Keep your foot elevated.</t>
  </si>
  <si>
    <t>Wrap your ankle with this bandage.</t>
  </si>
  <si>
    <t>Avoid putting weight on your knee.</t>
  </si>
  <si>
    <t>My hands feel cold.</t>
  </si>
  <si>
    <t>I feel it in my chest.</t>
  </si>
  <si>
    <t>The sun burned my neck.</t>
  </si>
  <si>
    <t>My skin looks strange.</t>
  </si>
  <si>
    <t>My wound is healing.</t>
  </si>
  <si>
    <t>{AGENT_NP_EN} {V_TR_EN} {THEME_NP_EN}.</t>
  </si>
  <si>
    <t>{AGENT_NP_ES} {V_TR_ES} {THEME_NP_ES}.</t>
  </si>
  <si>
    <t>{NEG_PRE} {V_TR} {NEG_SUF} {AGENT_NP} {THEME_NP}.</t>
  </si>
  <si>
    <t>Transitive past</t>
  </si>
  <si>
    <t>Transitive past with adverb</t>
  </si>
  <si>
    <t>{V_TR_PST} {ADV} {THEME_NP} {AGENT_NP}.</t>
  </si>
  <si>
    <t>{YN_Q_MARKER} {V_TR} {THEME_NP} {AGENT_NP}?</t>
  </si>
  <si>
    <t>{V_TR_PST} {THEME_NP} {AGENT_NP}.</t>
  </si>
  <si>
    <t>{V_TR_FUT} {THEME_NP} {AGENT_NP}.</t>
  </si>
  <si>
    <t>Transitive future</t>
  </si>
  <si>
    <t>{AGENT_NP_EN} did not {V_TR_BASE_EN} {THEME_NP_EN}.</t>
  </si>
  <si>
    <t>{AGENT_NP_ES} no {V_TR_PST_ES} {THEME_NP_ES}.</t>
  </si>
  <si>
    <t>{NEG_PRE} {V_TR_FUT} {NEG_SUF} {THEME_NP} {AGENT_NP}.</t>
  </si>
  <si>
    <t>{AGENT_NP_ES} no {V_TR_FUT_ES} {THEME_NP_ES}.</t>
  </si>
  <si>
    <t>¿{AGENT_NP_ES} {V_TR_PST_ES} {THEME_NP_ES}?</t>
  </si>
  <si>
    <t>¿{AGENT_NP_ES} {V_TR_FUT_ES} {THEME_NP_ES}?</t>
  </si>
  <si>
    <t>{YN_Q_MARKER} {V_TR_FUT} {THEME_NP} {AGENT_NP}?</t>
  </si>
  <si>
    <t>{YN_Q_MARKER} {V_TR_PST} {THEME_NP} {AGENT_NP}?</t>
  </si>
  <si>
    <t>{AGENT_NP_EN} {V_TR_PST_EN} {POSS_NP_EN}.</t>
  </si>
  <si>
    <t>{AGENT_NP_ES} {V_TR_PST_ES} {POSS_NP_ES}.</t>
  </si>
  <si>
    <t>{WH_TIME} {V_TR_FUT} {THEME_NP} {AGENT_NP}?</t>
  </si>
  <si>
    <t>{V_TR_FUT} {ADV} {THEME_NP} {AGENT_NP}.</t>
  </si>
  <si>
    <t>{ADJ} {NAME}.</t>
  </si>
  <si>
    <t>{NEG_PRE} {ADJ} {NEG_SUF} {NAME}.</t>
  </si>
  <si>
    <t>Carlos is kind</t>
  </si>
  <si>
    <t>Carlos is not kind</t>
  </si>
  <si>
    <t>Is Carlos kind?</t>
  </si>
  <si>
    <t>{YN_Q_MARKER} {ADJ} {NAME}?</t>
  </si>
  <si>
    <t>{V_INTR} {NAME}.</t>
  </si>
  <si>
    <t>Pedro coughs.</t>
  </si>
  <si>
    <t>{NEG_PRE} {V_INTR} {NEG_SUF} {NAME}.</t>
  </si>
  <si>
    <t>Pedro doesn't cough.</t>
  </si>
  <si>
    <t>Pedro coughs badly.</t>
  </si>
  <si>
    <t>Does Pedro cough?</t>
  </si>
  <si>
    <r>
      <rPr>
        <sz val="11"/>
        <color theme="1"/>
        <rFont val="Aptos Narrow"/>
        <family val="2"/>
      </rPr>
      <t>¿</t>
    </r>
    <r>
      <rPr>
        <sz val="11"/>
        <color theme="1"/>
        <rFont val="Aptos Narrow"/>
        <family val="2"/>
        <scheme val="minor"/>
      </rPr>
      <t>{NP_ES} {V_INTR_ES}?</t>
    </r>
  </si>
  <si>
    <t>¿{POSS_NP_ES} {V_INTR_ES}?</t>
  </si>
  <si>
    <t>{ADV} {V_INTR} {NAME}.</t>
  </si>
  <si>
    <t>{YN_Q_MARKER} {V_INTR} {NAME}?</t>
  </si>
  <si>
    <t>{V_TR} {THEME_NP} {NAME}.</t>
  </si>
  <si>
    <t>Transitive with proper name subject.</t>
  </si>
  <si>
    <t>Maria reads the book.</t>
  </si>
  <si>
    <t>{NEG_PRE} {V_TR} {NEG_SUF} {THEME_NP} {NAME}.</t>
  </si>
  <si>
    <t>Negative transitive with name subject.</t>
  </si>
  <si>
    <t>Pedro does not eat the tortilla.</t>
  </si>
  <si>
    <t>{ADV} {V_TR} {THEME_NP} {NAME}.</t>
  </si>
  <si>
    <t>Transitive with adverb and name.</t>
  </si>
  <si>
    <t>Maria reads the book quickly.</t>
  </si>
  <si>
    <t>{YN_Q_MARKER} {V_TR} {THEME_NP} {NAME}?</t>
  </si>
  <si>
    <t>Yes/no question with name subject.</t>
  </si>
  <si>
    <t>Does Carlos eat the tortilla?</t>
  </si>
  <si>
    <t>Intransitive progressive (present) with lexical NP subject.</t>
  </si>
  <si>
    <t>The child is running.</t>
  </si>
  <si>
    <t>Intransitive progressive (present) with adverb.</t>
  </si>
  <si>
    <t>The child is running quickly.</t>
  </si>
  <si>
    <t>Intransitive progressive with possessed subject (often body parts).</t>
  </si>
  <si>
    <t>My head is hurting.</t>
  </si>
  <si>
    <t>Intransitive progressive (present) with pronoun subject.</t>
  </si>
  <si>
    <t>I am running.</t>
  </si>
  <si>
    <t>Yes/no question with intransitive progressive (present).</t>
  </si>
  <si>
    <t>Is the child running?</t>
  </si>
  <si>
    <t>Transitive progressive (present).</t>
  </si>
  <si>
    <t>The teacher is reading the book.</t>
  </si>
  <si>
    <t>Transitive progressive (present) with adverb.</t>
  </si>
  <si>
    <t>The teacher is reading the book quickly.</t>
  </si>
  <si>
    <t>Ditransitive progressive (present): theme to a recipient.</t>
  </si>
  <si>
    <t>The teacher is giving the book to the student.</t>
  </si>
  <si>
    <t>Yes/no question with transitive progressive (present).</t>
  </si>
  <si>
    <t>Is the man eating the tortilla?</t>
  </si>
  <si>
    <t>{YN_Q_MARKER} {V_DITR} {THEME_NP} {GOAL_REL} {GOAL_NP} {AGENT_NP}?</t>
  </si>
  <si>
    <t>Yes/no question for ditransitive in the present.</t>
  </si>
  <si>
    <t>Does the boy give the book to the girl?</t>
  </si>
  <si>
    <t>Existential clause with plural NP.</t>
  </si>
  <si>
    <t>There are houses.</t>
  </si>
  <si>
    <t>Negative existential with plural NP.</t>
  </si>
  <si>
    <t>There are no houses.</t>
  </si>
  <si>
    <t>Existential with numeral + plural NP.</t>
  </si>
  <si>
    <t>There are three houses.</t>
  </si>
  <si>
    <t>Intransitive progressive (present) with proper-name subject.</t>
  </si>
  <si>
    <t>Pedro is coughing.</t>
  </si>
  <si>
    <t>Yes/no question, transitive progressive, proper-name subject.</t>
  </si>
  <si>
    <t>Is Maria reading the book?</t>
  </si>
  <si>
    <t>¿{AGENT_NP_ES} {V_DITR_ES} {THEME_NP_ES} a {GOAL_NP_ES}?</t>
  </si>
  <si>
    <t>{SUBJ_PRONOUN_EN} {V_INTR_EN}.</t>
  </si>
  <si>
    <t>{SUBJ_PRONOUN_EN} {V_INTR_PST_EN}.</t>
  </si>
  <si>
    <t>{SUBJ_PRONOUN_EN} {V_INTR_PST_EN} {ADV_EN}.</t>
  </si>
  <si>
    <t>{SUBJ_PRONOUN_ES} {V_INTR_FUT_ES}.</t>
  </si>
  <si>
    <t>{SUBJ_PRONOUN_ES} {V_INTR_ES}.</t>
  </si>
  <si>
    <t>{SUBJ_PRONOUN_ES} {V_INTR_PST_ES}.</t>
  </si>
  <si>
    <t>{SUBJ_PRONOUN_ES} no {V_INTR_ES}.</t>
  </si>
  <si>
    <t>{SUBJ_PRONOUN_ES} no {V_INTR_PST_ES}.</t>
  </si>
  <si>
    <t>{SUBJ_PRONOUN_ES} {V_INTR_PST_ES} {ADV_ES}.</t>
  </si>
  <si>
    <t>{V_INTR_FUT_ES}.</t>
  </si>
  <si>
    <t>{V_INTR_ES}.</t>
  </si>
  <si>
    <t>{V_INTR_PST_ES}.</t>
  </si>
  <si>
    <t>No {V_INTR_ES}.</t>
  </si>
  <si>
    <t>No {V_INTR_PST_ES}.</t>
  </si>
  <si>
    <t>{SUBJ_PRONOUN_ES} {V_INTR_FUT_ES} {ADV_ES}.</t>
  </si>
  <si>
    <t>{AGENT_NP_ES} {V_TR_FUT_ES} {POSS_NP_ES}.</t>
  </si>
  <si>
    <t>{NAME_EN} {V_INTR_EN}.</t>
  </si>
  <si>
    <t>{NAME_ES} {COP_ES} {ADJ_ES}.</t>
  </si>
  <si>
    <t>¿{NAME_ES} {COP_ES} {ADJ_ES}?</t>
  </si>
  <si>
    <t>{NAME_ES} {V_INTR_ES}.</t>
  </si>
  <si>
    <t>{NAME_ES} no {V_INTR_ES}.</t>
  </si>
  <si>
    <t>{NAME_EN} {V_INTR_EN} {ADV_EN}.</t>
  </si>
  <si>
    <t>{NAME_ES} {V_INTR_ES} {ADV_ES}.</t>
  </si>
  <si>
    <r>
      <rPr>
        <sz val="11"/>
        <color theme="1"/>
        <rFont val="Aptos Narrow"/>
        <family val="2"/>
      </rPr>
      <t>¿</t>
    </r>
    <r>
      <rPr>
        <sz val="11"/>
        <color theme="1"/>
        <rFont val="Aptos Narrow"/>
        <family val="2"/>
        <scheme val="minor"/>
      </rPr>
      <t>{NAME_ES}  {V_INTR_ES}?</t>
    </r>
  </si>
  <si>
    <t>{NAME_EN} {V_TR_EN} {THEME_NP_EN}.</t>
  </si>
  <si>
    <t>{NAME_EN} {V_TR_EN} {THEME_NP_EN} {ADV_EN}.</t>
  </si>
  <si>
    <t>{NAME_ES} {V_TR_ES} {THEME_NP_ES}.</t>
  </si>
  <si>
    <t>{NAME_ES} no {V_TR_ES} {THEME_NP_ES}.</t>
  </si>
  <si>
    <t>{NAME_ES} {V_TR_ES} {THEME_NP_ES} {ADV_ES}.</t>
  </si>
  <si>
    <t>¿{NAME_ES} {V_TR_ES} {THEME_NP_ES}?</t>
  </si>
  <si>
    <t>{V_TR_IMP} {THEME_NP}!</t>
  </si>
  <si>
    <t>{V_TR_IMP_EN} {THEME_NP_EN}!</t>
  </si>
  <si>
    <t>{V_TR_IMP_ES} {THEME_NP_ES}!</t>
  </si>
  <si>
    <t>{V_TR_IMP_NEG} {THEME_NP}!</t>
  </si>
  <si>
    <t>{V_TR_IMP_NEG_ES} {THEME_NP_ES}!</t>
  </si>
  <si>
    <t>{V_INTR_IMP_ES}!</t>
  </si>
  <si>
    <t>{V_INTR_IMP_NEG_ES}!</t>
  </si>
  <si>
    <t>{V_INTR_IMP}!</t>
  </si>
  <si>
    <t>{V_INTR_IMP_EN}!</t>
  </si>
  <si>
    <t>{V_INTR_IMP_NEG}!</t>
  </si>
  <si>
    <t>{V_INTR_IMP_PL}!</t>
  </si>
  <si>
    <t>{V_INTR_IMP_NEG_PL}!</t>
  </si>
  <si>
    <t>{EXIST_EN} {NUM_NP_EN}.</t>
  </si>
  <si>
    <t>{EXIST_ES} {NUM_NP_ES}.</t>
  </si>
  <si>
    <t>{EXIST} {NUM_NP}.</t>
  </si>
  <si>
    <t>The children ran</t>
  </si>
  <si>
    <t>{NP_PL_ES} {V_INTR_PST_ES}.</t>
  </si>
  <si>
    <t>The children ran quickly.</t>
  </si>
  <si>
    <t>Intransitive past tense, definite plural subject</t>
  </si>
  <si>
    <t>Intransitive past tense, definite plural subject, with adverb.</t>
  </si>
  <si>
    <t>{EXIST_NEG_EN} {NP_PL_INDEF_EN}.</t>
  </si>
  <si>
    <t>{WH_TIME} {V_INTR_PST} {NP}?</t>
  </si>
  <si>
    <t>{WH_TIME} {V_INTR_FUT} {ADV} {NP}?</t>
  </si>
  <si>
    <t>¿{SUBJ_PRONOUN_ES} {V_INTR_FUT_ES} {ADV_ES}?</t>
  </si>
  <si>
    <t>Are there oranges?</t>
  </si>
  <si>
    <t>When did the girl leave?</t>
  </si>
  <si>
    <t>When will the children arrive tomorrow?</t>
  </si>
  <si>
    <t>Is María reading?</t>
  </si>
  <si>
    <t>They are not eating.</t>
  </si>
  <si>
    <t>Is the teacher giving the book to the student?</t>
  </si>
  <si>
    <t>Will you dance tomorrow?</t>
  </si>
  <si>
    <t>Dance!</t>
  </si>
  <si>
    <t>The boys do not see the book.</t>
  </si>
  <si>
    <t>declarative transitive negative, plural subject</t>
  </si>
  <si>
    <t>{NEG_PRE} {V_TR} {NEG_SUF} {THEME_NP_PL} {AGENT_NP_PL}.</t>
  </si>
  <si>
    <t>The boys see the book.</t>
  </si>
  <si>
    <t>declarative transitive, plural subject</t>
  </si>
  <si>
    <t>{AGENT_NP_PL_ES} {V_TR_ES} {THEME_NP_ES}.</t>
  </si>
  <si>
    <t>{SUBJ_PRONOUN_EN} {DO_NEG_EN} {V_INTR_BASE_EN}.</t>
  </si>
  <si>
    <t>{V_INTR_PST_ES} {ADV_ES}.</t>
  </si>
  <si>
    <t>{V_INTR_FUT_ES} {ADV_ES}.</t>
  </si>
  <si>
    <t>{NP_PL_ES} {COP_ES} {ADJ_ES}.</t>
  </si>
  <si>
    <t>{NAME_EN} {DO_NEG_EN} {V_INTR_BASE_EN}.</t>
  </si>
  <si>
    <t>{DO_AFF_EN} {NAME_EN} {V_INTR_BASE_EN}?</t>
  </si>
  <si>
    <t>{NP_EN} {DO_NEG_EN} {V_INTR_BASE_EN}.</t>
  </si>
  <si>
    <t>{POSS_NP_EN} {DO_NEG_EN} {V_INTR_BASE_EN}.</t>
  </si>
  <si>
    <t>{DO_AFF_EN} {NP_EN} {V_INTR_BASE_EN}?</t>
  </si>
  <si>
    <t>{DO_AFF_EN} {POSS_NP_EN} {V_INTR_BASE_EN}?</t>
  </si>
  <si>
    <t>{AGENT_NP_EN} {DO_NEG_EN} {V_TR_BASE_EN} {THEME_NP_EN}.</t>
  </si>
  <si>
    <t>{AGENT_NP_EN} {DO_NEG_EN} {V_TR_BASE_EN} {POSS_NP_EN}.</t>
  </si>
  <si>
    <t>{AGENT_NP_EN} {DO_NEG_EN} {V_DITR_BASE_EN} {THEME_NP_EN} to {NP_EN}.</t>
  </si>
  <si>
    <t>{AGENT_NP_EN} {DO_NEG_EN} {V_DITR_BASE_EN} {THEME_NP_EN} to {POSS_NP_EN}.</t>
  </si>
  <si>
    <t>{DO_AFF_EN} {AGENT_NP_EN} {V_TR_BASE_EN} {THEME_NP_EN}?</t>
  </si>
  <si>
    <t>{DO_AFF_EN} {AGENT_NP_EN} {V_TR_BASE_EN} {POSS_NP_EN}?</t>
  </si>
  <si>
    <t>{NAME_EN} {DO_NEG_EN} {V_TR_BASE_EN} {THEME_NP_EN}.</t>
  </si>
  <si>
    <t>{DO_AFF_EN} {NAME_EN} {V_TR_BASE_EN} {THEME_NP_EN}?</t>
  </si>
  <si>
    <t>{DO_AFF_EN} {AGENT_NP_EN} {V_DITR_BASE_EN} {THEME_NP_EN} to {GOAL_NP_EN}?</t>
  </si>
  <si>
    <t>{EXIST_ES} {NP_ES}.</t>
  </si>
  <si>
    <t>{EXIST_NEG_ES} {NP_ES}.</t>
  </si>
  <si>
    <t>{EXIST_EN} {NP_EN}.</t>
  </si>
  <si>
    <t>{EXIST_NEG_EN} {NP_EN}.</t>
  </si>
  <si>
    <t>I have a beanie.</t>
  </si>
  <si>
    <t>I don't have a dog.</t>
  </si>
  <si>
    <t>Kill the pig!</t>
  </si>
  <si>
    <t>Don't kill the pig!</t>
  </si>
  <si>
    <t>{NP_PL_INDEF_ES} {COP_ES} {ADJ_ES}.</t>
  </si>
  <si>
    <t>{DO_AFF_EN} {SUBJ_PRONOUN_EN} {V_POSS_TR_BASE_EN} {THEME_NP_INDEF_EN}?</t>
  </si>
  <si>
    <t>{NAME_EN} {V_POSS_TR_EN} {THEME_NP_INDEF_EN}.</t>
  </si>
  <si>
    <t>{DO_AFF_EN} {SUBJ_PRONOUN_EN} {V_POSS_TR_BASE_EN} any {THEME_NP_PL_INDEF_EN}?</t>
  </si>
  <si>
    <t>{NAME_EN} {V_POSS_TR_EN} {THEME_NP_PL_INDEF_EN}.</t>
  </si>
  <si>
    <t>{YN_Q_MARKER} {V_INTR_FUT}?</t>
  </si>
  <si>
    <t>{YN_Q_MARKER} {V_INTR_FUT} {ADV} ?</t>
  </si>
  <si>
    <t>I am a fireman</t>
  </si>
  <si>
    <t>Mateo is a chef</t>
  </si>
  <si>
    <t>{OCCUPATION} {NAME}.</t>
  </si>
  <si>
    <t>Notes</t>
  </si>
  <si>
    <t>Adverbs don't seem common - maybe drop?</t>
  </si>
  <si>
    <t>{ADV} {V_INTR} {POSS_NP}.</t>
  </si>
  <si>
    <t>Don't y'all kill the pig!</t>
  </si>
  <si>
    <t>{V_TR_IMP_PL} {THEME_NP}!</t>
  </si>
  <si>
    <t>{V_TR_IMP_NEG_PL} {THEME_NP}!</t>
  </si>
  <si>
    <t>{V_INTR_FUT}.</t>
  </si>
  <si>
    <t>{V_INTR}.</t>
  </si>
  <si>
    <t>{V_INTR_PST}.</t>
  </si>
  <si>
    <t>{NEG_PRE} {V_INTR} {NEG_SUF}.</t>
  </si>
  <si>
    <t>{NEG_PRE} {V_INTR_PST} {NEG_SUF}.</t>
  </si>
  <si>
    <t>{V_INTR_PROG} {NP}.</t>
  </si>
  <si>
    <t>{V_INTR_PROG} {POSS_NP}.</t>
  </si>
  <si>
    <t>{V_INTR_PROG} {NAME}.</t>
  </si>
  <si>
    <t>{NP_ES} {V_INTR_PROG_ES}.</t>
  </si>
  <si>
    <t>{POSS_NP_ES} {V_INTR_PROG_ES}.</t>
  </si>
  <si>
    <t>{SUBJ_PRONOUN_ES} {V_INTR_PROG_ES}.</t>
  </si>
  <si>
    <t>{V_INTR_PROG_ES}.</t>
  </si>
  <si>
    <t>{ADV} {V_INTR_PROG} {NP}.</t>
  </si>
  <si>
    <t>{NP_ES} {V_INTR_PROG_ES} {ADV_ES}.</t>
  </si>
  <si>
    <t>{YN_Q_MARKER} {V_INTR_PROG} {NP}?</t>
  </si>
  <si>
    <t>¿{NP_ES} {V_INTR_PROG_ES}?</t>
  </si>
  <si>
    <t>{V_TR_PROG} {THEME_NP} {AGENT_NP}.</t>
  </si>
  <si>
    <t>{AGENT_NP_ES} {V_TR_PROG_ES} {THEME_NP_ES}.</t>
  </si>
  <si>
    <t>{ADV} {V_TR_PROG} {THEME_NP} {AGENT_NP}.</t>
  </si>
  <si>
    <t>{AGENT_NP_ES} {V_TR_PROG_ES} {THEME_NP_ES} {ADV_ES}.</t>
  </si>
  <si>
    <t>{V_DITR_PROG} {THEME_NP} {GOAL_REL} {GOAL_NP} {AGENT_NP}.</t>
  </si>
  <si>
    <t>{AGENT_NP_ES} {V_DITR_PROG_ES} {THEME_NP_ES} a {GOAL_NP_ES}.</t>
  </si>
  <si>
    <t>{YN_Q_MARKER} {V_TR_PROG} {THEME_NP} {AGENT_NP}?</t>
  </si>
  <si>
    <t>¿{AGENT_NP_ES} {V_TR_PROG_ES} {THEME_NP_ES}?</t>
  </si>
  <si>
    <t>{NAME_ES} {V_INTR_PROG_ES}.</t>
  </si>
  <si>
    <t>{YN_Q_MARKER} {V_TR_PROG} {THEME_NP} {NAME}?</t>
  </si>
  <si>
    <t>{YN_Q_MARKER} {V_INTR_PROG} {NAME}?</t>
  </si>
  <si>
    <t>¿{NAME_ES} {V_INTR_PROG_ES}?</t>
  </si>
  <si>
    <t>{NEG_PRE} {V_INTR_PROG} {NEG_SUF}.</t>
  </si>
  <si>
    <t>{SUBJ_PRONOUN_ES} no {V_INTR_PROG_ES}.</t>
  </si>
  <si>
    <t>{YN_Q_MARKER} {V_DITR_PROG} {THEME_NP} {GOAL_REL} {GOAL_NP} {AGENT_NP}?</t>
  </si>
  <si>
    <t>¿{AGENT_NP_ES} {V_DITR_PROG_ES} {THEME_NP_ES} a {GOAL_NP_ES}?</t>
  </si>
  <si>
    <t>{V_TR_IMP_USTEDES_ES} {THEME_NP_ES}!</t>
  </si>
  <si>
    <t>{V_TR_IMP_USTEDES_NEG_ES} {THEME_NP_ES}!</t>
  </si>
  <si>
    <t>{V_INTR_IMP_USTEDES_ES}!</t>
  </si>
  <si>
    <t>{V_INTR_IMP_USTEDES_NEG_ES}!</t>
  </si>
  <si>
    <t>¿{V_INTR_FUT_ES}?</t>
  </si>
  <si>
    <t>{NP_EN} {BE_EN} {V_INTR_PROG_EN}.</t>
  </si>
  <si>
    <t>{POSS_NP_EN} {BE_EN} {V_INTR_PROG_EN}.</t>
  </si>
  <si>
    <t>{SUBJ_PRONOUN_EN} {BE_EN} {V_INTR_PROG_EN}.</t>
  </si>
  <si>
    <t>{NAME_EN} {BE_EN} {V_INTR_PROG_EN}.</t>
  </si>
  <si>
    <t>{NP_EN} {BE_EN} {V_INTR_PROG_EN} {ADV_EN}.</t>
  </si>
  <si>
    <t>{AGENT_NP_EN} {BE_EN} {V_TR_PROG_EN} {THEME_NP_EN}.</t>
  </si>
  <si>
    <t>{AGENT_NP_EN} {BE_EN} {V_TR_PROG_EN} {THEME_NP_EN} {ADV_EN}.</t>
  </si>
  <si>
    <t>{AGENT_NP_EN} {BE_EN} {V_DITR_PROG_EN} {THEME_NP_EN} to {GOAL_NP_EN}.</t>
  </si>
  <si>
    <t>{BE_EN} {POSS_NP_EN} {ADJ_EN}?</t>
  </si>
  <si>
    <t>{NAME_EN} {BE_EN} {ADJ_EN}.</t>
  </si>
  <si>
    <t>{BE_EN} {NAME_EN} {ADJ_EN}?</t>
  </si>
  <si>
    <t>{POSS_NP_EN} {BE_EN} {ADJ_EN}.</t>
  </si>
  <si>
    <t>{NP_EN} {BE_EN} {ADJ_EN}.</t>
  </si>
  <si>
    <t>{NP_EN} {BE_NEG_EN} {ADJ_EN}.</t>
  </si>
  <si>
    <t>{POSS_NP_EN} {BE_NEG_EN} {ADJ_EN}.</t>
  </si>
  <si>
    <t>{BE_EN} {NP_EN} {ADJ_EN}?</t>
  </si>
  <si>
    <t>{NAME_EN} {BE_NEG_EN} {ADJ_EN}.</t>
  </si>
  <si>
    <t>{WH_LOC_EN} {BE_EN} {POSS_NP_EN}?</t>
  </si>
  <si>
    <t>{BE_EN} {NP_EN} {V_INTR_PROG_EN}?</t>
  </si>
  <si>
    <t>{WH_LOC_EN} {BE_EN} {ADJ_EN} {NP_EN}?</t>
  </si>
  <si>
    <t>{WH_LOC_EN} {BE_EN} {NP_EN}?</t>
  </si>
  <si>
    <t>{NP_PL_EN} {BE_EN} {ADJ_EN}.</t>
  </si>
  <si>
    <t>{NP_PL_INDEF_EN} {BE_EN} {ADJ_EN}.</t>
  </si>
  <si>
    <t>{WH_LOC_EN} {BE_EN} {NP_PL_EN}?</t>
  </si>
  <si>
    <t>{POSS_NP_PL_EN} {BE_EN} {ADJ_EN}.</t>
  </si>
  <si>
    <t>{NP_PL_EN} {BE_NEG_EN} {ADJ_EN}.</t>
  </si>
  <si>
    <t>{POSS_NP_PL_EN} {BE_NEG_EN} {ADJ_EN}.</t>
  </si>
  <si>
    <t>{BE_EN} {NP_PL_EN} {ADJ_EN}?</t>
  </si>
  <si>
    <t>{BE_EN} {POSS_NP_PL_EN} {ADJ_EN}?</t>
  </si>
  <si>
    <t>{WH_LOC_EN} {BE_EN} {POSS_NP_PL_EN}?</t>
  </si>
  <si>
    <t>{V_TR} {THEME_NP} {AGENT_NP_PL}.</t>
  </si>
  <si>
    <t>¿{AGENT_NP_ES} {V_TR_ES} {POSS_NP_ES}?</t>
  </si>
  <si>
    <t>¿{AGENT_NP_ES} {V_TR_ES} {THEME_NP_ES}?</t>
  </si>
  <si>
    <t>{AGENT_NP_ES} no {V_TR_ES} {POSS_NP_ES}.</t>
  </si>
  <si>
    <t>{AGENT_NP_ES} no {V_TR_ES} {THEME_NP_ES}.</t>
  </si>
  <si>
    <t>{AGENT_NP_ES} {V_DITR_ES} {THEME_NP_ES} a {POSS_NP_ES}.</t>
  </si>
  <si>
    <t>Should replace AUX in en</t>
  </si>
  <si>
    <t>{NP_EN} {DO_NEG_PST_EN} {V_INTR_BASE_EN}.</t>
  </si>
  <si>
    <t>{POSS_NP_EN} {DO_NEG_PST_EN} {V_INTR_BASE_EN}.</t>
  </si>
  <si>
    <t>{DO_PST_EN} {NP_EN} {V_INTR_BASE_EN}?</t>
  </si>
  <si>
    <t>{DO_PST_EN} {AGENT_NP_EN} {V_TR_BASE_EN} {THEME_NP_EN}?</t>
  </si>
  <si>
    <t>{DO_PST_EN} {AGENT_NP_EN} {V_DITR_BASE_EN} {THEME_NP_EN} to {GOAL_NP_EN}?</t>
  </si>
  <si>
    <t>{DO_AFF_EN} {NP_PL_EN} {V_INTR_BASE_EN}?</t>
  </si>
  <si>
    <t>{DO_AFF_EN} {POSS_NP_PL_EN} {V_INTR_BASE_EN}?</t>
  </si>
  <si>
    <t>{NP_PL_EN} {DO_NEG_EN} {V_INTR_BASE_EN}.</t>
  </si>
  <si>
    <t>{POSS_NP_PL_EN} {DO_NEG_EN} {V_INTR_BASE_EN}.</t>
  </si>
  <si>
    <t>{NP_EN} {WILL_EN} {V_INTR_BASE_EN} {ADV_EN}.</t>
  </si>
  <si>
    <t>{AGENT_NP_EN} {WILL_EN} {V_TR_BASE_EN} {THEME_NP_EN}.</t>
  </si>
  <si>
    <t>{SUBJ_PRONOUN_EN} {DO_NEG_PST_EN} {V_INTR_BASE_EN}.</t>
  </si>
  <si>
    <t>{POSS_NP_EN} {WILL_EN} {V_INTR_BASE_EN}.</t>
  </si>
  <si>
    <t>{NP_EN} {WILL_NEG_EN} {V_INTR_BASE_EN}.</t>
  </si>
  <si>
    <t>{POSS_NP_EN} {WILL_NEG_EN} {V_INTR_BASE_EN}.</t>
  </si>
  <si>
    <t>{AGENT_NP_EN} {WILL_NEG_EN} {V_TR_BASE_EN} {THEME_NP_EN}.</t>
  </si>
  <si>
    <t>{SUBJ_PRONOUN_EN} {WILL_EN} {V_INTR_BASE_EN}.</t>
  </si>
  <si>
    <t>{WILL_EN} {NP_EN} {V_INTR_BASE_EN}?</t>
  </si>
  <si>
    <t>{WILL_EN} {NP_EN} {V_INTR_BASE_EN} {ADV_EN}?</t>
  </si>
  <si>
    <t>{WILL_EN} {AGENT_NP_EN} {V_TR_BASE_EN} {THEME_NP_EN}?</t>
  </si>
  <si>
    <t>{WILL_EN} {AGENT_NP_EN} {V_DITR_BASE_EN} {THEME_NP_EN} to {GOAL_NP_EN}?</t>
  </si>
  <si>
    <t>{NP_EN} {WILL_EN} {V_TR_BASE_EN} {POSS_NP_EN}.</t>
  </si>
  <si>
    <t>{NP_EN} {WILL_EN} {V_DITR_BASE_EN} {POSS_NP_EN} to {RECIP_NP_EN}.</t>
  </si>
  <si>
    <t>{NP_EN} {WILL_EN} {V_DITR_BASE_EN} {OBJ_NP_EN} to {RECIP_NP_EN} {ADV_EN}.</t>
  </si>
  <si>
    <t>{AGENT_NP_EN} {WILL_NEG_EN} {V_DITR_BASE_EN} {THEME_NP_EN} to {POSS_NP_EN}.</t>
  </si>
  <si>
    <t>{SUBJ_PRONOUN_EN} {WILL_EN} {V_INTR_BASE_EN} {ADV_EN}.</t>
  </si>
  <si>
    <t>{WH_TIME_EN} {WILL_EN} {NP_EN} {V_INTR_BASE_EN} {ADV_EN}?</t>
  </si>
  <si>
    <t>{WILL_EN} {SUBJ_PRONOUN_EN} {V_INTR_BASE_EN} {ADV_EN}?</t>
  </si>
  <si>
    <t>{AGENT_NP_EN} {WILL_EN} {V_DITR_BASE_EN} {THEME_NP_EN} to {GOAL_NP_EN}.</t>
  </si>
  <si>
    <t>{WILL_EN} {NP_EN} {V_DITR_BASE_EN} {OBJ_NP_EN} to {RECIP_NP_EN}?</t>
  </si>
  <si>
    <t>{WH_LOC_EN} {WILL_EN} {NP_EN} {V_INTR_BASE_EN}?</t>
  </si>
  <si>
    <t>{WH_TIME_EN} {WILL_EN} {AGENT_NP_EN} {V_TR_BASE_EN} {THEME_NP_EN}?</t>
  </si>
  <si>
    <t>{WILL_EN} {SUBJ_PRONOUN_EN} {V_INTR_BASE_EN}?</t>
  </si>
  <si>
    <t>Tense</t>
  </si>
  <si>
    <t>FUT</t>
  </si>
  <si>
    <t>{BE_EN} {NAME_EN} {V_INTR_PROG_EN}?</t>
  </si>
  <si>
    <t>{BE_EN} {AGENT_NP_EN} {V_DITR_PROG_EN} {THEME_NP_EN} to {GOAL_NP_EN}?</t>
  </si>
  <si>
    <t>Don't sleep!</t>
  </si>
  <si>
    <t>¿{WH_LOC_ES} {COP_ES} {POSS_NP_ES}?</t>
  </si>
  <si>
    <t>¿{WH_LOC_ES} {COP_ES} {NP_ES}?</t>
  </si>
  <si>
    <t>¿{WH_LOC_ES} {COP_ES} {POSS_NP_PL_ES}?</t>
  </si>
  <si>
    <t>¿{WH_LOC_ES} {COP_ES} {NP_PL_ES}?</t>
  </si>
  <si>
    <t>¿{WH_TIME_ES} {AGENT_NP_ES} {V_TR_FUT_ES} {THEME_NP_ES}?</t>
  </si>
  <si>
    <t>¿{WH_LOC_ES} {COP_ES} {ADJ_ES} {NP_ES}?</t>
  </si>
  <si>
    <t>¿{WH_TIME_ES} {AGENT_NP_ES} {V_TR_PST_ES} {THEME_NP_ES}?</t>
  </si>
  <si>
    <t>¿{WH_TIME_ES} {NP_ES} {V_INTR_PST_ES}?</t>
  </si>
  <si>
    <t>¿{WH_TIME_ES} {NP_ES} {V_INTR_FUT_ES} {ADV_ES}?</t>
  </si>
  <si>
    <t>Aspect</t>
  </si>
  <si>
    <t>Mood</t>
  </si>
  <si>
    <t>PST</t>
  </si>
  <si>
    <t>IMP</t>
  </si>
  <si>
    <t>{YN_Q_MARKER} {V_TR} {POSS_NP} {AGENT_NP}?</t>
  </si>
  <si>
    <t>Transitive clause. Preposed plural marker.</t>
  </si>
  <si>
    <t>Transitive clause. Postposed plural marker.</t>
  </si>
  <si>
    <t>Intransitive with adverbial modifier, possessed subject (preposed plural marker)</t>
  </si>
  <si>
    <t>Intransitive with adverbial modifier, possessed subject  (postposed plural marker)</t>
  </si>
  <si>
    <t>Negative attributive predicate for possessed subject  (preposed plural marker)</t>
  </si>
  <si>
    <t>Negative attributive predicate for possessed subject  (postposed plural marker)</t>
  </si>
  <si>
    <t>Yes/no question for an attributive predicate, possessed noun has preposed plural marker</t>
  </si>
  <si>
    <t>Yes/no question for an attributive predicate, possessed noun has postposed plural marker</t>
  </si>
  <si>
    <t>Intransitive clause with possessed subject (often body parts) with preposed plural marker.</t>
  </si>
  <si>
    <t>Negative intransitive with possessed subject (with preposed plural marker)</t>
  </si>
  <si>
    <t>Attributive predicate: a possessed noun in plural, with preposed plural marker, described by an adjective.</t>
  </si>
  <si>
    <t>Attributive predicate: a possessed noun in plural (with postposed plural marker) described by an adjective.</t>
  </si>
  <si>
    <t>Negative intransitive with possessed subject in plural (with postposed plural marker).</t>
  </si>
  <si>
    <t>Yes/no question with intransitive verb and possessed object (postposed plural marker).</t>
  </si>
  <si>
    <t>{BE_EN} {AGENT_NP_EN} {V_TR_PROG_EN} {THEME_NP_EN}?</t>
  </si>
  <si>
    <t>{NP_EN} {WILL_EN} {V_INTR_BASE_EN}.</t>
  </si>
  <si>
    <t>{EXIST_NEG_ES} {NP_PL_INDEF_ES}.</t>
  </si>
  <si>
    <t>{WH_LOC_EN} {BE_EN} {NAME_EN}?</t>
  </si>
  <si>
    <t>¿{WH_LOC_ES} {COP_ES} {NAME_ES}?</t>
  </si>
  <si>
    <t>Where is Mateo?</t>
  </si>
  <si>
    <t>PROG</t>
  </si>
  <si>
    <t>Transitivity</t>
  </si>
  <si>
    <t>PRS</t>
  </si>
  <si>
    <t>Don't dance!</t>
  </si>
  <si>
    <t>She sends a letter to the office.</t>
  </si>
  <si>
    <t>{WH_LOC} {V_INTR_PST} {NP}?</t>
  </si>
  <si>
    <t>{WH_TIME} {V_TR_PST} {AGENT_NP} {THEME_NP}?</t>
  </si>
  <si>
    <t>Dance, y' all!</t>
  </si>
  <si>
    <t>Kill the pig, y'all!</t>
  </si>
  <si>
    <t>{V_TR} {POSS_NP_PL_PRE} {AGENT_NP}.</t>
  </si>
  <si>
    <t>{V_TR} {POSS_NP_PL_POST} {AGENT_NP}.</t>
  </si>
  <si>
    <t>{AGENT_NP_EN} {V_TR_EN} {THEME_POSS_NP_PL_EN}.</t>
  </si>
  <si>
    <t>{AGENT_NP_ES} {V_TR_ES} {THEME_POSS_NP_PL_ES}.</t>
  </si>
  <si>
    <t>{NP_ES} {COP_NEG_ES} {ADJ_ES}.</t>
  </si>
  <si>
    <t>{POSS_NP_ES} {COP_NEG_ES} {ADJ_ES}.</t>
  </si>
  <si>
    <t>{NP_PL_ES} {COP_NEG_ES} {ADJ_ES}.</t>
  </si>
  <si>
    <t>{POSS_NP_PL_ES} {COP_NEG_ES} {ADJ_ES}.</t>
  </si>
  <si>
    <t>{NAME_ES} {COP_NEG_ES} {ADJ_ES}.</t>
  </si>
  <si>
    <t>¿{WH_LOC_ES} {V_INTR_FUT_ES} {NP_ES}?</t>
  </si>
  <si>
    <t>¿{WH_LOC_ES} {V_INTR_PST_ES} {NP_ES}?</t>
  </si>
  <si>
    <t>{NP_ES} {V_ES_PST} {OBJ_NP_ES} a {RECIP_NP_ES} {ADV_ES}.</t>
  </si>
  <si>
    <t>{AGENT_NP_ES} no {V_DITR_PST_ES} {THEME_NP_ES} a {POSS_NP_ES}.</t>
  </si>
  <si>
    <t>Past tense with pronoun subject (not showing in Spanish)</t>
  </si>
  <si>
    <t>Future tense with pronoun subject (not showing in Spanish)</t>
  </si>
  <si>
    <t>1-cop</t>
  </si>
  <si>
    <t>2-intr</t>
  </si>
  <si>
    <t>3-tr</t>
  </si>
  <si>
    <t>4-tr-have</t>
  </si>
  <si>
    <t>5-ditr</t>
  </si>
  <si>
    <t>Where question</t>
  </si>
  <si>
    <t>Yes/no question</t>
  </si>
  <si>
    <t>When question</t>
  </si>
  <si>
    <t>Statement</t>
  </si>
  <si>
    <t>Attribute predicate: a name described by an adjective.</t>
  </si>
  <si>
    <t>{SUBJ_PRONOUN_EN} {BE_EN} {ADJ_EN}.</t>
  </si>
  <si>
    <t>{SUBJ_PRONOUN_ES} {COP_ES} {ADJ_ES}.</t>
  </si>
  <si>
    <t>{BE_EN} {NAME_EN} {OCCUPATION_EN}?</t>
  </si>
  <si>
    <t>¿{NAME_ES} {COP_ES} {OCCUPATION_ES}?</t>
  </si>
  <si>
    <t>Subject</t>
  </si>
  <si>
    <t>{BE_EN} {NP_PL_INDEF_EN} {ADJ_EN}?</t>
  </si>
  <si>
    <t>{NP_PL_INDEF_EN} {BE_NEG_EN} {ADJ_EN}.</t>
  </si>
  <si>
    <t>Is Mateo a fireman?</t>
  </si>
  <si>
    <t>Yes/no attributive question. Variant for Spanish.</t>
  </si>
  <si>
    <t>¿{COP_ES} {ADJ_ES} {NP_ES}?</t>
  </si>
  <si>
    <t>Yes/no question for an attributive predicate. Variant for Spanish.</t>
  </si>
  <si>
    <t>¿{COP_ES} {ADJ_ES} {POSS_NP_ES}?</t>
  </si>
  <si>
    <t>{NAME_ES} {COP_ES} {OCCUPATION_ES}.</t>
  </si>
  <si>
    <t>{SUBJ_PRONOUN_ES} {COP_ES} {OCCUPATION_ES}.</t>
  </si>
  <si>
    <t>{NEG_PRE} {V_TR_PST} {NEG_SUF} {THEME_NP} {AGENT_NP}.</t>
  </si>
  <si>
    <t>{NUM_NP_EN} {V_INTR_EN}.</t>
  </si>
  <si>
    <t>{NUM_NP_ES} {V_INTR_ES}.</t>
  </si>
  <si>
    <t>NUM+NP as subject with intransitive verb.</t>
  </si>
  <si>
    <t>Three dogs run.</t>
  </si>
  <si>
    <t>Subject pronoun + transitive verb + numeric object.</t>
  </si>
  <si>
    <t>He buys three hats.</t>
  </si>
  <si>
    <t>{NP_EN} {V_TR_EN} {NUM_THEME_NP_EN}.</t>
  </si>
  <si>
    <t>{NP_ES} {V_TR_ES} {NUM_THEME_NP_ES}.</t>
  </si>
  <si>
    <t>Full NP subject + numeric direct object.</t>
  </si>
  <si>
    <t>The girl sees two birds.</t>
  </si>
  <si>
    <t>Ditransitive verb with numeric theme.</t>
  </si>
  <si>
    <t>She gives three books to the teacher.</t>
  </si>
  <si>
    <t>Ditransitive verb with numeric goal NP.</t>
  </si>
  <si>
    <t>He sends the letter to three families.</t>
  </si>
  <si>
    <t>Numeric NP with adjective predicate.</t>
  </si>
  <si>
    <t>Two houses are big.</t>
  </si>
  <si>
    <t>{NUM_NP_EN} {BE_EN} {V_INTR_PROG_EN}.</t>
  </si>
  <si>
    <t>{NUM_NP_ES} {V_INTR_PROG_ES}.</t>
  </si>
  <si>
    <t>Numeric NP + intransitive progressive.</t>
  </si>
  <si>
    <t>Three children are running.</t>
  </si>
  <si>
    <t>Progressive transitive verb with numeric object.</t>
  </si>
  <si>
    <t>She is washing three plates.</t>
  </si>
  <si>
    <t>{EXIST_NEG_EN} {NUM_NP_EN}.</t>
  </si>
  <si>
    <t>{EXIST_NEG_ES} {NUM_NP_ES}.</t>
  </si>
  <si>
    <t>Negative existential with numeric NP.</t>
  </si>
  <si>
    <t>There are not three chairs.</t>
  </si>
  <si>
    <t>{POSS_NP_EN} {V_POSS_TR_EN} {NUM_THEME_NP_EN}.</t>
  </si>
  <si>
    <t>{POSS_NP_ES} {V_POSS_TR_ES} {NUM_THEME_NP_ES}.</t>
  </si>
  <si>
    <t>Possessive NP subject + numeric theme.</t>
  </si>
  <si>
    <t>My uncle has two cows.</t>
  </si>
  <si>
    <t>{NAME} {V_TR_KEK} {NUM_THEME_NP}.</t>
  </si>
  <si>
    <t>{NAME_EN} {V_TR_EN} {NUM_THEME_NP_EN}.</t>
  </si>
  <si>
    <t>{NAME_ES} {V_TR_ES} {NUM_THEME_NP_ES}.</t>
  </si>
  <si>
    <t>Proper name subject + numeric object.</t>
  </si>
  <si>
    <t>Maria buys three books.</t>
  </si>
  <si>
    <t>{NUM_NP} {ADV} {V_INTR_KEK}.</t>
  </si>
  <si>
    <t>Numeric NP + adverb + intransitive verb.</t>
  </si>
  <si>
    <t>Two dogs quickly run.</t>
  </si>
  <si>
    <t>¿{V_INTR_ES} {NUM_NP_ES}?</t>
  </si>
  <si>
    <t>Yes/no question with numeric NP.</t>
  </si>
  <si>
    <t>Do three kids play?</t>
  </si>
  <si>
    <t>WH-location question with numeric NP.</t>
  </si>
  <si>
    <t>Where do three children run?</t>
  </si>
  <si>
    <t>{V_TR_IMP} {NUM_THEME_NP}!</t>
  </si>
  <si>
    <t>{V_TR_IMP_EN} {NUM_THEME_NP_EN}!</t>
  </si>
  <si>
    <t>{V_TR_IMP_ES} {NUM_THEME_NP_ES}!</t>
  </si>
  <si>
    <t>Imperative with numeric object.</t>
  </si>
  <si>
    <t>Bring three baskets!</t>
  </si>
  <si>
    <t>{V_TR_IMP_NEG} {NUM_THEME_NP}!</t>
  </si>
  <si>
    <t>{V_TR_IMP_NEG_ES} {NUM_THEME_NP_ES}!</t>
  </si>
  <si>
    <t>Negative imperative with numeric object.</t>
  </si>
  <si>
    <t>Don't eat three tortillas!</t>
  </si>
  <si>
    <t>{NUM_NP_EN} {WILL_EN} {V_INTR_BASE_EN}.</t>
  </si>
  <si>
    <t>{NUM_NP_ES} {V_INTR_FUT_ES}.</t>
  </si>
  <si>
    <t>Future tense with numeric NP.</t>
  </si>
  <si>
    <t>Three girls will arrive.</t>
  </si>
  <si>
    <t>{NUM_NP_EN} {V_INTR_PST_EN}.</t>
  </si>
  <si>
    <t>{NUM_NP_ES} {V_INTR_PST_ES}.</t>
  </si>
  <si>
    <t>Past tense with numeric NP.</t>
  </si>
  <si>
    <t>Two children walked.</t>
  </si>
  <si>
    <t>Ditransitive with numeric goal NP.</t>
  </si>
  <si>
    <t>He gives the food to three children.</t>
  </si>
  <si>
    <t>{NUM_NP} {V_TR_KEK} {THEME_NP}.</t>
  </si>
  <si>
    <t>{NUM_NP_EN} {V_TR_EN} {THEME_NP_EN}.</t>
  </si>
  <si>
    <t>{NUM_NP_ES} {V_TR_ES} {THEME_NP_ES}.</t>
  </si>
  <si>
    <t>Numeric agent NP with transitive verb.</t>
  </si>
  <si>
    <t>Three students read the book.</t>
  </si>
  <si>
    <t>{NUM_NP_EN} {BE_EN} {ADJ_EN}.</t>
  </si>
  <si>
    <t>{NUM_NP_ES} {COP_ES} {ADJ_ES}.</t>
  </si>
  <si>
    <t>{V_INTR_KEK} {NUM_NP}.</t>
  </si>
  <si>
    <t>{V_TR_KEK} {NP} {NUM_THEME_NP}.</t>
  </si>
  <si>
    <t>{ADJ} {NUM_NP}.</t>
  </si>
  <si>
    <t>6-exist</t>
  </si>
  <si>
    <t>{V_INTR_FUT_KEK} {NUM_NP}.</t>
  </si>
  <si>
    <t xml:space="preserve"> {V_INTR_PST_KEK} {NUM_NP}.</t>
  </si>
  <si>
    <t>{V_INTR_KEK} {ADV} {NUM_NP}.</t>
  </si>
  <si>
    <t>{NEG_PRE} {EXIST} {NEG_SUF} {NUM_NP}.</t>
  </si>
  <si>
    <t>{WH_LOC_EN} {BE_EN} {ADJ_EN} {NP_PL_EN}?</t>
  </si>
  <si>
    <t>¿{WH_LOC_ES} {COP_ES} {NP_PL_ES} {ADJ_ES}?</t>
  </si>
  <si>
    <t>WH-locative question about an noun in plural with attribute.</t>
  </si>
  <si>
    <t>Where are the big pigs?</t>
  </si>
  <si>
    <t>Numeric subject + adverb + intransitive verb.</t>
  </si>
  <si>
    <t>Three children quickly ran.</t>
  </si>
  <si>
    <t>Numeric plural agent + transitive verb.</t>
  </si>
  <si>
    <t>Three boys lift the box.</t>
  </si>
  <si>
    <t>{NP_EN} {V_DITR_EN} {NUM_THEME_NP_EN} to {NUM_GOAL_NP_EN}.</t>
  </si>
  <si>
    <t>{NP_ES} {V_DITR_ES} {NUM_THEME_NP_ES} a {NUM_GOAL_NP_ES}.</t>
  </si>
  <si>
    <t>Ditransitive with numeric theme and numeric goal.</t>
  </si>
  <si>
    <t>The woman sends three letters to two families.</t>
  </si>
  <si>
    <t>Conjoined numeric NPs.</t>
  </si>
  <si>
    <t>He meets three boys and two girls.</t>
  </si>
  <si>
    <t>Numeric temporal WH question.</t>
  </si>
  <si>
    <t>When do three children arrive?</t>
  </si>
  <si>
    <t>WH question with numeric subject.</t>
  </si>
  <si>
    <t>Where do three students study?</t>
  </si>
  <si>
    <t>Ditransitive with numeric theme + name goal.</t>
  </si>
  <si>
    <t>She gives three books to Juan.</t>
  </si>
  <si>
    <t>{NUM_NP} {V_TR_PST_KEK} {THEME_NP}.</t>
  </si>
  <si>
    <t>{NUM_NP_EN} {V_TR_PST_EN} {THEME_NP_EN}.</t>
  </si>
  <si>
    <t>{NUM_NP_ES} {V_TR_PST_ES} {THEME_NP_ES}.</t>
  </si>
  <si>
    <t>Numeric agent in past transitive.</t>
  </si>
  <si>
    <t>Three men lifted the table.</t>
  </si>
  <si>
    <t>{NUM_NP} {V_TR_KEK} {NUM_THEME_NP}.</t>
  </si>
  <si>
    <t>{NUM_NP_EN} {V_TR_EN} {NUM_THEME_NP_EN}.</t>
  </si>
  <si>
    <t>{NUM_NP_ES} {V_TR_ES} {NUM_THEME_NP_ES}.</t>
  </si>
  <si>
    <t>Numeric agent + numeric object.</t>
  </si>
  <si>
    <t>Three men carry two bags.</t>
  </si>
  <si>
    <t>{NUM_NP_EN} {V_DITR_EN} {THEME_NP_EN} to {NAME_EN}.</t>
  </si>
  <si>
    <t>{NUM_NP_ES} {V_DITR_ES} {THEME_NP_ES} a {NAME_ES}.</t>
  </si>
  <si>
    <t>Numeric agent in ditransitive.</t>
  </si>
  <si>
    <t>Three girls give the flower to Maria.</t>
  </si>
  <si>
    <t>¿{WH_TIME_ES} {V_INTR_ES} {NUM_NP_ES}?</t>
  </si>
  <si>
    <t>{WH_LOC_EN} {DO_AFF_EN} {NUM_NP_EN} {V_INTR_BASE_EN}?</t>
  </si>
  <si>
    <t>¿{WH_LOC_ES} {V_INTR_ES} {NUM_NP_ES}?</t>
  </si>
  <si>
    <t>{YN_Q_MARKER} {OCCUPATION} {NAME}?</t>
  </si>
  <si>
    <t>¿{COP_ES} {ADJ_ES} {POSS_NP_PL_ES}?</t>
  </si>
  <si>
    <t>1pl</t>
  </si>
  <si>
    <t>Command</t>
  </si>
  <si>
    <t>Q/S/C</t>
  </si>
  <si>
    <t>Let's dance</t>
  </si>
  <si>
    <t>{SUBJ_PRONOUN_EN} {BE_EN} {OCCUPATION_EN}.</t>
  </si>
  <si>
    <t>{NAME_EN} {BE_EN} {OCCUPATION_EN}.</t>
  </si>
  <si>
    <t>Pronoun with attribute</t>
  </si>
  <si>
    <t>Pronoun with occupation</t>
  </si>
  <si>
    <t>Negated intransitive progressive (present) with pronoun subject.</t>
  </si>
  <si>
    <t>¿{SUBJ_PRONOUN_ES} {V_INTR_FUT_ES}?</t>
  </si>
  <si>
    <t>Intransitive future yes/no question with pronoun subject and adverb</t>
  </si>
  <si>
    <t>Negative present with pronoun subject</t>
  </si>
  <si>
    <t>Negative past with pronoun subject</t>
  </si>
  <si>
    <t>1sg</t>
  </si>
  <si>
    <t>2sg</t>
  </si>
  <si>
    <t>2pl</t>
  </si>
  <si>
    <t>3pl</t>
  </si>
  <si>
    <t>3sg - Noun</t>
  </si>
  <si>
    <t>3sg - Possesed noun</t>
  </si>
  <si>
    <t>3sg - Name</t>
  </si>
  <si>
    <t>3pl - Possessed noun</t>
  </si>
  <si>
    <t>3pl - Noun indef</t>
  </si>
  <si>
    <t>3pl - Noun def</t>
  </si>
  <si>
    <t>3pl - Noun def with attribute</t>
  </si>
  <si>
    <t>3pl - Noun indef with numeral</t>
  </si>
  <si>
    <t>{SUBJ_PRONOUN_EN} {BE_NEG_EN} {V_INTR_PROG_EN}.</t>
  </si>
  <si>
    <t>Has adverb</t>
  </si>
  <si>
    <t>Is occupation</t>
  </si>
  <si>
    <t>{V_TR} {NUM_THEME_NP}.</t>
  </si>
  <si>
    <t>{V_DITR_ES} {THEME_NP_ES} a {NUM_GOAL_NP_ES}.</t>
  </si>
  <si>
    <t>Ditransitive with numeric goal NP, Spanish variant</t>
  </si>
  <si>
    <t xml:space="preserve"> {V_DITR_ES} {THEME_NP_ES} a {NUM_GOAL_NP_ES}.</t>
  </si>
  <si>
    <t>ES: Headless</t>
  </si>
  <si>
    <t>I am big</t>
  </si>
  <si>
    <t>We are big</t>
  </si>
  <si>
    <t>You are a chef</t>
  </si>
  <si>
    <t>You are big</t>
  </si>
  <si>
    <t>Y'all are big</t>
  </si>
  <si>
    <t>Name with occupation</t>
  </si>
  <si>
    <t>3sg</t>
  </si>
  <si>
    <t>{WH_LOC} {EXIST} {NAME}?</t>
  </si>
  <si>
    <t>{WH_LOC} {EXIST} {NP}?</t>
  </si>
  <si>
    <t>{WH_LOC} {EXIST} {NP_PL}?</t>
  </si>
  <si>
    <t>{WH_LOC} {EXIST} {POSS_NP_PL}?</t>
  </si>
  <si>
    <t>{WH_LOC} {EXIST} {POSS_NP}?</t>
  </si>
  <si>
    <t>Intransitive future yes/no question with pronoun subject (not showing in Spanish)</t>
  </si>
  <si>
    <t>{NP_PL_ES} no {V_INTR_ES}.</t>
  </si>
  <si>
    <t>{V_INTR_PROG}.</t>
  </si>
  <si>
    <t>{V_TR_PASS} {NP}.</t>
  </si>
  <si>
    <t>{NP_EN} {BE_EN} {V_TR_PP_EN}.</t>
  </si>
  <si>
    <t>{NP_ES} es {V_TR_PP_ES}.</t>
  </si>
  <si>
    <t>Non-specific passive, 3sg patient, present/non-future, no expressed agent.</t>
  </si>
  <si>
    <t>Q’eqchi’ non-specific passive with -man; verb behaves as intransitive with Set B 3sg subject.</t>
  </si>
  <si>
    <t>{V_TR_PASS} {NP_PL}.</t>
  </si>
  <si>
    <t>{NP_PL_EN} {BE_EN} {V_TR_PP_EN}.</t>
  </si>
  <si>
    <t>{NP_PL_ES} son {V_TR_PP_ES}.</t>
  </si>
  <si>
    <t>Non-specific passive, 3pl patient, present/non-future, no expressed agent.</t>
  </si>
  <si>
    <t>Plural patient; English and Spanish auxiliaries agree in number.</t>
  </si>
  <si>
    <t>Non-specific passive, 3sg patient, present/non-future, with expressed agent phrase.</t>
  </si>
  <si>
    <t>{AGENT}/{AGENT_EN}/{AGENT_ES} must be filled in sync (e.g. inb'aan / by me / por mí).</t>
  </si>
  <si>
    <t>Non-specific passive, 3pl patient, present/non-future, with expressed agent phrase.</t>
  </si>
  <si>
    <t>Plural patient; agent phrase as in 302.</t>
  </si>
  <si>
    <t>{V_TR_PST_PASS} {NP}.</t>
  </si>
  <si>
    <t>{NP_EN} {BE_PST_EN} {V_TR_PP_EN}.</t>
  </si>
  <si>
    <t>{NP_ES} fue {V_TR_PP_ES}.</t>
  </si>
  <si>
    <t>Non-specific passive, 3sg patient, past, no expressed agent.</t>
  </si>
  <si>
    <t>Matches examples like “xyok’man li che’”.</t>
  </si>
  <si>
    <t>{V_TR_PST_PASS} {NP_PL}.</t>
  </si>
  <si>
    <t>{NP_PL_EN} {BE_PST_EN} {V_TR_PP_EN}.</t>
  </si>
  <si>
    <t>{NP_PL_ES} fueron {V_TR_PP_ES}.</t>
  </si>
  <si>
    <t>Non-specific passive, 3pl patient, past, no expressed agent.</t>
  </si>
  <si>
    <t>Plural patient, past passive.</t>
  </si>
  <si>
    <t>Non-specific passive, 3sg patient, past, with expressed agent phrase.</t>
  </si>
  <si>
    <t>Agent phrase uses b'aan-relational forms in Q’eqchi’.</t>
  </si>
  <si>
    <t>Non-specific passive, 3pl patient, past, with expressed agent phrase.</t>
  </si>
  <si>
    <t>Plural patient with agent phrase.</t>
  </si>
  <si>
    <t>{V_TR_FUT_PASS} {NP}.</t>
  </si>
  <si>
    <t>{NP_EN} {BE_FUT_EN} {V_TR_PP_EN}.</t>
  </si>
  <si>
    <t>{NP_ES} será {V_TR_PP_ES}.</t>
  </si>
  <si>
    <t>Non-specific passive, 3sg patient, future, no expressed agent.</t>
  </si>
  <si>
    <t>Future passive; English uses “will be + PP”, Spanish “será + participio”.</t>
  </si>
  <si>
    <t>{V_TR_FUT_PASS} {NP_PL}.</t>
  </si>
  <si>
    <t>{NP_PL_EN} {BE_FUT_EN} {V_TR_PP_EN}.</t>
  </si>
  <si>
    <t>{NP_PL_ES} serán {V_TR_PP_ES}.</t>
  </si>
  <si>
    <t>Non-specific passive, 3pl patient, future, no expressed agent.</t>
  </si>
  <si>
    <t>Plural patient, future passive.</t>
  </si>
  <si>
    <t>Non-specific passive, 3sg patient, future, with expressed agent phrase.</t>
  </si>
  <si>
    <t>Agent phrase parallels other tenses.</t>
  </si>
  <si>
    <t>Non-specific passive, 3pl patient, future, with expressed agent phrase.</t>
  </si>
  <si>
    <t>Plural patient, future passive with agent phrase.</t>
  </si>
  <si>
    <t>Voice</t>
  </si>
  <si>
    <t>Active</t>
  </si>
  <si>
    <t>Modifier</t>
  </si>
  <si>
    <t>{V_TR_PASS} {NP} {AGENT_BY}.</t>
  </si>
  <si>
    <t>{V_TR_PASS} {NP_PL} {AGENT_BY}.</t>
  </si>
  <si>
    <t>{V_TR_PST_PASS} {NP} {AGENT_BY}.</t>
  </si>
  <si>
    <t>{V_TR_PST_PASS} {NP_PL} {AGENT_BY}.</t>
  </si>
  <si>
    <t>{V_TR_FUT_PASS} {NP} {AGENT_BY}.</t>
  </si>
  <si>
    <t>{V_TR_FUT_PASS} {NP_PL} {AGENT_BY}.</t>
  </si>
  <si>
    <t>{NP_EN} {BE_EN} {V_TR_PP_EN} {AGENT_BY_EN}.</t>
  </si>
  <si>
    <t>{NP_PL_EN} {BE_EN} {V_TR_PP_EN} {AGENT_BY_EN}.</t>
  </si>
  <si>
    <t>{NP_EN} {BE_PST_EN} {V_TR_PP_EN} {AGENT_BY_EN}.</t>
  </si>
  <si>
    <t>{NP_PL_EN} {BE_PST_EN} {V_TR_PP_EN} {AGENT_BY_EN}.</t>
  </si>
  <si>
    <t>{NP_EN} {BE_FUT_EN} {V_TR_PP_EN} {AGENT_BY_EN}.</t>
  </si>
  <si>
    <t>{NP_PL_EN} {BE_FUT_EN} {V_TR_PP_EN} {AGENT_BY_EN}.</t>
  </si>
  <si>
    <t>{NP_ES} es {V_TR_PP_ES} {AGENT_BY_ES}.</t>
  </si>
  <si>
    <t>{NP_PL_ES} son {V_TR_PP_ES} {AGENT_BY_ES}.</t>
  </si>
  <si>
    <t>{NP_ES} fue {V_TR_PP_ES} {AGENT_BY_ES}.</t>
  </si>
  <si>
    <t>{NP_PL_ES} fueron {V_TR_PP_ES} {AGENT_BY_ES}.</t>
  </si>
  <si>
    <t>{NP_ES} será {V_TR_PP_ES} {AGENT_BY_ES}.</t>
  </si>
  <si>
    <t>{NP_PL_ES} serán {V_TR_PP_ES} {AGENT_BY_ES}.</t>
  </si>
  <si>
    <t>Passive</t>
  </si>
  <si>
    <t>{V_TR_KEK} {SUBJ_PRONOUN} {NUM_THEME_NP}.</t>
  </si>
  <si>
    <t>{SUBJ_PRONOUN_EN} {BE_EN} {V_TR_PROG_EN} {NUM_THEME_NP_EN}.</t>
  </si>
  <si>
    <t>{SUBJ_PRONOUN_EN} {V_TR_EN} {NUM_THEME_EN} and {NUM_THEME_EN}.</t>
  </si>
  <si>
    <t>{SUBJ_PRONOUN_EN} {V_TR_EN} {NUM_THEME_NP_EN}.</t>
  </si>
  <si>
    <t>{SUBJ_PRONOUN_EN} {V_TR_EN} {NUM_NP_EN} and {NUM_NP_EN}.</t>
  </si>
  <si>
    <t>{SUBJ_PRONOUN_EN} {V_DITR_EN} {THEME_NP_EN} to {NUM_GOAL_NP_EN}.</t>
  </si>
  <si>
    <t>{SUBJ_PRONOUN_EN} {V_DITR_EN} {NUM_THEME_NP_EN} to {GOAL_NP_EN}.</t>
  </si>
  <si>
    <t>{SUBJ_PRONOUN_EN} {V_DITR_EN} {NUM_THEME_NP_EN} to {NAME_EN}.</t>
  </si>
  <si>
    <t>{SUBJ_PRONOUN_ES} {V_TR_PROG_ES} {NUM_THEME_NP_ES}.</t>
  </si>
  <si>
    <t>{SUBJ_PRONOUN_ES} {V_TR_ES} {NUM_THEME_ES} y {NUM_THEME_ES}.</t>
  </si>
  <si>
    <t>{SUBJ_PRONOUN_ES} {V_TR_ES} {NUM_THEME_NP_ES}.</t>
  </si>
  <si>
    <t>{SUBJ_PRONOUN_ES} {V_TR_ES} {NUM_NP_ES} y {NUM_NP_ES}.</t>
  </si>
  <si>
    <t>{SUBJ_PRONOUN_ES} {V_DITR_ES} {NUM_THEME_NP_ES} a {GOAL_NP_ES}.</t>
  </si>
  <si>
    <t>{SUBJ_PRONOUN_ES} {V_DITR_ES} {THEME_NP_ES} a {NUM_GOAL_NP_ES}.</t>
  </si>
  <si>
    <t>{SUBJ_PRONOUN_ES} {V_DITR_ES} {NUM_THEME_NP_ES} a {NAME_ES}.</t>
  </si>
  <si>
    <t>Don't {V_TR_BASE_EN} {THEME_NP_EN}!</t>
  </si>
  <si>
    <t>Don't {V_TR_BASE_EN} {NUM_THEME_NP_EN}!</t>
  </si>
  <si>
    <t>Don't {V_INTR_BASE_EN}!</t>
  </si>
  <si>
    <t>transitivity</t>
  </si>
  <si>
    <t>p_transitivity</t>
  </si>
  <si>
    <t>tense</t>
  </si>
  <si>
    <t>p_tense</t>
  </si>
  <si>
    <t>aspect</t>
  </si>
  <si>
    <t>p_aspect</t>
  </si>
  <si>
    <t>Simple</t>
  </si>
  <si>
    <t>polarity</t>
  </si>
  <si>
    <t>p_polarity</t>
  </si>
  <si>
    <t>aff</t>
  </si>
  <si>
    <t>neg</t>
  </si>
  <si>
    <t>Polarity</t>
  </si>
  <si>
    <t>clause_type</t>
  </si>
  <si>
    <t>p_clause</t>
  </si>
  <si>
    <t>Yes/No question</t>
  </si>
  <si>
    <t>none</t>
  </si>
  <si>
    <t>person</t>
  </si>
  <si>
    <t>p_person</t>
  </si>
  <si>
    <t>voice</t>
  </si>
  <si>
    <t>p_voice</t>
  </si>
  <si>
    <t>mood</t>
  </si>
  <si>
    <t>p_mood</t>
  </si>
  <si>
    <t>p_value</t>
  </si>
  <si>
    <t>p_value_norm</t>
  </si>
  <si>
    <t>Sum of all p_</t>
  </si>
  <si>
    <t>Normalization</t>
  </si>
  <si>
    <t>{NP_PL_INDEF_EN} {DO_NEG_EN} {V_INTR_BASE_EN}.</t>
  </si>
  <si>
    <t>{NP_PL_INDEF_ES} no {V_INTR_ES}.</t>
  </si>
  <si>
    <t>Comparative</t>
  </si>
  <si>
    <t>The man is bigger than the woman.</t>
  </si>
  <si>
    <t>They are tall.</t>
  </si>
  <si>
    <t>Pronoun with comparative</t>
  </si>
  <si>
    <t>I am taller than the teacher.</t>
  </si>
  <si>
    <t>You are taller than the teacher.</t>
  </si>
  <si>
    <t>{ADJ} {NP} {COMP} {AGENT_NP}.</t>
  </si>
  <si>
    <t>She is a fireman</t>
  </si>
  <si>
    <t>He is kind.</t>
  </si>
  <si>
    <t>He is kinder than the man.</t>
  </si>
  <si>
    <t>{NP_EN} {BE_EN} {ADJ_COMP_EN} than {AGENT_NP_EN}.</t>
  </si>
  <si>
    <t>{SUBJ_PRONOUN_EN} {BE_EN} {ADJ_COMP_EN} than {NP_EN}.</t>
  </si>
  <si>
    <t>{AGENT_NP_ES} {V_TR_FUT_ES} {THEME_NP_ES} {ADV_ES}.</t>
  </si>
  <si>
    <t>{WH_LOC} {EXIST} {NP} {ADJ}?</t>
  </si>
  <si>
    <t>{OCCUPATION}{AFFIX_PRONOUN}.</t>
  </si>
  <si>
    <t>{SUBJ_PRONOUN} {OCCUPATION}.</t>
  </si>
  <si>
    <t>{SUBJ_PRONOUN_ES} {COP_ES} más {ADJ_ES} que {NP_ES}.</t>
  </si>
  <si>
    <t>{NP_ES} {COP_ES} más {ADJ_ES} que {AGENT_NP_ES}.</t>
  </si>
  <si>
    <t>Pronoun with occupation, more common variant</t>
  </si>
  <si>
    <t>{WH_LOC} {EXIST} {NP_PL} {ADJ}?</t>
  </si>
  <si>
    <t>{ADJ}{AFFIX_PRONOUN}.</t>
  </si>
  <si>
    <t>{ADJ}{AFFIX_PRONOUN} {COMP} {NP}.</t>
  </si>
  <si>
    <t>{SUBJ_PRONOUN_EN} {BE_EN} from {PLACE_EN}.</t>
  </si>
  <si>
    <t>{SUBJ_PRONOUN_ES} {V_SER_ES} de {PLACE_ES}.</t>
  </si>
  <si>
    <t>Is origin</t>
  </si>
  <si>
    <t>Origin predicate (pronoun)</t>
  </si>
  <si>
    <t>I am from San Juan.</t>
  </si>
  <si>
    <t>Aj {PLACE} {NAME}.</t>
  </si>
  <si>
    <t>{NAME_EN} {BE_EN} from {PLACE_EN}.</t>
  </si>
  <si>
    <t>{NAME_ES} {V_SER_ES} de {PLACE_ES}.</t>
  </si>
  <si>
    <t>Origin predicate (name)</t>
  </si>
  <si>
    <t>Mateo is from San Juan.</t>
  </si>
  <si>
    <t>{SUBJ_PRONOUN_EN} {DO_NEG_EN} {V_POSS_TR_BASE_EN} {THEME_NP_INDEF_EN}.</t>
  </si>
  <si>
    <t>Intransitive progressive (present) with pronoun subject. Variant for Spanish</t>
  </si>
  <si>
    <t>No {V_INTR_PROG_ES}.</t>
  </si>
  <si>
    <t>Negated intransitive progressive (present) with pronoun subject, Spanish variant</t>
  </si>
  <si>
    <t>Negated intransitive progressive (present) with name as subject.</t>
  </si>
  <si>
    <t>Negated intransitive progressive (present) with noun as subject.</t>
  </si>
  <si>
    <t>Negated intransitive progressive (present) with possessed noun as subject.</t>
  </si>
  <si>
    <t>{NEG_PRE} {V_INTR_PROG} {NEG_SUF} {NAME}.</t>
  </si>
  <si>
    <t>{NEG_PRE} {V_INTR_PROG} {NEG_SUF} {NP}.</t>
  </si>
  <si>
    <t>{NEG_PRE} {V_INTR_PROG} {NEG_SUF} {POSS_NP}.</t>
  </si>
  <si>
    <t>{NAME_EN} {BE_NEG_EN} {V_INTR_PROG_EN}.</t>
  </si>
  <si>
    <t>{NP_POSS_EN} {BE_NEG_EN} {V_INTR_PROG_EN}.</t>
  </si>
  <si>
    <t>{NAME_ES} no {V_INTR_PROG_ES}.</t>
  </si>
  <si>
    <t>{NP_ES} no {V_INTR_PROG_ES}.</t>
  </si>
  <si>
    <t>{NP_POSS_ES} no {V_INTR_PROG_ES}.</t>
  </si>
  <si>
    <t>variant_dist</t>
  </si>
  <si>
    <t>We are from San Juan</t>
  </si>
  <si>
    <t>You are from San Juan</t>
  </si>
  <si>
    <t>Y'all are from San Juan</t>
  </si>
  <si>
    <t>She is from San Juan.</t>
  </si>
  <si>
    <t>They are from San Juan.</t>
  </si>
  <si>
    <t>Noun in stative sentence</t>
  </si>
  <si>
    <t>{NP}{AFFIX_PRONOUN}</t>
  </si>
  <si>
    <t>I am a boy</t>
  </si>
  <si>
    <t>You're a girl.</t>
  </si>
  <si>
    <t>He's a man.</t>
  </si>
  <si>
    <t>We're boys.</t>
  </si>
  <si>
    <t>Y'all are girls</t>
  </si>
  <si>
    <t>They're men.</t>
  </si>
  <si>
    <t>None</t>
  </si>
  <si>
    <t>He runs.</t>
  </si>
  <si>
    <t>Present tense with pronoun subject (not showing in Spanish)</t>
  </si>
  <si>
    <t>{POSS_NP_PL_EN} {V_INTR_EN} {ADV_EN}.</t>
  </si>
  <si>
    <t>{POSS_NP_PL_ES} {V_INTR_ES} {ADV_ES}.</t>
  </si>
  <si>
    <t>{NUM_NP_EN} {V_INTR_EN} {ADV_EN}.</t>
  </si>
  <si>
    <t>{NUM_NP_ES} {V_INTR_ES} {ADV_ES}.</t>
  </si>
  <si>
    <t>{POSS_NP_EN} {V_INTR_EN} {ADV_EN}.</t>
  </si>
  <si>
    <t>{POSS_NP_ES} {V_INTR_ES} {ADV_ES} .</t>
  </si>
  <si>
    <t>{PRED_NP}{AFFIX_PRONOUN}.</t>
  </si>
  <si>
    <t>{SUBJ_PRONOUN_EN} {BE_EN} {PRED_NP_EN}.</t>
  </si>
  <si>
    <t>{SUBJ_PRONOUN_ES} {SER_ES} {PRED_NP_ES}.</t>
  </si>
  <si>
    <t>{SUBJ_PRONOUN_ES} {V_SER_ES} {PRED_NP_ES}.</t>
  </si>
  <si>
    <t>Aj {PLACE}{AFFIX_PRONOUN}.</t>
  </si>
  <si>
    <t>{AGENT_NP_ES} no {V_DITR_ES} {THEME_NP_ES} a {POSS_NP_ES}.</t>
  </si>
  <si>
    <t>{AGENT_NP_ES} no {V_DITR_ES} {THEME_NP_ES} a {NP_ES}.</t>
  </si>
  <si>
    <t>{NP_ES} {V_DITR_FUT_ES} {OBJ_NP_ES} a {RECIP_NP_ES} {ADV_ES}.</t>
  </si>
  <si>
    <t>{YN_Q_MARKER} {EXIST} {NP_PL}?</t>
  </si>
  <si>
    <t>¿{EXIST_ES} {NP_PL_INDEF_ES}?</t>
  </si>
  <si>
    <t>{EXIST} {NP_PL}.</t>
  </si>
  <si>
    <t>{NEG_PRE} {EXIST} {NEG_SUF} {NP_PL}.</t>
  </si>
  <si>
    <t>{DO_AFF_EN} {NP_PL_INDEF_EN} {V_INTR_BASE_EN}?</t>
  </si>
  <si>
    <t>¿{NP_PL_INDEF_ES} {V_INTR_ES}?</t>
  </si>
  <si>
    <t>Existential - question: Are/there X?</t>
  </si>
  <si>
    <t>{YN_Q_MARKER} {V_INTR} {POSS_NP_PL_PRE}?</t>
  </si>
  <si>
    <t>{YN_Q_MARKER} {V_INTR} {POSS_NP_PL_POST}?</t>
  </si>
  <si>
    <t>{YN_Q_MARKER} {V_INTR} {NUM_NP}?</t>
  </si>
  <si>
    <t>{WH_LOC} {V_INTR} {NUM_NP}?</t>
  </si>
  <si>
    <t>{V_SER_ES} {PRED_NP_ES}.</t>
  </si>
  <si>
    <t>{COP_ES} {ADJ_ES}.</t>
  </si>
  <si>
    <t>{V_SER_ES} de {PLACE_ES}.</t>
  </si>
  <si>
    <t>{COP_ES} {OCCUPATION_ES}.</t>
  </si>
  <si>
    <t>{COP_ES} más {ADJ_ES} que {NP_ES}.</t>
  </si>
  <si>
    <t>{V_TR_PROG_ES} {NUM_THEME_NP_ES}.</t>
  </si>
  <si>
    <t>{V_TR_ES} {NUM_THEME_ES} y {NUM_THEME_ES}.</t>
  </si>
  <si>
    <t>{V_TR_ES} {NUM_THEME_NP_ES}.</t>
  </si>
  <si>
    <t>{V_TR_ES} {NUM_NP_ES} y {NUM_NP_ES}.</t>
  </si>
  <si>
    <t>{V_DITR_ES} {NUM_THEME_NP_ES} a {GOAL_NP_ES}.</t>
  </si>
  <si>
    <t>{V_DITR_ES} {NUM_THEME_NP_ES} a {NAME_ES}.</t>
  </si>
  <si>
    <t>ES: Headless | Is origin</t>
  </si>
  <si>
    <t>ES: Headless | Is occupation</t>
  </si>
  <si>
    <t>ES: Headless | Comparative</t>
  </si>
  <si>
    <t>ES: Headless | Has adverb</t>
  </si>
  <si>
    <t>He's running</t>
  </si>
  <si>
    <t>I'm {V_INTR_PROG_EN}.</t>
  </si>
  <si>
    <t>You're {V_INTR_PROG_EN}.</t>
  </si>
  <si>
    <t>EN: Contraction of "be". | ES: Headless</t>
  </si>
  <si>
    <t>{SUBJ_PRONOUN_EN}'s {V_INTR_PROG_EN}.</t>
  </si>
  <si>
    <t>We're {V_INTR_PROG_EN}.</t>
  </si>
  <si>
    <t>They're {V_INTR_PROG_EN}.</t>
  </si>
  <si>
    <t>I'm not {V_INTR_PROG_EN}.</t>
  </si>
  <si>
    <t>You're not {V_INTR_PROG_EN}.</t>
  </si>
  <si>
    <t>{SUBJ_PRONOUN_EN}'s not {V_INTR_PROG_EN}.</t>
  </si>
  <si>
    <t>We're not {V_INTR_PROG_EN}.</t>
  </si>
  <si>
    <t>They're not {V_INTR_PROG_EN}.</t>
  </si>
  <si>
    <t>{SUBJ_PRONOUN_ES} no {V_INTR_FUT_ES} {ADV_ES}.</t>
  </si>
  <si>
    <t>{SUBJ_PRONOUN_EN} {BE_NEG_EN} {V_INTR_PROG_EN} {ADV_EN}.</t>
  </si>
  <si>
    <t>{NEG_PRE} {V_INTR_PROG} {NEG_SUF} {ADV}.</t>
  </si>
  <si>
    <t>Negated intransitive progressive (present) with pronoun subject and adverb.</t>
  </si>
  <si>
    <t>{SUBJ_PRONOUN_EN}'ll {V_INTR_BASE_EN}.</t>
  </si>
  <si>
    <t>EN: Contraction of "will" | ES: Headless</t>
  </si>
  <si>
    <t>He'll run</t>
  </si>
  <si>
    <t>He will run.</t>
  </si>
  <si>
    <t>He will go tomorrow.</t>
  </si>
  <si>
    <t>He'll go tomorrow.</t>
  </si>
  <si>
    <t>{SUBJ_PRONOUN_EN}'ll {V_INTR_BASE_EN} {ADV_EN}.</t>
  </si>
  <si>
    <t>You will run.</t>
  </si>
  <si>
    <t>{SUBJ_PRONOUN_EN} do not {V_INTR_BASE_EN}.</t>
  </si>
  <si>
    <t>I don't run.</t>
  </si>
  <si>
    <t>EN: "do not" | ES: Headless</t>
  </si>
  <si>
    <t>You don't run.</t>
  </si>
  <si>
    <t>You do not run.</t>
  </si>
  <si>
    <t>She doesn'r run.</t>
  </si>
  <si>
    <t>She does not run.</t>
  </si>
  <si>
    <t>{SUBJ_PRONOUN_EN} does not {V_INTR_BASE_EN}.</t>
  </si>
  <si>
    <t>{ADJ}{ST_FUT_IND}{AFFIX_PRONOUN}.</t>
  </si>
  <si>
    <t>{SUBJ_PRONOUN_EN} {BE_FUT_EN} {ADJ_EN}.</t>
  </si>
  <si>
    <t>{COP_FUT_ES} {ADJ_ES}.</t>
  </si>
  <si>
    <t>Pronoun with attribute, future, indicative</t>
  </si>
  <si>
    <t>I will be big</t>
  </si>
  <si>
    <t>{DOUBT_PART} {ADJ}{ST_FUT_DBT}{AFFIX_PRONOUN}.</t>
  </si>
  <si>
    <t>{ADJ}{ST_FUT_OPT}{AFFIX_PRONOUN}.</t>
  </si>
  <si>
    <t>{SUBJ_PRONOUN_ES} {COP_FUT_ES} {ADJ_ES}.</t>
  </si>
  <si>
    <t>Pronoun with attribute, future, indicative, Spanish variant</t>
  </si>
  <si>
    <t>Pronoun with attribute, future, optative</t>
  </si>
  <si>
    <t>Maybe {SUBJ_PRONOUN_EN} {BE_FUT_EN} {ADJ_EN}.</t>
  </si>
  <si>
    <t>Tal vez {SUBJ_PRONOUN_ES} {COP_FUT_ES} {ADJ_ES}.</t>
  </si>
  <si>
    <t>Pronoun with attribute, future, doubtful</t>
  </si>
  <si>
    <t>EN: Contraction of "will" | ES: Headless | Has adverb</t>
  </si>
  <si>
    <t>{NEG_PRE} {V_INTR_FUT} {NEG_SUF} {SUBJ_PRONOUN}.</t>
  </si>
  <si>
    <t>{SUBJ_PRONOUN_EN} {WILL_NEG_EN} {V_INTR_BASE_EN}.</t>
  </si>
  <si>
    <t>No {V_INTR_FUT_ES}.</t>
  </si>
  <si>
    <t>I will not run.</t>
  </si>
  <si>
    <t>You will not run.</t>
  </si>
  <si>
    <t>She will not run.</t>
  </si>
  <si>
    <t>We will not run.</t>
  </si>
  <si>
    <t>Y'all will not run.</t>
  </si>
  <si>
    <t>They will not run.</t>
  </si>
  <si>
    <t>VAR:ES_NULL_SUBJECT</t>
  </si>
  <si>
    <t>{SUBJ_PRONOUN_EN} {BE_EN} from {PLACE_EN}, and {SUBJ_PRONOUN_EN} {BE_EN} {OCCUPATION_EN}.</t>
  </si>
  <si>
    <t>{SUBJ_PRONOUN_ES} {V_SER_ES} de {PLACE_ES}, y {SUBJ_PRONOUN_ES} {V_SER_ES} {OCCUPATION_ES}.</t>
  </si>
  <si>
    <t>Coordinate: origin + occupation (same subject).</t>
  </si>
  <si>
    <t/>
  </si>
  <si>
    <t>ind</t>
  </si>
  <si>
    <t>{SUBJ_PRONOUN_EN} {BE_EN} {OCCUPATION_EN}, and {SUBJ_PRONOUN_EN} {BE_EN} {ADJ_EN}.</t>
  </si>
  <si>
    <t>{SUBJ_PRONOUN_ES} {V_SER_ES} {OCCUPATION_ES}, y {SUBJ_PRONOUN_ES} {V_SER_ES} {ADJ_ES}.</t>
  </si>
  <si>
    <t>Coordinate: occupation + adjective (same subject).</t>
  </si>
  <si>
    <t>{SUBJ_PRONOUN_EN} {BE_EN} from {PLACE_EN}, and {SUBJ_PRONOUN_EN} {BE_EN} {ADJ_EN}.</t>
  </si>
  <si>
    <t>{SUBJ_PRONOUN_ES} {V_SER_ES} de {PLACE_ES}, y {SUBJ_PRONOUN_ES} {V_SER_ES} {ADJ_ES}.</t>
  </si>
  <si>
    <t>Coordinate: origin + adjective (same subject).</t>
  </si>
  <si>
    <t>{SUBJ_PRONOUN_EN} {BE_EN} {ADJ_EN}, and {SUBJ_PRONOUN_EN} {BE_EN} from {PLACE_EN}.</t>
  </si>
  <si>
    <t>{SUBJ_PRONOUN_ES} {V_SER_ES} {ADJ_ES}, y {SUBJ_PRONOUN_ES} {V_SER_ES} de {PLACE_ES}.</t>
  </si>
  <si>
    <t>Coordinate: adjective + origin (same subject; reverse order).</t>
  </si>
  <si>
    <t>549</t>
  </si>
  <si>
    <t>{NEG_PRE} Aj {PLACE}-{AFFIX_PRONOUN} {NEG_SUF}.</t>
  </si>
  <si>
    <t>{SUBJ_PRONOUN_EN} {BE_EN} not from {PLACE_EN}.</t>
  </si>
  <si>
    <t>{SUBJ_PRONOUN_ES} no {V_SER_ES} de {PLACE_ES}.</t>
  </si>
  <si>
    <t>Negated origin predicate.</t>
  </si>
  <si>
    <t>Placeholders: existing; New placeholders: none. SAFE: Unknown until negation for 'Aj PLACE-AFFIX' predicate is validated in Q'eqchi generator.</t>
  </si>
  <si>
    <t>550</t>
  </si>
  <si>
    <t>{NEG_PRE} {OCCUPATION}-{AFFIX_PRONOUN} {NEG_SUF}.</t>
  </si>
  <si>
    <t>{SUBJ_PRONOUN_EN} {BE_EN} not {OCCUPATION_EN}.</t>
  </si>
  <si>
    <t>{SUBJ_PRONOUN_ES} no {V_SER_ES} {OCCUPATION_ES}.</t>
  </si>
  <si>
    <t>Negated occupation predicate.</t>
  </si>
  <si>
    <t>Placeholders: existing; New placeholders: none. SAFE: Likely if negation wrapper works for predicate-noun + affix pronoun; validate.</t>
  </si>
  <si>
    <t>551</t>
  </si>
  <si>
    <t>Aj {PLACE}-{AFFIX_PRONOUN}, k'ut {NEG_PRE} {OCCUPATION}-{AFFIX_PRONOUN} {NEG_SUF}.</t>
  </si>
  <si>
    <t>{SUBJ_PRONOUN_EN} {BE_EN} from {PLACE_EN}, but {SUBJ_PRONOUN_EN} {BE_EN} not {OCCUPATION_EN}.</t>
  </si>
  <si>
    <t>{SUBJ_PRONOUN_ES} {V_SER_ES} de {PLACE_ES}, pero no {V_SER_ES} {OCCUPATION_ES}.</t>
  </si>
  <si>
    <t>Coordinate/contrast: origin + neg occupation.</t>
  </si>
  <si>
    <t>Placeholders: existing; New placeholders: none. SAFE: No (Polarity mix; validate conjunction + negation composition). (Mixed polarity across clauses.)</t>
  </si>
  <si>
    <t>552</t>
  </si>
  <si>
    <t>{NEG_PRE} Aj {PLACE}-{AFFIX_PRONOUN} {NEG_SUF}, k'ut {OCCUPATION}-{AFFIX_PRONOUN}.</t>
  </si>
  <si>
    <t>{SUBJ_PRONOUN_EN} {BE_EN} not from {PLACE_EN}, but {SUBJ_PRONOUN_EN} {BE_EN} {OCCUPATION_EN}.</t>
  </si>
  <si>
    <t>{SUBJ_PRONOUN_ES} no {V_SER_ES} de {PLACE_ES}, pero {V_SER_ES} {OCCUPATION_ES}.</t>
  </si>
  <si>
    <t>Coordinate/contrast: neg origin + occupation.</t>
  </si>
  <si>
    <t>Placeholders: existing; New placeholders: none. SAFE: No (needs validated neg origin + contrast conjunction composition). (Mixed polarity across clauses.)</t>
  </si>
  <si>
    <t>553</t>
  </si>
  <si>
    <t>K'o {OBJECT} chi {PLACE}.</t>
  </si>
  <si>
    <t>There is {OBJECT_EN} in {PLACE_EN}.</t>
  </si>
  <si>
    <t>Hay {OBJECT_ES} en {PLACE_ES}.</t>
  </si>
  <si>
    <t>Existential: singular object in place.</t>
  </si>
  <si>
    <t>exist</t>
  </si>
  <si>
    <t>SAFE: Yes. Uses existing existential construction (k'o). Placeholders: existing.</t>
  </si>
  <si>
    <t>554</t>
  </si>
  <si>
    <t>K'o {OBJECT_PL} chi {PLACE}.</t>
  </si>
  <si>
    <t>There are {OBJECT_PL_EN} in {PLACE_EN}.</t>
  </si>
  <si>
    <t>Hay {OBJECT_PL_ES} en {PLACE_ES}.</t>
  </si>
  <si>
    <t>Existential: plural objects in place.</t>
  </si>
  <si>
    <t>556</t>
  </si>
  <si>
    <t>557</t>
  </si>
  <si>
    <t>558</t>
  </si>
  <si>
    <t>{VERB_INTR}{AFFIX_PRONOUN} junel chi {TIME_UNIT}.</t>
  </si>
  <si>
    <t>{SUBJ_PRONOUN_EN} {VERB_EN} every {TIME_UNIT_EN}.</t>
  </si>
  <si>
    <t>{SUBJ_PRONOUN_ES} {VERB_ES} cada {TIME_UNIT_ES}.</t>
  </si>
  <si>
    <t>Habitual intransitive action.</t>
  </si>
  <si>
    <t>intr</t>
  </si>
  <si>
    <t>SAFE: Yes. Habitual frame with junel chi. Placeholders: existing.</t>
  </si>
  <si>
    <t>559</t>
  </si>
  <si>
    <t>{VERB_TR}{AFFIX_PRONOUN} {OBJECT} junel chi {TIME_UNIT}.</t>
  </si>
  <si>
    <t>{SUBJ_PRONOUN_EN} {VERB_EN} {OBJECT_EN} every {TIME_UNIT_EN}.</t>
  </si>
  <si>
    <t>{SUBJ_PRONOUN_ES} {VERB_ES} {OBJECT_ES} cada {TIME_UNIT_ES}.</t>
  </si>
  <si>
    <t>Habitual transitive action.</t>
  </si>
  <si>
    <t>tr</t>
  </si>
  <si>
    <t>560</t>
  </si>
  <si>
    <t>{VERB_INTR}{AFFIX_PRONOUN} chi {PLACE}.</t>
  </si>
  <si>
    <t>{SUBJ_PRONOUN_EN} {VERB_EN} to {PLACE_EN}.</t>
  </si>
  <si>
    <t>{SUBJ_PRONOUN_ES} {VERB_ES} a {PLACE_ES}.</t>
  </si>
  <si>
    <t>Motion to place (intransitive).</t>
  </si>
  <si>
    <t>SAFE: Yes. Simple motion-to-place. Placeholders: existing.</t>
  </si>
  <si>
    <t>561</t>
  </si>
  <si>
    <t>562</t>
  </si>
  <si>
    <t>564</t>
  </si>
  <si>
    <t>Aj {PLACE}-{AFFIX_PRONOUN}. {OCCUPATION}{AFFIX_PRONOUN}.</t>
  </si>
  <si>
    <t>{SUBJ_PRONOUN_EN} {BE_EN} from {PLACE_EN}. {SUBJ_PRONOUN_EN} {BE_EN} {OCCUPATION_EN}.</t>
  </si>
  <si>
    <t>{SUBJ_PRONOUN_ES} {V_SER_ES} de {PLACE_ES}. {SUBJ_PRONOUN_ES} {V_SER_ES} {OCCUPATION_ES}.</t>
  </si>
  <si>
    <t>Two-sentence pair: origin + occupation (same pronoun subject).</t>
  </si>
  <si>
    <t>PAIR-2S</t>
  </si>
  <si>
    <t>Aj {PLACE} {NAME}. {SUBJ_PRONOUN} {OCCUPATION}.</t>
  </si>
  <si>
    <t>{NAME_EN} {BE_EN} from {PLACE_EN}. {SUBJ_PRONOUN_EN} {BE_EN} {OCCUPATION_EN}.</t>
  </si>
  <si>
    <t>{NAME_ES} {V_SER_ES} de {PLACE_ES}. {SUBJ_PRONOUN_ES} {V_SER_ES} {OCCUPATION_ES}.</t>
  </si>
  <si>
    <t>Two-sentence pair: origin (name) + occupation (pronoun coref to name).</t>
  </si>
  <si>
    <t>Coreference relies on generator choosing 3sg pronoun in sentence 2; gender may be random unless tied to NAME metadata.</t>
  </si>
  <si>
    <t>{OCCUPATION} {NAME}. Aj {PLACE} {NAME}.</t>
  </si>
  <si>
    <t>{NAME_EN} {BE_EN} {OCCUPATION_EN}. {NAME_EN} {BE_EN} from {PLACE_EN}.</t>
  </si>
  <si>
    <t>{NAME_ES} {V_SER_ES} {OCCUPATION_ES}. {NAME_ES} {V_SER_ES} de {PLACE_ES}.</t>
  </si>
  <si>
    <t>Two-sentence pair: occupation + origin (repeat name for strict coreference).</t>
  </si>
  <si>
    <t>{EXIST} {NP} {WITH_PRON_KEK}. {ADJ} {NP}.</t>
  </si>
  <si>
    <t>{SUBJ_PRONOUN_EN} {V_POSS_TR_EN} {THEME_NP_INDEF_EN}. {NP_DEF_EN} {BE_EN} {ADJ_EN}.</t>
  </si>
  <si>
    <t>{SUBJ_PRONOUN_ES} {V_POSS_TR_ES} {THEME_NP_INDEF_ES}. {NP_DEF_ES} {COP_ES} {ADJ_ES}.</t>
  </si>
  <si>
    <t>Two-sentence pair: possession + anaphoric attribute of the possessed item.</t>
  </si>
  <si>
    <t>I have a house. The house is big.</t>
  </si>
  <si>
    <t>Requires NEW placeholders: NP_DEF_EN, NP_DEF_ES (definite anaphoric NP built from the same NP selected in sentence 1). KEK can reuse {NP} because subject-article insertion already yields 'li' for subjects.</t>
  </si>
  <si>
    <t>{NAME} {V_TR} {THEME_NP}. {ADJ} {THEME_NP}.</t>
  </si>
  <si>
    <t>{NAME_EN} {V_TR_EN} {THEME_NP_INDEF_EN}. {THEME_NP_DEF_EN} {BE_EN} {ADJ_EN}.</t>
  </si>
  <si>
    <t>{NAME_ES} {V_TR_ES} {THEME_NP_INDEF_ES}. {THEME_NP_DEF_ES} {COP_ES} {ADJ_ES}.</t>
  </si>
  <si>
    <t>Two-sentence pair: transitive event + anaphoric attribute of theme (same theme).</t>
  </si>
  <si>
    <t>Juan sees a dog. The dog is small.</t>
  </si>
  <si>
    <t>Requires NEW placeholders: THEME_NP_DEF_EN, THEME_NP_DEF_ES (definite anaphoric theme NP). Ensure {THEME_NP} reuse across both sentences keeps KEK coreference.</t>
  </si>
  <si>
    <t>{NAME_EN} {V_TR_EN} {THEME_NP_INDEF_EN}. {SUBJ_PRONOUN_EN} {BE_EN} {ADJ_EN}.</t>
  </si>
  <si>
    <t>{NAME_ES} {V_TR_ES} {THEME_NP_INDEF_ES}. {SUBJ_PRONOUN_ES} {COP_ES} {ADJ_ES}.</t>
  </si>
  <si>
    <t>Two-sentence pair: transitive event + subject attribute (pronoun coref to name).</t>
  </si>
  <si>
    <t>Juan helps a woman. He is kind.</t>
  </si>
  <si>
    <t>Coreference relies on sentence 2 pronoun matching NAME; consider tying pronoun gender to NAME metadata if you want deterministic he/she.</t>
  </si>
  <si>
    <t>{ADV} {V_INTR} {SUBJ_PRONOUN}. {ADJ}{AFFIX_PRONOUN}.</t>
  </si>
  <si>
    <t>{SUBJ_PRONOUN_EN} {V_INTR_EN} {ADV_EN}. {SUBJ_PRONOUN_EN} {BE_EN} {ADJ_EN}.</t>
  </si>
  <si>
    <t>{SUBJ_PRONOUN_ES} {V_INTR_ES} {ADV_ES}. {SUBJ_PRONOUN_ES} {COP_ES} {ADJ_ES}.</t>
  </si>
  <si>
    <t>Two-sentence pair: intransitive action (with adverb) + attribute (same pronoun subject).</t>
  </si>
  <si>
    <t>He runs quickly. He is tired.</t>
  </si>
  <si>
    <t>Check KEK adverb placement conventions; current pattern mirrors existing 'ADV + V_INTR + SUBJECT' templates used with possessed NPs.</t>
  </si>
  <si>
    <t>555</t>
  </si>
  <si>
    <t>563</t>
  </si>
  <si>
    <t>{NAME} {V_TR} {THEME_NP}. {ADJ}{AFFIX_PRONOUN}.</t>
  </si>
  <si>
    <t>2-sentence</t>
  </si>
  <si>
    <t>Aj {PLACE} {NAME}. {OCCUPATION}{AFFIX_PRONOUN}.</t>
  </si>
  <si>
    <t>Two-sentence pair: name with origin, pronoun with occupation (pronoun coref to name).</t>
  </si>
  <si>
    <t>Juan is from San Pedro. He is a fireman.</t>
  </si>
  <si>
    <t>{NAME_ES} {V_SER_ES} de {PLACE_ES}. {SUBJ_PRONOUN_ES} {COP_ES} {OCCUPATION_ES}.</t>
  </si>
  <si>
    <t>{NAME_EN} {BE_EN} {OCCUPATION_EN}. {SUBJ_PRONOUN_EN} {BE_EN} from {PLACE_EN}.</t>
  </si>
  <si>
    <t>{NAME_ES} {COP_ES} {OCCUPATION_ES}. {SUBJ_PRONOUN_ES} {V_SER_ES} de {PLACE_ES}.</t>
  </si>
  <si>
    <t>Two-sentence pair: name with occupation, pronoun with origin (pronoun coref to name).</t>
  </si>
  <si>
    <t>Juan is a fireman. He is from San Pedro.</t>
  </si>
  <si>
    <t>{SUBJ_PRONOUN_ES} {V_SER_ES} de {PLACE_ES}. {SUBJ_PRONOUN_ES} {COP_ES} {OCCUPATION_ES}.</t>
  </si>
  <si>
    <t>{SUBJ_PRONOUN_ES} {V_SER_ES} de {PLACE_ES}. {COP_ES} {OCCUPATION_ES}.</t>
  </si>
  <si>
    <t>2 main clauses</t>
  </si>
  <si>
    <t>{OCCUPATION}-{AFFIX_PRONOUN}, ut {ADJ}{AFFIX_PRONOUN}.</t>
  </si>
  <si>
    <t>I have a beanie. The beanie is blue.</t>
  </si>
  <si>
    <t>You have a beanie. The beanie is blue.</t>
  </si>
  <si>
    <t>She has a beanie. The beanie is blue.</t>
  </si>
  <si>
    <t>{NAME} aj {PLACE}. {OCCUPATION}{AFFIX_PRONOUN}.</t>
  </si>
  <si>
    <t>Kek variant. Two-sentence pair: name with origin, pronoun with occupation (pronoun coref to name).</t>
  </si>
  <si>
    <t>2-sentence | KEK: Variant</t>
  </si>
  <si>
    <t>2-sentence. | ES: Headless (2nd sentence)</t>
  </si>
  <si>
    <t>2-sentence. | ES: Headless (2nd sentence) | KEK: variant</t>
  </si>
  <si>
    <t>{SUBJ_PRONOUN} aj {PLACE}. {SUBJ_PRONOUN} {OCCUPATION}.</t>
  </si>
  <si>
    <t>{OCCUPATION}{AFFIX_PRONOUN}. {ADJ}{AFFIX_PRONOUN}.</t>
  </si>
  <si>
    <t>{SUBJ_PRONOUN_EN} {BE_EN} {OCCUPATION_EN}. {SUBJ_PRONOUN_EN} {BE_EN} {ADJ_EN}.</t>
  </si>
  <si>
    <t>{SUBJ_PRONOUN_ES} {V_SER_ES} {OCCUPATION_ES}. {SUBJ_PRONOUN_ES} {COP_ES} {ADJ_ES}.</t>
  </si>
  <si>
    <t>2-sentence: occupation + adjective (same subject).</t>
  </si>
  <si>
    <t>I am a teacher. I am calm.</t>
  </si>
  <si>
    <t>You are a teacher. You are calm.</t>
  </si>
  <si>
    <t>He is a teacher. He is calm.</t>
  </si>
  <si>
    <t>{ADJ}{AFFIX_PRONOUN}. {OCCUPATION}{AFFIX_PRONOUN}.</t>
  </si>
  <si>
    <t>{SUBJ_PRONOUN_EN} {BE_EN} {ADJ_EN}. {SUBJ_PRONOUN_EN} {BE_EN} {OCCUPATION_EN}.</t>
  </si>
  <si>
    <t>{SUBJ_PRONOUN_ES} {COP_ES} {ADJ_ES}. {SUBJ_PRONOUN_ES} {V_SER_ES} {OCCUPATION_ES}.</t>
  </si>
  <si>
    <t>2-sentence: adjective + occupation (same subject).</t>
  </si>
  <si>
    <t>I am calm. I am a teacher.</t>
  </si>
  <si>
    <t>You are calm. You are a teacher.</t>
  </si>
  <si>
    <t>He is calm. He is a teacher.</t>
  </si>
  <si>
    <t>{SUBJ_PRONOUN_EN} {BE_EN} from {PLACE_EN}. {SUBJ_PRONOUN_EN} {BE_EN} {ADJ_EN}.</t>
  </si>
  <si>
    <t>{SUBJ_PRONOUN_ES} {V_SER_ES} de {PLACE_ES}. {SUBJ_PRONOUN_ES} {COP_ES} {ADJ_ES}.</t>
  </si>
  <si>
    <t>2-sentence: origin + adjective (same subject).</t>
  </si>
  <si>
    <t>I am from San Pedro. I am calm.</t>
  </si>
  <si>
    <t>You are from San Pedro. You are calm.</t>
  </si>
  <si>
    <t>He is from San Pedro. He is calm.</t>
  </si>
  <si>
    <t>{SUBJ_PRONOUN_EN} {BE_EN} {ADJ_EN}. {SUBJ_PRONOUN_EN} {BE_EN} from {PLACE_EN}.</t>
  </si>
  <si>
    <t>{SUBJ_PRONOUN_ES} {COP_ES} {ADJ_ES}. {SUBJ_PRONOUN_ES} {V_SER_ES} de {PLACE_ES}.</t>
  </si>
  <si>
    <t>2-sentence: adjective + origin (same subject).</t>
  </si>
  <si>
    <t>I am calm. I am from San Pedro.</t>
  </si>
  <si>
    <t>You are calm. You are from San Pedro.</t>
  </si>
  <si>
    <t>He is calm. He is from San Pedro.</t>
  </si>
  <si>
    <t>2-sentence: possession + origin (same subject).</t>
  </si>
  <si>
    <t>I have a dog. I am from San Pedro.</t>
  </si>
  <si>
    <t>You have a dog. You are from San Pedro.</t>
  </si>
  <si>
    <t>He has a dog. He is from San Pedro.</t>
  </si>
  <si>
    <t>2-sentence: possession + occupation (same subject).</t>
  </si>
  <si>
    <t>I have a dog. I am a teacher.</t>
  </si>
  <si>
    <t>You have a dog. You are a teacher.</t>
  </si>
  <si>
    <t>He has a dog. He is a teacher.</t>
  </si>
  <si>
    <t>{OCCUPATION} {NAME}. {ADJ}{AFFIX_PRONOUN}.</t>
  </si>
  <si>
    <t>{NAME_EN} {BE_EN} {OCCUPATION_EN}. {SUBJ_PRONOUN_EN} {BE_EN} {ADJ_EN}.</t>
  </si>
  <si>
    <t>{NAME_ES} {V_SER_ES} {OCCUPATION_ES}. {SUBJ_PRONOUN_ES} {COP_ES} {ADJ_ES}.</t>
  </si>
  <si>
    <t>2-sentence: name+occupation then adjective (pronoun coref to name).</t>
  </si>
  <si>
    <t>Juan is a teacher. He is calm.</t>
  </si>
  <si>
    <t>Aj {PLACE} {NAME}. {ADJ}{AFFIX_PRONOUN}.</t>
  </si>
  <si>
    <t>{NAME_EN} {BE_EN} from {PLACE_EN}. {SUBJ_PRONOUN_EN} {BE_EN} {ADJ_EN}.</t>
  </si>
  <si>
    <t>{NAME_ES} {V_SER_ES} de {PLACE_ES}. {SUBJ_PRONOUN_ES} {COP_ES} {ADJ_ES}.</t>
  </si>
  <si>
    <t>2-sentence: name+origin then adjective (pronoun coref to name).</t>
  </si>
  <si>
    <t>Juan is from San Pedro. He is calm.</t>
  </si>
  <si>
    <t>{ADJ} {NAME}. {OCCUPATION}{AFFIX_PRONOUN}.</t>
  </si>
  <si>
    <t>{NAME_EN} {BE_EN} {ADJ_EN}. {SUBJ_PRONOUN_EN} {BE_EN} {OCCUPATION_EN}.</t>
  </si>
  <si>
    <t>{NAME_ES} {COP_ES} {ADJ_ES}. {SUBJ_PRONOUN_ES} {V_SER_ES} {OCCUPATION_ES}.</t>
  </si>
  <si>
    <t>2-sentence: name+adjective then occupation (pronoun coref to name).</t>
  </si>
  <si>
    <t>Juan is calm. He is a teacher.</t>
  </si>
  <si>
    <t>2-sentence: possession + adjective (about possessor).</t>
  </si>
  <si>
    <t>I have a dog. I am calm.</t>
  </si>
  <si>
    <t>You have a dog. You are calm.</t>
  </si>
  <si>
    <t>He has a dog. He is calm.</t>
  </si>
  <si>
    <t>2-sentence: origin + occupation (same subject).</t>
  </si>
  <si>
    <t>I am from San Pedro. I am a teacher.</t>
  </si>
  <si>
    <t>You are from San Pedro. You are a teacher.</t>
  </si>
  <si>
    <t>He is from San Pedro. He is a teacher.</t>
  </si>
  <si>
    <t>{SUBJ_PRONOUN_EN} {BE_EN} {OCCUPATION_EN}. {SUBJ_PRONOUN_EN} {BE_EN} from {PLACE_EN}.</t>
  </si>
  <si>
    <t>{SUBJ_PRONOUN_ES} {V_SER_ES} {OCCUPATION_ES}. {SUBJ_PRONOUN_ES} {V_SER_ES} de {PLACE_ES}.</t>
  </si>
  <si>
    <t>2-sentence: occupation + origin (same subject).</t>
  </si>
  <si>
    <t>I am a teacher. I am from San Pedro.</t>
  </si>
  <si>
    <t>You are a teacher. You are from San Pedro.</t>
  </si>
  <si>
    <t>He is a teacher. He is from San Pedro.</t>
  </si>
  <si>
    <t>2-sentence. | ES: Headless (1st sentence)</t>
  </si>
  <si>
    <t>{V_TR} {THEME_NP} {AGENT_NP}.</t>
  </si>
  <si>
    <t>Ani {V_TR} {THEME_NP}?</t>
  </si>
  <si>
    <t>¿Quién {V_TR_ES} {THEME_NP_ES}?</t>
  </si>
  <si>
    <t>Who question</t>
  </si>
  <si>
    <t>Who hit the teacher?</t>
  </si>
  <si>
    <t>Ani {V_TR_PST} {THEME_NP}?</t>
  </si>
  <si>
    <t>Ani {V_TR_FUT} {THEME_NP}?</t>
  </si>
  <si>
    <t>¿Quién {V_TR_PST_ES} {THEME_NP_ES}?</t>
  </si>
  <si>
    <t>¿Quién {V_TR_FUT_ES} {THEME_NP_ES}?</t>
  </si>
  <si>
    <t>Who hits the teacher?</t>
  </si>
  <si>
    <t>Who will hit the teacher?</t>
  </si>
  <si>
    <t>Who {WILL_EN} {V_TR_BASE_EN} {THEME_NP_EN}?</t>
  </si>
  <si>
    <t>Who question for transitive verb, present</t>
  </si>
  <si>
    <t>Who question for transitive verb, past</t>
  </si>
  <si>
    <t>Who question for transitive verb, future</t>
  </si>
  <si>
    <t>Don't {V_TR_BASE_EN} {THEME_NP_EN} because it's {NAME_EN}'s.</t>
  </si>
  <si>
    <t>{V_TR_IMP_NEG_ES} {THEME_NP_ES} porque es de {NAME_ES}.</t>
  </si>
  <si>
    <t>Compound sentence starting with negated imperative</t>
  </si>
  <si>
    <t>Don't feed the cow because it's Winston's.</t>
  </si>
  <si>
    <t>{V_TR} {NUM_THEME_NP} ut {NUM_THEME_NP}.</t>
  </si>
  <si>
    <t>{V_TR_KEK} {NUM_NP} ut {NUM_NP}.</t>
  </si>
  <si>
    <t>{V_TR} {THEME_NP}.</t>
  </si>
  <si>
    <t>{SUBJ_PRONOUN_ES} {V_TR_ES} {THEME_NP_ES}.</t>
  </si>
  <si>
    <t>{V_TR_ES} {THEME_NP_ES}.</t>
  </si>
  <si>
    <t>{V_TR_PST} {THEME_NP}.</t>
  </si>
  <si>
    <t>{V_TR_PST_ES} {THEME_NP_ES}.</t>
  </si>
  <si>
    <t>Who {V_TR_EN} {THEME_NP_EN}?</t>
  </si>
  <si>
    <t>Who {V_TR_PST_EN} {THEME_NP_EN}?</t>
  </si>
  <si>
    <t>{SUBJ_PRONOUN_EN} {V_TR_EN} {THEME_NP_EN}.</t>
  </si>
  <si>
    <t>{SUBJ_PRONOUN_EN} {V_TR_PST_EN} {THEME_NP_EN}.</t>
  </si>
  <si>
    <t>{AGENT_NP_PL_EN} {V_TR_EN} {THEME_NP_EN}.</t>
  </si>
  <si>
    <t>{AGENT_NP_PL_EN} do not {V_TR_BASE_EN} {THEME_NP_EN}.</t>
  </si>
  <si>
    <t>{AGENT_NP_PL_ES} no {V_TR_ES} {THEME_NP_ES}.</t>
  </si>
  <si>
    <t>May {SUBJ_PRONOUN_EN} be {ADJ_EN}.</t>
  </si>
  <si>
    <t>Ojalá {SUBJ_PRONOUN_ES} {COP_FUT_ES} {ADJ_ES}.</t>
  </si>
  <si>
    <t>{SUBJ_PRONOUN_ES} {V_TR_PST_ES} {THEME_NP_ES}.</t>
  </si>
  <si>
    <t>{WH_TIME_EN} {DO_AFF_EN} {NUM_NP_EN} {V_INTR_BASE_EN}?</t>
  </si>
  <si>
    <t>{DO_AFF_EN} {NUM_NP_EN} {V_INTR_BASE_EN}?</t>
  </si>
  <si>
    <t>{WH_TIME} {V_INTR} {NUM_NP}?</t>
  </si>
  <si>
    <t>{V_TR} {NUM_NP} ut {NUM_NP}.</t>
  </si>
  <si>
    <t>{V_TR} {SUBJ_PRONOUN} {NUM_THEME_NP}.</t>
  </si>
  <si>
    <t>Aj {PLACE}{AFFIX_PRONOUN}, ut {OCCUPATION}{AFFIX_PRONOUN}.</t>
  </si>
  <si>
    <t>Aj {PLACE}{AFFIX_PRONOUN}. {SUBJ_PRONOUN} {OCCUPATION}.</t>
  </si>
  <si>
    <t>Aj {PLACE}{AFFIX_PRONOUN}. {ADJ}{AFFIX_PRONOUN}.</t>
  </si>
  <si>
    <t>{ADJ}{AFFIX_PRONOUN}. Aj {PLACE}{AFFIX_PRONOUN}.</t>
  </si>
  <si>
    <t>Aj {PLACE}{AFFIX_PRONOUN}. {OCCUPATION}{AFFIX_PRONOUN}.</t>
  </si>
  <si>
    <t>{OCCUPATION}{AFFIX_PRONOUN}. Aj {PLACE}{AFFIX_PRONOUN}.</t>
  </si>
  <si>
    <t>{OCCUPATION} {NAME}. Aj {PLACE}{AFFIX_PRONOUN}.</t>
  </si>
  <si>
    <t>Aj {PLACE}{AFFIX_PRONOUN}, ut {ADJ}{AFFIX_PRONOUN}.</t>
  </si>
  <si>
    <t>{ADJ}{AFFIX_PRONOUN}, ut aj {PLACE}{AFFIX_PRONOUN}.</t>
  </si>
  <si>
    <t>{ADJ}{AFFIX_PRONOUN} {SUBJ_PRONOUN}.</t>
  </si>
  <si>
    <t>{PRED_NP}{AFFIX_PRONOUN} {SUBJ_PRONOUN}.</t>
  </si>
  <si>
    <t>Aj {PLACE}{AFFIX_PRONOUN}  {SUBJ_PRONOUN}.</t>
  </si>
  <si>
    <t>{OCCUPATION}{AFFIX_PRONOUN}  {SUBJ_PRONOUN}.</t>
  </si>
  <si>
    <t>{EXIST} {POSSESSUM_NP} {WITH_PRON_KEK}. {OCCUPATION}{AFFIX_PRONOUN}.</t>
  </si>
  <si>
    <t>{EXIST} {POSSESSUM_NP} {WITH_PRON_KEK}. {ADJ}{AFFIX_PRONOUN}.</t>
  </si>
  <si>
    <t>{EXIST} {POSSESSUM_NP} {WITH_PRON_KEK}. Aj {PLACE}{AFFIX_PRONOUN}.</t>
  </si>
  <si>
    <t>{EXIST} {POSSESSUM_NP} {WITH_PRON_KEK}.</t>
  </si>
  <si>
    <t>{EXIST} {POSSESSUM_NP} {WITH_PRON_KEK}. {ADJ} {NP}.</t>
  </si>
  <si>
    <t>{SUBJ_PRONOUN_EN} {V_POSS_TR_EN} {POSSESSUM_NP_EN}. {SUBJ_PRONOUN_EN} {BE_EN} from {PLACE_EN}.</t>
  </si>
  <si>
    <t>{V_POSS_TR_ES} {POSSESSUM_NP_ES}. {SUBJ_PRONOUN_ES} {V_SER_ES} {OCCUPATION_ES}.</t>
  </si>
  <si>
    <t>{V_POSS_TR_ES} {POSSESSUM_NP_ES}. {SUBJ_PRONOUN_ES} {COP_ES} {ADJ_ES}.</t>
  </si>
  <si>
    <t>{V_POSS_TR_ES} {POSSESSUM_NP_ES}. {SUBJ_PRONOUN_ES} {V_SER_ES} de {PLACE_ES}.</t>
  </si>
  <si>
    <t>{SUBJ_PRONOUN_ES} {V_POSS_TR_ES} {POSSESSUM_NP_ES}.</t>
  </si>
  <si>
    <t>{V_POSS_TR_ES} {POSSESSUM_NP_ES}.</t>
  </si>
  <si>
    <t>{V_POSS_TR_ES} {POSSESSUM_NP_ES}. {REF_NP_DEF_ES} {COP_ES} {ADJ_ES}.</t>
  </si>
  <si>
    <t>{NAME_ES} {V_POSS_TR_ES} {POSSESSUM_NP_ES}.</t>
  </si>
  <si>
    <t>¿{SUBJ_PRONOUN_ES} {V_POSS_TR_ES} {POSSESSUM_NP_ES}?</t>
  </si>
  <si>
    <t>{SUBJ_PRONOUN_ES} no {V_POSS_TR_ES} {POSSESSUM_NP_ES}.</t>
  </si>
  <si>
    <t>No {V_POSS_TR_ES} {POSSESSUM_NP_ES}.</t>
  </si>
  <si>
    <t>{NEG_PRE} {EXIST} {NEG_SUF} {POSSESSUM_NP} {WITH_PRON_KEK}.</t>
  </si>
  <si>
    <t>{SUBJ_PRONOUN_EN} {V_POSS_TR_EN} {POSSESSUM_NP_PL_EN}.</t>
  </si>
  <si>
    <t>{V_POSS_TR_ES} {POSSESSUM_NP_PL_ES}.</t>
  </si>
  <si>
    <t>{SUBJ_PRONOUN_ES} {V_POSS_TR_ES} {POSSESSUM_NP_PL_ES}.</t>
  </si>
  <si>
    <t>{NAME_ES} {V_POSS_TR_ES} {POSSESSUM_NP_PL_ES}.</t>
  </si>
  <si>
    <t>¿{SUBJ_PRONOUN_ES} {V_POSS_TR_ES} {POSSESSUM_NP_PL_ES}?</t>
  </si>
  <si>
    <t>{EXIST} {NUM_POSSESSUM_NP} {WITH_PRON_KEK}.</t>
  </si>
  <si>
    <t>{SUBJ_PRONOUN_EN} {V_POSS_TR_EN} {NUM_POSSESSUM_NP_EN}.</t>
  </si>
  <si>
    <t>{SUBJ_PRONOUN_ES} {V_POSS_TR_ES} {NUM_POSSESSUM_NP_ES}.</t>
  </si>
  <si>
    <t>{NAME_EN} {V_POSS_TR_EN} {NUM_POSSESSUM_NP_EN}.</t>
  </si>
  <si>
    <t>{NAME_ES} {V_POSS_TR_ES} {NUM_POSSESSUM_NP_ES}.</t>
  </si>
  <si>
    <t>I have three pigs</t>
  </si>
  <si>
    <t>We have twenty cows.</t>
  </si>
  <si>
    <t>{NP_PL_EN} {V_INTR_PST_EN} {ADV_EN}.</t>
  </si>
  <si>
    <t>{NP_PL_ES} {V_INTR_PST_ES} {ADV_ES}.</t>
  </si>
  <si>
    <t>{WH_TIME_EN} {DO_PST_EN} {NP_EN} {V_INTR_BASE_EN}?</t>
  </si>
  <si>
    <t>{WH_LOC_EN} {DO_PST_EN} {NP_EN} {V_INTR_BASE_EN}?</t>
  </si>
  <si>
    <t>{SUBJ_PRONOUN_EN} {BE_FUT_EN} {V_INTR_PROG_EN}.</t>
  </si>
  <si>
    <t>{NAME_EN} {BE_FUT_EN} {V_INTR_PROG_EN}.</t>
  </si>
  <si>
    <t>{NP_PRONOUN_EN} {BE_FUT_EN} {V_INTR_PROG_EN}.</t>
  </si>
  <si>
    <t>{V_INTR_PROG_FUT} {NP}.</t>
  </si>
  <si>
    <t>{V_INTR_PROG_FUT}.</t>
  </si>
  <si>
    <t>{V_INTR_PROG_FUT} {NAME}.</t>
  </si>
  <si>
    <t>{V_INTR_FUT_PROG_ES}.</t>
  </si>
  <si>
    <t>{NP_ES} {V_INTR_FUT_PROG_ES}.</t>
  </si>
  <si>
    <t>{NAME_ES} {V_INTR_FUT_PROG_ES}.</t>
  </si>
  <si>
    <t>{SUBJ_PRONOUN_ES} {V_INTR_FUT_PROG_ES}.</t>
  </si>
  <si>
    <t>{V_TR_PROG} {SUBJ_PRONOUN} {NUM_THEME_NP}.</t>
  </si>
  <si>
    <t>{V_INTR_PROG_FUT} {NUM_NP}.</t>
  </si>
  <si>
    <t>{V_INTR_PROG} {NUM_NP}.</t>
  </si>
  <si>
    <t>{V_INTR_PROG_FUT} {POSS_NP}.</t>
  </si>
  <si>
    <t>{YN_Q_MARKER} {V_INTR_PROG_FUT} {NAME}?</t>
  </si>
  <si>
    <t>{NEG_PRE} {V_INTR_PROG_FUT} {NEG_SUF}.</t>
  </si>
  <si>
    <t>{NEG_PRE} {V_INTR_PROG_FUT} {NEG_SUF} {NAME}.</t>
  </si>
  <si>
    <t>{NEG_PRE} {V_INTR_PROG_FUT} {NEG_SUF} {NP}.</t>
  </si>
  <si>
    <t>{NUM_NP_EN} {BE_FUT_EN} {V_INTR_PROG_EN}.</t>
  </si>
  <si>
    <t>{POSS_NP_EN} {BE_FUT_EN} {V_INTR_PROG_EN}.</t>
  </si>
  <si>
    <t>Will {NAME_EN} be {V_INTR_PROG_EN}?</t>
  </si>
  <si>
    <t>{SUBJ_PRONOUN_EN} will not be  {V_INTR_PROG_EN}.</t>
  </si>
  <si>
    <t>{NAME_EN} will not be  {V_INTR_PROG_EN}.</t>
  </si>
  <si>
    <t>{NP_POSS_EN} will not be  {V_INTR_PROG_EN}.</t>
  </si>
  <si>
    <t>{NUM_NP_ES} {V_INTR_PROG_FUT_ES}.</t>
  </si>
  <si>
    <t>{POSS_NP_ES} {V_INTR_PROG_FUT_ES}.</t>
  </si>
  <si>
    <t>¿{NAME_ES} {V_INTR_PROG_FUT_ES}?</t>
  </si>
  <si>
    <t>{SUBJ_PRONOUN_ES} no {V_INTR_PROG_FUT_ES}.</t>
  </si>
  <si>
    <t>No {V_INTR_PROG_FUT_ES}.</t>
  </si>
  <si>
    <t>{NAME_ES} no {V_INTR_PROG_FUT_ES}.</t>
  </si>
  <si>
    <t>{NP_ES} no {V_INTR_PROG_FUT_ES}.</t>
  </si>
  <si>
    <t>Negated intransitive progressive (future) with pronoun subject.</t>
  </si>
  <si>
    <t>Negated intransitive progressive (future) with pronoun subject, Spanish variant</t>
  </si>
  <si>
    <t>{EXIST_EN} {NP_PL_INDEF_EN}?</t>
  </si>
  <si>
    <t>Progressive transitive verb</t>
  </si>
  <si>
    <t>{V_TR_PROG} {SUBJ_PRONOUN} {THEME_NP}.</t>
  </si>
  <si>
    <t>{SUBJ_PRONOUN_EN} {BE_EN} {V_TR_PROG_EN} {THEME_NP_EN}.</t>
  </si>
  <si>
    <t>{SUBJ_PRONOUN_ES} {V_TR_PROG_ES} {THEME_NP_ES}.</t>
  </si>
  <si>
    <t>{V_TR_PROG_ES} {THEME_NP_ES}.</t>
  </si>
  <si>
    <t>{V_TR_PROG} {NAME} {THEME_NP}.</t>
  </si>
  <si>
    <t>{NAME_EN} {BE_EN} {V_TR_PROG_EN} {THEME_NP_EN}.</t>
  </si>
  <si>
    <t>{NAME_ES}{V_TR_PROG_ES} {THEME_NP_ES}.</t>
  </si>
  <si>
    <t>{BE_EN} {NAME_EN} not {V_TR_PROG_EN} {THEME_NP_EN}?</t>
  </si>
  <si>
    <t>¿{NAME_ES} no {V_TR_PROG_ES} {THEME_NP_ES}?</t>
  </si>
  <si>
    <t>{AGENT_NP_EN} {WILL_EN} {V_TR_BASE_EN} {THEME_NP_EN} {ADV_EN}.</t>
  </si>
  <si>
    <t>{EXIST} {POSSESSUM_NP} rik'in {NAME}.</t>
  </si>
  <si>
    <t>{EXIST} {NUM_POSSESSUM_NP} rik'in {POSS_NP}.</t>
  </si>
  <si>
    <t>{V_TR_IMP_NEG} {THEME_NP} ab’anan {THEME_NP} rik'in {NAME}.</t>
  </si>
  <si>
    <t>{EXIST} {NUM_POSSESSUM_NP} rik'in {NAME}.</t>
  </si>
  <si>
    <t>{YN_Q_MARKER} {EXIST} {POSSESSUM_NP} {WITH_PRON_KEK}?</t>
  </si>
  <si>
    <t>{SUBJ_PRONOUN_EN} {V_POSS_TR_EN} {POSSESSUM_NP_EN}.</t>
  </si>
  <si>
    <t>{SUBJ_PRONOUN_EN} {V_POSS_TR_EN} {POSSESSUM_NP_EN}. {REF_NP_DEF_EN} {BE_EN} {ADJ_EN}.</t>
  </si>
  <si>
    <t>{SUBJ_PRONOUN_EN} {V_POSS_TR_EN} {POSSESSUM_NP_EN}. {SUBJ_PRONOUN_EN} {BE_EN} {OCCUPATION_EN}.</t>
  </si>
  <si>
    <t>{SUBJ_PRONOUN_EN} {V_POSS_TR_EN} {POSSESSUM_NP_EN}. {SUBJ_PRONOUN_EN} {BE_EN} {ADJ_EN}.</t>
  </si>
  <si>
    <t>{EXIST_PL} {POSSESSUM_NP} {WITH_PRON_KEK}.</t>
  </si>
  <si>
    <t>{EXIST_PL} {POSSESSUM_NP} rik'in {NAME}.</t>
  </si>
  <si>
    <t>{YN_Q_MARKER} {EXIST_PL} {POSSESSUM_NP} {WITH_PRON_KEK}?</t>
  </si>
  <si>
    <t>{SUBJ_PRONOUN_EN} {DO_NEG_EN} {V_POSS_TR_BASE_EN} {POSSESSUM_NP_EN}.</t>
  </si>
  <si>
    <t>{OCCUPATION}{AFFIX_PRONOUN}, ut {ADJ}{AFFIX_PRONOUN}.</t>
  </si>
  <si>
    <t>{V_DITR} {NUM_THEME_NP} {GOAL_REL} {GOAL_NP}.</t>
  </si>
  <si>
    <t>{V_DITR} {THEME_NP} {GOAL_REL} {NUM_GOAL_NP}.</t>
  </si>
  <si>
    <t>{V_DITR} {NUM_THEME_NP} {GOAL_REL} {NAME}.</t>
  </si>
  <si>
    <t>{V_DITR} {SUBJ_PRONOUN} {NUM_THEME_NP} {GOAL_REL} {GOAL_NP}.</t>
  </si>
  <si>
    <t>{SUBJ_PRONOUN} {V_DITR} {NUM_THEME_NP} {GOAL_REL} {NAME}.</t>
  </si>
  <si>
    <t>{NP} {V_DITR} {NUM_THEME_NP} {GOAL_REL} {NUM_GOAL_NP}.</t>
  </si>
  <si>
    <t>{SUBJ_PRONOUN} {V_DITR} {THEME_NP} {GOAL_REL} {NUM_GOAL_NP}.</t>
  </si>
  <si>
    <t>{NUM_NP} {V_DITR} {THEME_NP} {GOAL_REL} {NAME}.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</si>
</sst>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/>
    <xf numFmtId="0" fontId="0" fillId="0" borderId="0" xfId="0" applyAlignment="1">
      <alignment vertical="center" wrapText="1"/>
    </xf>
    <xf numFmtId="0" fontId="0" fillId="33" borderId="0" xfId="0" applyFill="1"/>
    <xf numFmtId="0" fontId="0" fillId="3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5" borderId="0" xfId="0" applyFill="1"/>
    <xf numFmtId="0" fontId="0" fillId="35" borderId="0" xfId="0" applyFill="1" applyAlignment="1">
      <alignment vertical="center" wrapText="1"/>
    </xf>
    <xf numFmtId="0" fontId="0" fillId="36" borderId="0" xfId="0" applyFill="1"/>
    <xf numFmtId="0" fontId="0" fillId="36" borderId="0" xfId="0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21" fillId="0" borderId="0" xfId="0" applyFont="1"/>
    <xf numFmtId="0" fontId="20" fillId="33" borderId="0" xfId="0" applyFont="1" applyFill="1"/>
    <xf numFmtId="0" fontId="20" fillId="0" borderId="0" xfId="0" applyFont="1"/>
    <xf numFmtId="9" fontId="0" fillId="0" borderId="0" xfId="0" applyNumberFormat="1" applyAlignment="1">
      <alignment vertical="top" wrapText="1"/>
    </xf>
    <xf numFmtId="164" fontId="0" fillId="0" borderId="0" xfId="0" applyNumberFormat="1"/>
    <xf numFmtId="0" fontId="0" fillId="35" borderId="0" xfId="0" applyFill="1" applyAlignment="1">
      <alignment vertical="top"/>
    </xf>
    <xf numFmtId="0" fontId="0" fillId="0" borderId="10" xfId="0" applyBorder="1" applyAlignment="1">
      <alignment vertical="top"/>
    </xf>
    <xf numFmtId="2" fontId="0" fillId="0" borderId="10" xfId="0" applyNumberFormat="1" applyBorder="1" applyAlignment="1">
      <alignment vertical="top"/>
    </xf>
    <xf numFmtId="0" fontId="0" fillId="0" borderId="10" xfId="0" applyBorder="1" applyAlignment="1">
      <alignment vertical="center" wrapText="1"/>
    </xf>
    <xf numFmtId="2" fontId="0" fillId="36" borderId="10" xfId="0" applyNumberFormat="1" applyFill="1" applyBorder="1" applyAlignment="1">
      <alignment vertical="top"/>
    </xf>
    <xf numFmtId="2" fontId="0" fillId="0" borderId="0" xfId="0" applyNumberFormat="1"/>
    <xf numFmtId="0" fontId="0" fillId="37" borderId="0" xfId="0" applyFill="1"/>
    <xf numFmtId="0" fontId="0" fillId="37" borderId="0" xfId="0" applyFill="1" applyAlignment="1">
      <alignment horizontal="right"/>
    </xf>
    <xf numFmtId="0" fontId="21" fillId="37" borderId="0" xfId="0" applyFont="1" applyFill="1"/>
    <xf numFmtId="164" fontId="22" fillId="0" borderId="0" xfId="0" applyNumberFormat="1" applyFont="1"/>
    <xf numFmtId="0" fontId="0" fillId="33" borderId="0" xfId="0" applyFill="1" applyAlignment="1">
      <alignment vertical="top" wrapText="1"/>
    </xf>
    <xf numFmtId="0" fontId="0" fillId="33" borderId="0" xfId="0" applyFill="1" applyAlignment="1">
      <alignment vertical="top"/>
    </xf>
    <xf numFmtId="0" fontId="0" fillId="35" borderId="0" xfId="0" applyFill="1" applyAlignment="1">
      <alignment horizontal="right"/>
    </xf>
    <xf numFmtId="0" fontId="0" fillId="33" borderId="0" xfId="0" applyFill="1" applyAlignment="1">
      <alignment horizontal="right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6BBF-F063-4F27-9467-88F8B07553C0}">
  <dimension ref="A1:S641"/>
  <sheetViews>
    <sheetView tabSelected="1" zoomScale="90" zoomScaleNormal="90" workbookViewId="0">
      <pane ySplit="1" topLeftCell="A411" activePane="bottomLeft" state="frozen"/>
      <selection pane="bottomLeft" activeCell="C423" sqref="C423:D423"/>
    </sheetView>
  </sheetViews>
  <sheetFormatPr defaultRowHeight="14.25" x14ac:dyDescent="0.45"/>
  <cols>
    <col min="1" max="1" width="6.1328125" customWidth="1"/>
    <col min="2" max="4" width="53.73046875" customWidth="1"/>
    <col min="5" max="5" width="63.6640625" customWidth="1"/>
    <col min="6" max="6" width="15.796875" customWidth="1"/>
    <col min="7" max="13" width="10.33203125" customWidth="1"/>
    <col min="14" max="14" width="20.06640625" customWidth="1"/>
    <col min="15" max="15" width="36.796875" customWidth="1"/>
    <col min="16" max="18" width="19.19921875" customWidth="1"/>
    <col min="19" max="19" width="44.929687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250</v>
      </c>
      <c r="E1" s="1" t="s">
        <v>3</v>
      </c>
      <c r="F1" s="1" t="s">
        <v>844</v>
      </c>
      <c r="G1" s="1" t="s">
        <v>807</v>
      </c>
      <c r="H1" s="1" t="s">
        <v>767</v>
      </c>
      <c r="I1" s="1" t="s">
        <v>781</v>
      </c>
      <c r="J1" s="1" t="s">
        <v>782</v>
      </c>
      <c r="K1" s="1" t="s">
        <v>1061</v>
      </c>
      <c r="L1" s="1" t="s">
        <v>1112</v>
      </c>
      <c r="M1" s="1" t="s">
        <v>973</v>
      </c>
      <c r="N1" s="1" t="s">
        <v>1063</v>
      </c>
      <c r="O1" s="1" t="s">
        <v>4</v>
      </c>
      <c r="P1" s="1" t="s">
        <v>1123</v>
      </c>
      <c r="Q1" s="1" t="s">
        <v>1176</v>
      </c>
      <c r="R1" s="1" t="s">
        <v>1124</v>
      </c>
      <c r="S1" s="1"/>
    </row>
    <row r="2" spans="1:19" x14ac:dyDescent="0.45">
      <c r="A2" s="3">
        <v>1</v>
      </c>
      <c r="B2" s="3" t="s">
        <v>1143</v>
      </c>
      <c r="C2" s="3" t="s">
        <v>975</v>
      </c>
      <c r="D2" s="3" t="s">
        <v>853</v>
      </c>
      <c r="E2" t="s">
        <v>978</v>
      </c>
      <c r="F2" t="s">
        <v>984</v>
      </c>
      <c r="G2" t="s">
        <v>830</v>
      </c>
      <c r="H2" t="s">
        <v>808</v>
      </c>
      <c r="I2" s="12" t="s">
        <v>1107</v>
      </c>
      <c r="K2" s="12" t="s">
        <v>1062</v>
      </c>
      <c r="L2" s="12" t="s">
        <v>1110</v>
      </c>
      <c r="M2" s="12" t="s">
        <v>838</v>
      </c>
      <c r="N2" s="14" t="s">
        <v>998</v>
      </c>
      <c r="O2" t="s">
        <v>651</v>
      </c>
      <c r="P2" s="16">
        <v>4.1651584128000003E-3</v>
      </c>
      <c r="Q2" s="22">
        <v>0.125</v>
      </c>
      <c r="R2" s="16">
        <v>3.8263041181926902E-4</v>
      </c>
    </row>
    <row r="3" spans="1:19" x14ac:dyDescent="0.45">
      <c r="A3" s="3">
        <v>2</v>
      </c>
      <c r="B3" s="3" t="s">
        <v>1149</v>
      </c>
      <c r="C3" s="3" t="s">
        <v>840</v>
      </c>
      <c r="D3" s="3" t="s">
        <v>841</v>
      </c>
      <c r="E3" t="s">
        <v>977</v>
      </c>
      <c r="F3" t="s">
        <v>984</v>
      </c>
      <c r="G3" t="s">
        <v>830</v>
      </c>
      <c r="H3" t="s">
        <v>808</v>
      </c>
      <c r="I3" s="12" t="s">
        <v>1107</v>
      </c>
      <c r="K3" s="12" t="s">
        <v>1062</v>
      </c>
      <c r="L3" s="12" t="s">
        <v>1110</v>
      </c>
      <c r="M3" s="12" t="s">
        <v>838</v>
      </c>
      <c r="N3" s="12" t="s">
        <v>1190</v>
      </c>
      <c r="O3" t="s">
        <v>1004</v>
      </c>
      <c r="P3" s="16">
        <v>4.1651584128000003E-3</v>
      </c>
      <c r="Q3" s="22">
        <v>0.5</v>
      </c>
      <c r="R3" s="16">
        <v>1.5305216472770761E-3</v>
      </c>
    </row>
    <row r="4" spans="1:19" x14ac:dyDescent="0.45">
      <c r="A4" s="3">
        <v>3</v>
      </c>
      <c r="B4" s="3" t="s">
        <v>1199</v>
      </c>
      <c r="C4" s="3" t="s">
        <v>1200</v>
      </c>
      <c r="D4" s="3" t="s">
        <v>1202</v>
      </c>
      <c r="E4" t="s">
        <v>1182</v>
      </c>
      <c r="F4" t="s">
        <v>984</v>
      </c>
      <c r="G4" t="s">
        <v>830</v>
      </c>
      <c r="H4" t="s">
        <v>808</v>
      </c>
      <c r="I4" s="12" t="s">
        <v>1107</v>
      </c>
      <c r="K4" s="12" t="s">
        <v>1062</v>
      </c>
      <c r="L4" s="12" t="s">
        <v>1110</v>
      </c>
      <c r="M4" s="12" t="s">
        <v>838</v>
      </c>
      <c r="N4" s="12" t="s">
        <v>1190</v>
      </c>
      <c r="O4" s="14" t="s">
        <v>1184</v>
      </c>
      <c r="P4" s="16">
        <v>4.1651584128000003E-3</v>
      </c>
      <c r="Q4" s="22">
        <v>0.5</v>
      </c>
      <c r="R4" s="16">
        <v>1.5305216472770761E-3</v>
      </c>
    </row>
    <row r="5" spans="1:19" x14ac:dyDescent="0.45">
      <c r="A5" s="3">
        <v>4</v>
      </c>
      <c r="B5" s="3" t="s">
        <v>1149</v>
      </c>
      <c r="C5" s="3" t="s">
        <v>840</v>
      </c>
      <c r="D5" s="3" t="s">
        <v>841</v>
      </c>
      <c r="E5" t="s">
        <v>977</v>
      </c>
      <c r="F5" t="s">
        <v>971</v>
      </c>
      <c r="G5" t="s">
        <v>830</v>
      </c>
      <c r="H5" t="s">
        <v>808</v>
      </c>
      <c r="I5" s="12" t="s">
        <v>1107</v>
      </c>
      <c r="K5" s="12" t="s">
        <v>1062</v>
      </c>
      <c r="L5" s="12" t="s">
        <v>1110</v>
      </c>
      <c r="M5" s="12" t="s">
        <v>838</v>
      </c>
      <c r="N5" s="12" t="s">
        <v>1190</v>
      </c>
      <c r="O5" s="14" t="s">
        <v>1005</v>
      </c>
      <c r="P5" s="16">
        <v>2.3429016072E-3</v>
      </c>
      <c r="Q5" s="22">
        <v>1</v>
      </c>
      <c r="R5" s="16">
        <v>1.7218368531867105E-3</v>
      </c>
    </row>
    <row r="6" spans="1:19" x14ac:dyDescent="0.45">
      <c r="A6" s="3">
        <v>5</v>
      </c>
      <c r="B6" s="3" t="s">
        <v>1143</v>
      </c>
      <c r="C6" s="3" t="s">
        <v>975</v>
      </c>
      <c r="D6" s="3" t="s">
        <v>853</v>
      </c>
      <c r="E6" t="s">
        <v>978</v>
      </c>
      <c r="F6" t="s">
        <v>985</v>
      </c>
      <c r="G6" t="s">
        <v>830</v>
      </c>
      <c r="H6" t="s">
        <v>808</v>
      </c>
      <c r="I6" s="12" t="s">
        <v>1107</v>
      </c>
      <c r="K6" s="12" t="s">
        <v>1062</v>
      </c>
      <c r="L6" s="12" t="s">
        <v>1110</v>
      </c>
      <c r="M6" s="12" t="s">
        <v>838</v>
      </c>
      <c r="N6" s="14" t="s">
        <v>998</v>
      </c>
      <c r="O6" s="14" t="s">
        <v>1006</v>
      </c>
      <c r="P6" s="16">
        <v>3.5971822656000003E-3</v>
      </c>
      <c r="Q6" s="22">
        <v>0.25</v>
      </c>
      <c r="R6" s="16">
        <v>6.6090707496055563E-4</v>
      </c>
    </row>
    <row r="7" spans="1:19" x14ac:dyDescent="0.45">
      <c r="A7" s="3">
        <v>6</v>
      </c>
      <c r="B7" s="3" t="s">
        <v>1149</v>
      </c>
      <c r="C7" s="3" t="s">
        <v>840</v>
      </c>
      <c r="D7" s="3" t="s">
        <v>841</v>
      </c>
      <c r="E7" t="s">
        <v>977</v>
      </c>
      <c r="F7" t="s">
        <v>985</v>
      </c>
      <c r="G7" t="s">
        <v>830</v>
      </c>
      <c r="H7" t="s">
        <v>808</v>
      </c>
      <c r="I7" s="12" t="s">
        <v>1107</v>
      </c>
      <c r="K7" s="12" t="s">
        <v>1062</v>
      </c>
      <c r="L7" s="12" t="s">
        <v>1110</v>
      </c>
      <c r="M7" s="12" t="s">
        <v>838</v>
      </c>
      <c r="N7" s="12" t="s">
        <v>1190</v>
      </c>
      <c r="O7" s="14" t="s">
        <v>1007</v>
      </c>
      <c r="P7" s="16">
        <v>3.5971822656000003E-3</v>
      </c>
      <c r="Q7" s="22">
        <v>1</v>
      </c>
      <c r="R7" s="16">
        <v>2.6436282998422225E-3</v>
      </c>
    </row>
    <row r="8" spans="1:19" x14ac:dyDescent="0.45">
      <c r="A8" s="3">
        <v>7</v>
      </c>
      <c r="B8" s="3" t="s">
        <v>1542</v>
      </c>
      <c r="C8" s="3" t="s">
        <v>975</v>
      </c>
      <c r="D8" s="3" t="s">
        <v>853</v>
      </c>
      <c r="E8" t="s">
        <v>978</v>
      </c>
      <c r="F8" t="s">
        <v>1010</v>
      </c>
      <c r="G8" t="s">
        <v>830</v>
      </c>
      <c r="H8" t="s">
        <v>808</v>
      </c>
      <c r="I8" s="12" t="s">
        <v>1107</v>
      </c>
      <c r="K8" s="12" t="s">
        <v>1062</v>
      </c>
      <c r="L8" s="12" t="s">
        <v>1110</v>
      </c>
      <c r="M8" s="12" t="s">
        <v>838</v>
      </c>
      <c r="N8" s="14" t="s">
        <v>998</v>
      </c>
      <c r="O8" t="s">
        <v>1136</v>
      </c>
      <c r="P8" s="16">
        <v>2.7925493904000006E-3</v>
      </c>
      <c r="Q8" s="22">
        <v>0.25</v>
      </c>
      <c r="R8" s="16">
        <v>5.130725976667472E-4</v>
      </c>
    </row>
    <row r="9" spans="1:19" x14ac:dyDescent="0.45">
      <c r="A9" s="3">
        <v>8</v>
      </c>
      <c r="B9" s="3" t="s">
        <v>1149</v>
      </c>
      <c r="C9" s="3" t="s">
        <v>840</v>
      </c>
      <c r="D9" s="3" t="s">
        <v>841</v>
      </c>
      <c r="E9" t="s">
        <v>977</v>
      </c>
      <c r="F9" t="s">
        <v>986</v>
      </c>
      <c r="G9" t="s">
        <v>830</v>
      </c>
      <c r="H9" t="s">
        <v>808</v>
      </c>
      <c r="I9" s="12" t="s">
        <v>1107</v>
      </c>
      <c r="K9" s="12" t="s">
        <v>1062</v>
      </c>
      <c r="L9" s="12" t="s">
        <v>1110</v>
      </c>
      <c r="M9" s="12" t="s">
        <v>838</v>
      </c>
      <c r="N9" s="12" t="s">
        <v>1190</v>
      </c>
      <c r="O9" t="s">
        <v>1008</v>
      </c>
      <c r="P9" s="16">
        <v>2.0234150244E-3</v>
      </c>
      <c r="Q9" s="22">
        <v>1</v>
      </c>
      <c r="R9" s="16">
        <v>1.48704091866125E-3</v>
      </c>
    </row>
    <row r="10" spans="1:19" x14ac:dyDescent="0.45">
      <c r="A10" s="3">
        <v>9</v>
      </c>
      <c r="B10" s="3" t="s">
        <v>1144</v>
      </c>
      <c r="C10" s="3" t="s">
        <v>975</v>
      </c>
      <c r="D10" s="3" t="s">
        <v>853</v>
      </c>
      <c r="E10" t="s">
        <v>1147</v>
      </c>
      <c r="F10" t="s">
        <v>1010</v>
      </c>
      <c r="G10" t="s">
        <v>830</v>
      </c>
      <c r="H10" t="s">
        <v>808</v>
      </c>
      <c r="I10" s="12" t="s">
        <v>1107</v>
      </c>
      <c r="K10" s="12" t="s">
        <v>1062</v>
      </c>
      <c r="L10" s="12" t="s">
        <v>1110</v>
      </c>
      <c r="M10" s="12" t="s">
        <v>838</v>
      </c>
      <c r="N10" s="14" t="s">
        <v>998</v>
      </c>
      <c r="O10" t="s">
        <v>1136</v>
      </c>
      <c r="P10" s="16">
        <v>2.7925493904000006E-3</v>
      </c>
      <c r="Q10" s="22">
        <v>0.75</v>
      </c>
      <c r="R10" s="16">
        <v>1.5392177930002415E-3</v>
      </c>
    </row>
    <row r="11" spans="1:19" x14ac:dyDescent="0.45">
      <c r="A11" s="3">
        <v>10</v>
      </c>
      <c r="B11" s="3" t="s">
        <v>1539</v>
      </c>
      <c r="C11" s="3" t="s">
        <v>840</v>
      </c>
      <c r="D11" s="3" t="s">
        <v>841</v>
      </c>
      <c r="E11" t="s">
        <v>977</v>
      </c>
      <c r="F11" t="s">
        <v>1010</v>
      </c>
      <c r="G11" t="s">
        <v>830</v>
      </c>
      <c r="H11" t="s">
        <v>808</v>
      </c>
      <c r="I11" s="12" t="s">
        <v>1107</v>
      </c>
      <c r="K11" s="12" t="s">
        <v>1062</v>
      </c>
      <c r="L11" s="12" t="s">
        <v>1110</v>
      </c>
      <c r="M11" s="12" t="s">
        <v>838</v>
      </c>
      <c r="N11" s="12" t="s">
        <v>1190</v>
      </c>
      <c r="O11" t="s">
        <v>1137</v>
      </c>
      <c r="P11" s="16">
        <v>2.7925493904000006E-3</v>
      </c>
      <c r="Q11" s="22">
        <v>1</v>
      </c>
      <c r="R11" s="16">
        <v>2.0522903906669888E-3</v>
      </c>
    </row>
    <row r="12" spans="1:19" x14ac:dyDescent="0.45">
      <c r="A12" s="3">
        <v>11</v>
      </c>
      <c r="B12" s="3" t="s">
        <v>653</v>
      </c>
      <c r="C12" s="3" t="s">
        <v>976</v>
      </c>
      <c r="D12" s="13" t="s">
        <v>852</v>
      </c>
      <c r="E12" t="s">
        <v>1009</v>
      </c>
      <c r="F12" t="s">
        <v>990</v>
      </c>
      <c r="G12" t="s">
        <v>830</v>
      </c>
      <c r="H12" t="s">
        <v>808</v>
      </c>
      <c r="I12" s="12" t="s">
        <v>1107</v>
      </c>
      <c r="K12" s="12" t="s">
        <v>1062</v>
      </c>
      <c r="L12" s="12" t="s">
        <v>1110</v>
      </c>
      <c r="M12" s="12" t="s">
        <v>838</v>
      </c>
      <c r="N12" s="14" t="s">
        <v>998</v>
      </c>
      <c r="O12" t="s">
        <v>652</v>
      </c>
      <c r="P12" s="16">
        <v>2.7925493904000006E-3</v>
      </c>
      <c r="Q12" s="22">
        <v>1</v>
      </c>
      <c r="R12" s="16">
        <v>2.0522903906669888E-3</v>
      </c>
    </row>
    <row r="13" spans="1:19" x14ac:dyDescent="0.45">
      <c r="A13" s="3">
        <v>12</v>
      </c>
      <c r="B13" s="3" t="s">
        <v>489</v>
      </c>
      <c r="C13" s="3" t="s">
        <v>706</v>
      </c>
      <c r="D13" s="3" t="s">
        <v>566</v>
      </c>
      <c r="E13" t="s">
        <v>839</v>
      </c>
      <c r="F13" t="s">
        <v>990</v>
      </c>
      <c r="G13" t="s">
        <v>830</v>
      </c>
      <c r="H13" t="s">
        <v>808</v>
      </c>
      <c r="I13" s="12" t="s">
        <v>1107</v>
      </c>
      <c r="K13" s="12" t="s">
        <v>1062</v>
      </c>
      <c r="L13" s="12" t="s">
        <v>1110</v>
      </c>
      <c r="M13" s="12" t="s">
        <v>838</v>
      </c>
      <c r="N13" s="12" t="s">
        <v>1190</v>
      </c>
      <c r="O13" t="s">
        <v>491</v>
      </c>
      <c r="P13" s="16">
        <v>2.7925493904000006E-3</v>
      </c>
      <c r="Q13" s="22">
        <v>1</v>
      </c>
      <c r="R13" s="16">
        <v>2.0522903906669888E-3</v>
      </c>
    </row>
    <row r="14" spans="1:19" x14ac:dyDescent="0.45">
      <c r="A14" s="3">
        <v>13</v>
      </c>
      <c r="B14" s="3" t="s">
        <v>88</v>
      </c>
      <c r="C14" s="3" t="s">
        <v>709</v>
      </c>
      <c r="D14" s="3" t="s">
        <v>271</v>
      </c>
      <c r="E14" t="s">
        <v>79</v>
      </c>
      <c r="F14" t="s">
        <v>988</v>
      </c>
      <c r="G14" t="s">
        <v>830</v>
      </c>
      <c r="H14" t="s">
        <v>808</v>
      </c>
      <c r="I14" s="12" t="s">
        <v>1107</v>
      </c>
      <c r="K14" s="12" t="s">
        <v>1062</v>
      </c>
      <c r="L14" s="12" t="s">
        <v>1110</v>
      </c>
      <c r="M14" s="12" t="s">
        <v>838</v>
      </c>
      <c r="N14" s="12" t="s">
        <v>1190</v>
      </c>
      <c r="O14" t="s">
        <v>35</v>
      </c>
      <c r="P14" s="16">
        <v>2.7925493904000006E-3</v>
      </c>
      <c r="Q14" s="22">
        <v>1</v>
      </c>
      <c r="R14" s="16">
        <v>2.0522903906669888E-3</v>
      </c>
    </row>
    <row r="15" spans="1:19" x14ac:dyDescent="0.45">
      <c r="A15" s="3">
        <v>14</v>
      </c>
      <c r="B15" s="3" t="s">
        <v>1199</v>
      </c>
      <c r="C15" s="3" t="s">
        <v>1200</v>
      </c>
      <c r="D15" s="3" t="s">
        <v>1202</v>
      </c>
      <c r="E15" t="s">
        <v>1182</v>
      </c>
      <c r="F15" t="s">
        <v>985</v>
      </c>
      <c r="G15" t="s">
        <v>830</v>
      </c>
      <c r="H15" t="s">
        <v>808</v>
      </c>
      <c r="I15" s="12" t="s">
        <v>1107</v>
      </c>
      <c r="K15" s="12" t="s">
        <v>1062</v>
      </c>
      <c r="L15" s="12" t="s">
        <v>1110</v>
      </c>
      <c r="M15" s="12" t="s">
        <v>838</v>
      </c>
      <c r="N15" s="12" t="s">
        <v>1190</v>
      </c>
      <c r="O15" s="14" t="s">
        <v>1185</v>
      </c>
      <c r="P15" s="16">
        <v>3.5971822656000003E-3</v>
      </c>
      <c r="Q15" s="22">
        <v>1</v>
      </c>
      <c r="R15" s="16">
        <v>2.6436282998422225E-3</v>
      </c>
    </row>
    <row r="16" spans="1:19" x14ac:dyDescent="0.45">
      <c r="A16" s="3">
        <v>15</v>
      </c>
      <c r="B16" s="3" t="s">
        <v>1149</v>
      </c>
      <c r="C16" s="3" t="s">
        <v>840</v>
      </c>
      <c r="D16" s="3" t="s">
        <v>841</v>
      </c>
      <c r="E16" t="s">
        <v>977</v>
      </c>
      <c r="F16" t="s">
        <v>987</v>
      </c>
      <c r="G16" t="s">
        <v>830</v>
      </c>
      <c r="H16" t="s">
        <v>808</v>
      </c>
      <c r="I16" s="12" t="s">
        <v>1107</v>
      </c>
      <c r="K16" s="12" t="s">
        <v>1062</v>
      </c>
      <c r="L16" s="12" t="s">
        <v>1110</v>
      </c>
      <c r="M16" s="12" t="s">
        <v>838</v>
      </c>
      <c r="N16" s="12" t="s">
        <v>1190</v>
      </c>
      <c r="O16" t="s">
        <v>1131</v>
      </c>
      <c r="P16" s="16">
        <v>1.0472060213999998E-3</v>
      </c>
      <c r="Q16" s="22">
        <v>1</v>
      </c>
      <c r="R16" s="16">
        <v>7.6960889650012042E-4</v>
      </c>
    </row>
    <row r="17" spans="1:18" x14ac:dyDescent="0.45">
      <c r="A17" s="3">
        <v>16</v>
      </c>
      <c r="B17" s="3" t="s">
        <v>200</v>
      </c>
      <c r="C17" s="11" t="s">
        <v>718</v>
      </c>
      <c r="D17" s="3" t="s">
        <v>620</v>
      </c>
      <c r="E17" t="s">
        <v>79</v>
      </c>
      <c r="F17" t="s">
        <v>993</v>
      </c>
      <c r="G17" t="s">
        <v>830</v>
      </c>
      <c r="H17" t="s">
        <v>808</v>
      </c>
      <c r="I17" s="12" t="s">
        <v>1107</v>
      </c>
      <c r="K17" s="12" t="s">
        <v>1062</v>
      </c>
      <c r="L17" s="12" t="s">
        <v>1110</v>
      </c>
      <c r="M17" s="12" t="s">
        <v>838</v>
      </c>
      <c r="N17" s="12" t="s">
        <v>1190</v>
      </c>
      <c r="O17" t="s">
        <v>201</v>
      </c>
      <c r="P17" s="16">
        <v>1.0472060213999998E-3</v>
      </c>
      <c r="Q17" s="22">
        <v>1</v>
      </c>
      <c r="R17" s="16">
        <v>7.6960889650012042E-4</v>
      </c>
    </row>
    <row r="18" spans="1:18" x14ac:dyDescent="0.45">
      <c r="A18" s="3">
        <v>17</v>
      </c>
      <c r="B18" s="3" t="s">
        <v>200</v>
      </c>
      <c r="C18" s="11" t="s">
        <v>719</v>
      </c>
      <c r="D18" s="3" t="s">
        <v>644</v>
      </c>
      <c r="E18" t="s">
        <v>79</v>
      </c>
      <c r="F18" t="s">
        <v>992</v>
      </c>
      <c r="G18" t="s">
        <v>830</v>
      </c>
      <c r="H18" t="s">
        <v>808</v>
      </c>
      <c r="I18" s="12" t="s">
        <v>1107</v>
      </c>
      <c r="K18" s="12" t="s">
        <v>1062</v>
      </c>
      <c r="L18" s="12" t="s">
        <v>1110</v>
      </c>
      <c r="M18" s="12" t="s">
        <v>838</v>
      </c>
      <c r="N18" s="12" t="s">
        <v>1190</v>
      </c>
      <c r="O18" t="s">
        <v>202</v>
      </c>
      <c r="P18" s="16">
        <v>1.0472060213999998E-3</v>
      </c>
      <c r="Q18" s="22">
        <v>1</v>
      </c>
      <c r="R18" s="16">
        <v>7.6960889650012042E-4</v>
      </c>
    </row>
    <row r="19" spans="1:18" x14ac:dyDescent="0.45">
      <c r="A19" s="3">
        <v>18</v>
      </c>
      <c r="B19" s="3" t="s">
        <v>203</v>
      </c>
      <c r="C19" s="3" t="s">
        <v>721</v>
      </c>
      <c r="D19" s="3" t="s">
        <v>273</v>
      </c>
      <c r="E19" t="s">
        <v>796</v>
      </c>
      <c r="F19" t="s">
        <v>991</v>
      </c>
      <c r="G19" t="s">
        <v>830</v>
      </c>
      <c r="H19" t="s">
        <v>808</v>
      </c>
      <c r="I19" s="12" t="s">
        <v>1107</v>
      </c>
      <c r="K19" s="12" t="s">
        <v>1062</v>
      </c>
      <c r="L19" s="12" t="s">
        <v>1110</v>
      </c>
      <c r="M19" s="12" t="s">
        <v>838</v>
      </c>
      <c r="N19" s="12" t="s">
        <v>1190</v>
      </c>
      <c r="O19" t="s">
        <v>204</v>
      </c>
      <c r="P19" s="16">
        <v>1.0472060213999998E-3</v>
      </c>
      <c r="Q19" s="22">
        <v>1</v>
      </c>
      <c r="R19" s="16">
        <v>7.6960889650012042E-4</v>
      </c>
    </row>
    <row r="20" spans="1:18" x14ac:dyDescent="0.45">
      <c r="A20" s="3">
        <v>19</v>
      </c>
      <c r="B20" s="3" t="s">
        <v>205</v>
      </c>
      <c r="C20" s="3" t="s">
        <v>721</v>
      </c>
      <c r="D20" s="3" t="s">
        <v>273</v>
      </c>
      <c r="E20" t="s">
        <v>797</v>
      </c>
      <c r="F20" t="s">
        <v>991</v>
      </c>
      <c r="G20" t="s">
        <v>830</v>
      </c>
      <c r="H20" t="s">
        <v>808</v>
      </c>
      <c r="I20" s="12" t="s">
        <v>1107</v>
      </c>
      <c r="K20" s="12" t="s">
        <v>1062</v>
      </c>
      <c r="L20" s="12" t="s">
        <v>1110</v>
      </c>
      <c r="M20" s="12" t="s">
        <v>838</v>
      </c>
      <c r="N20" s="12" t="s">
        <v>1190</v>
      </c>
      <c r="O20" t="s">
        <v>204</v>
      </c>
      <c r="P20" s="16">
        <v>1.0472060213999998E-3</v>
      </c>
      <c r="Q20" s="22">
        <v>1</v>
      </c>
      <c r="R20" s="16">
        <v>7.6960889650012042E-4</v>
      </c>
    </row>
    <row r="21" spans="1:18" x14ac:dyDescent="0.45">
      <c r="A21" s="3">
        <v>20</v>
      </c>
      <c r="B21" s="3" t="s">
        <v>926</v>
      </c>
      <c r="C21" s="3" t="s">
        <v>922</v>
      </c>
      <c r="D21" s="3" t="s">
        <v>923</v>
      </c>
      <c r="E21" t="s">
        <v>869</v>
      </c>
      <c r="F21" t="s">
        <v>995</v>
      </c>
      <c r="G21" t="s">
        <v>830</v>
      </c>
      <c r="H21" t="s">
        <v>808</v>
      </c>
      <c r="I21" s="12" t="s">
        <v>1107</v>
      </c>
      <c r="K21" s="12" t="s">
        <v>1062</v>
      </c>
      <c r="L21" s="12" t="s">
        <v>1110</v>
      </c>
      <c r="M21" s="12" t="s">
        <v>838</v>
      </c>
      <c r="N21" s="12" t="s">
        <v>1190</v>
      </c>
      <c r="O21" t="s">
        <v>870</v>
      </c>
      <c r="P21" s="16">
        <v>1.0472060213999998E-3</v>
      </c>
      <c r="Q21" s="22">
        <v>1</v>
      </c>
      <c r="R21" s="16">
        <v>7.6960889650012042E-4</v>
      </c>
    </row>
    <row r="22" spans="1:18" x14ac:dyDescent="0.45">
      <c r="A22" s="3">
        <v>21</v>
      </c>
      <c r="B22" s="3" t="s">
        <v>89</v>
      </c>
      <c r="C22" s="3" t="s">
        <v>708</v>
      </c>
      <c r="D22" s="3" t="s">
        <v>272</v>
      </c>
      <c r="E22" t="s">
        <v>80</v>
      </c>
      <c r="F22" t="s">
        <v>989</v>
      </c>
      <c r="G22" t="s">
        <v>830</v>
      </c>
      <c r="H22" t="s">
        <v>808</v>
      </c>
      <c r="I22" s="12" t="s">
        <v>1107</v>
      </c>
      <c r="K22" s="12" t="s">
        <v>1062</v>
      </c>
      <c r="L22" s="12" t="s">
        <v>1110</v>
      </c>
      <c r="M22" s="12" t="s">
        <v>838</v>
      </c>
      <c r="N22" s="12" t="s">
        <v>1190</v>
      </c>
      <c r="O22" t="s">
        <v>5</v>
      </c>
      <c r="P22" s="16">
        <v>2.7925493904000006E-3</v>
      </c>
      <c r="Q22" s="22">
        <v>1</v>
      </c>
      <c r="R22" s="16">
        <v>2.0522903906669888E-3</v>
      </c>
    </row>
    <row r="23" spans="1:18" x14ac:dyDescent="0.45">
      <c r="A23" s="3">
        <v>22</v>
      </c>
      <c r="B23" s="3" t="s">
        <v>1011</v>
      </c>
      <c r="C23" s="3" t="s">
        <v>803</v>
      </c>
      <c r="D23" s="3" t="s">
        <v>804</v>
      </c>
      <c r="F23" t="s">
        <v>990</v>
      </c>
      <c r="G23" t="s">
        <v>830</v>
      </c>
      <c r="H23" t="s">
        <v>808</v>
      </c>
      <c r="I23" s="12" t="s">
        <v>1107</v>
      </c>
      <c r="K23" s="12" t="s">
        <v>1062</v>
      </c>
      <c r="L23" s="12" t="s">
        <v>1110</v>
      </c>
      <c r="M23" t="s">
        <v>835</v>
      </c>
      <c r="N23" s="12" t="s">
        <v>1190</v>
      </c>
      <c r="O23" t="s">
        <v>805</v>
      </c>
      <c r="P23" s="16">
        <v>2.3271244920000005E-4</v>
      </c>
      <c r="Q23" s="22">
        <v>1</v>
      </c>
      <c r="R23" s="16">
        <v>1.7102419922224906E-4</v>
      </c>
    </row>
    <row r="24" spans="1:18" x14ac:dyDescent="0.45">
      <c r="A24" s="3">
        <v>23</v>
      </c>
      <c r="B24" s="3" t="s">
        <v>1012</v>
      </c>
      <c r="C24" s="3" t="s">
        <v>717</v>
      </c>
      <c r="D24" s="3" t="s">
        <v>773</v>
      </c>
      <c r="E24" t="s">
        <v>50</v>
      </c>
      <c r="F24" t="s">
        <v>988</v>
      </c>
      <c r="G24" t="s">
        <v>830</v>
      </c>
      <c r="H24" t="s">
        <v>808</v>
      </c>
      <c r="I24" s="12" t="s">
        <v>1107</v>
      </c>
      <c r="K24" s="12" t="s">
        <v>1062</v>
      </c>
      <c r="L24" s="12" t="s">
        <v>1110</v>
      </c>
      <c r="M24" t="s">
        <v>835</v>
      </c>
      <c r="N24" s="12" t="s">
        <v>1190</v>
      </c>
      <c r="O24" t="s">
        <v>51</v>
      </c>
      <c r="P24" s="16">
        <v>2.3271244920000005E-4</v>
      </c>
      <c r="Q24" s="22">
        <v>1</v>
      </c>
      <c r="R24" s="16">
        <v>1.7102419922224906E-4</v>
      </c>
    </row>
    <row r="25" spans="1:18" x14ac:dyDescent="0.45">
      <c r="A25" s="3">
        <v>24</v>
      </c>
      <c r="B25" s="3" t="s">
        <v>1142</v>
      </c>
      <c r="C25" s="3" t="s">
        <v>716</v>
      </c>
      <c r="D25" s="3" t="s">
        <v>777</v>
      </c>
      <c r="E25" t="s">
        <v>55</v>
      </c>
      <c r="F25" t="s">
        <v>988</v>
      </c>
      <c r="G25" t="s">
        <v>830</v>
      </c>
      <c r="H25" t="s">
        <v>808</v>
      </c>
      <c r="I25" s="12" t="s">
        <v>1107</v>
      </c>
      <c r="K25" s="12" t="s">
        <v>1062</v>
      </c>
      <c r="L25" s="12" t="s">
        <v>1110</v>
      </c>
      <c r="M25" t="s">
        <v>835</v>
      </c>
      <c r="N25" s="12" t="s">
        <v>1190</v>
      </c>
      <c r="O25" t="s">
        <v>56</v>
      </c>
      <c r="P25" s="16">
        <v>2.3271244920000005E-4</v>
      </c>
      <c r="Q25" s="22">
        <v>1</v>
      </c>
      <c r="R25" s="16">
        <v>1.7102419922224906E-4</v>
      </c>
    </row>
    <row r="26" spans="1:18" x14ac:dyDescent="0.45">
      <c r="A26" s="3">
        <v>26</v>
      </c>
      <c r="B26" s="3" t="s">
        <v>1014</v>
      </c>
      <c r="C26" s="3" t="s">
        <v>726</v>
      </c>
      <c r="D26" s="3" t="s">
        <v>774</v>
      </c>
      <c r="E26" t="s">
        <v>33</v>
      </c>
      <c r="F26" t="s">
        <v>991</v>
      </c>
      <c r="G26" t="s">
        <v>830</v>
      </c>
      <c r="H26" t="s">
        <v>808</v>
      </c>
      <c r="I26" s="12" t="s">
        <v>1107</v>
      </c>
      <c r="K26" s="12" t="s">
        <v>1062</v>
      </c>
      <c r="L26" s="12" t="s">
        <v>1110</v>
      </c>
      <c r="M26" t="s">
        <v>835</v>
      </c>
      <c r="N26" s="12" t="s">
        <v>1190</v>
      </c>
      <c r="O26" t="s">
        <v>245</v>
      </c>
      <c r="P26" s="16">
        <v>8.7267168449999991E-5</v>
      </c>
      <c r="Q26" s="22">
        <v>1</v>
      </c>
      <c r="R26" s="16">
        <v>6.4134074708343373E-5</v>
      </c>
    </row>
    <row r="27" spans="1:18" x14ac:dyDescent="0.45">
      <c r="A27" s="3">
        <v>28</v>
      </c>
      <c r="B27" s="3" t="s">
        <v>1015</v>
      </c>
      <c r="C27" s="3" t="s">
        <v>714</v>
      </c>
      <c r="D27" s="3" t="s">
        <v>772</v>
      </c>
      <c r="E27" t="s">
        <v>33</v>
      </c>
      <c r="F27" t="s">
        <v>989</v>
      </c>
      <c r="G27" t="s">
        <v>830</v>
      </c>
      <c r="H27" t="s">
        <v>808</v>
      </c>
      <c r="I27" s="12" t="s">
        <v>1107</v>
      </c>
      <c r="K27" s="12" t="s">
        <v>1062</v>
      </c>
      <c r="L27" s="12" t="s">
        <v>1110</v>
      </c>
      <c r="M27" t="s">
        <v>835</v>
      </c>
      <c r="N27" s="12" t="s">
        <v>1190</v>
      </c>
      <c r="O27" t="s">
        <v>34</v>
      </c>
      <c r="P27" s="16">
        <v>2.3271244920000005E-4</v>
      </c>
      <c r="Q27" s="22">
        <v>1</v>
      </c>
      <c r="R27" s="16">
        <v>1.7102419922224906E-4</v>
      </c>
    </row>
    <row r="28" spans="1:18" x14ac:dyDescent="0.45">
      <c r="A28" s="3">
        <v>29</v>
      </c>
      <c r="B28" s="3" t="s">
        <v>969</v>
      </c>
      <c r="C28" s="3" t="s">
        <v>842</v>
      </c>
      <c r="D28" s="13" t="s">
        <v>843</v>
      </c>
      <c r="F28" t="s">
        <v>990</v>
      </c>
      <c r="G28" t="s">
        <v>830</v>
      </c>
      <c r="H28" t="s">
        <v>808</v>
      </c>
      <c r="I28" s="12" t="s">
        <v>1107</v>
      </c>
      <c r="K28" s="12" t="s">
        <v>1062</v>
      </c>
      <c r="L28" s="12" t="s">
        <v>1110</v>
      </c>
      <c r="M28" t="s">
        <v>836</v>
      </c>
      <c r="N28" s="14" t="s">
        <v>998</v>
      </c>
      <c r="O28" t="s">
        <v>847</v>
      </c>
      <c r="P28" s="16">
        <v>6.9813734760000015E-4</v>
      </c>
      <c r="Q28" s="22">
        <v>1</v>
      </c>
      <c r="R28" s="16">
        <v>5.130725976667472E-4</v>
      </c>
    </row>
    <row r="29" spans="1:18" x14ac:dyDescent="0.45">
      <c r="A29" s="3">
        <v>30</v>
      </c>
      <c r="B29" s="3" t="s">
        <v>494</v>
      </c>
      <c r="C29" s="3" t="s">
        <v>707</v>
      </c>
      <c r="D29" s="3" t="s">
        <v>567</v>
      </c>
      <c r="F29" t="s">
        <v>990</v>
      </c>
      <c r="G29" t="s">
        <v>830</v>
      </c>
      <c r="H29" t="s">
        <v>808</v>
      </c>
      <c r="I29" s="12" t="s">
        <v>1107</v>
      </c>
      <c r="K29" s="12" t="s">
        <v>1062</v>
      </c>
      <c r="L29" s="12" t="s">
        <v>1110</v>
      </c>
      <c r="M29" t="s">
        <v>836</v>
      </c>
      <c r="N29" s="12" t="s">
        <v>1190</v>
      </c>
      <c r="O29" t="s">
        <v>493</v>
      </c>
      <c r="P29" s="16">
        <v>6.9813734760000015E-4</v>
      </c>
      <c r="Q29" s="22">
        <v>1</v>
      </c>
      <c r="R29" s="16">
        <v>5.130725976667472E-4</v>
      </c>
    </row>
    <row r="30" spans="1:18" x14ac:dyDescent="0.45">
      <c r="A30" s="3">
        <v>31</v>
      </c>
      <c r="B30" s="3" t="s">
        <v>92</v>
      </c>
      <c r="C30" s="3" t="s">
        <v>712</v>
      </c>
      <c r="D30" s="3" t="s">
        <v>286</v>
      </c>
      <c r="E30" t="s">
        <v>37</v>
      </c>
      <c r="F30" t="s">
        <v>988</v>
      </c>
      <c r="G30" t="s">
        <v>830</v>
      </c>
      <c r="H30" t="s">
        <v>808</v>
      </c>
      <c r="I30" s="12" t="s">
        <v>1107</v>
      </c>
      <c r="K30" s="12" t="s">
        <v>1062</v>
      </c>
      <c r="L30" s="12" t="s">
        <v>1110</v>
      </c>
      <c r="M30" t="s">
        <v>836</v>
      </c>
      <c r="N30" s="12" t="s">
        <v>1190</v>
      </c>
      <c r="O30" t="s">
        <v>38</v>
      </c>
      <c r="P30" s="16">
        <v>6.9813734760000015E-4</v>
      </c>
      <c r="Q30" s="22">
        <v>1</v>
      </c>
      <c r="R30" s="16">
        <v>5.130725976667472E-4</v>
      </c>
    </row>
    <row r="31" spans="1:18" x14ac:dyDescent="0.45">
      <c r="A31" s="3">
        <v>32</v>
      </c>
      <c r="B31" s="3" t="s">
        <v>92</v>
      </c>
      <c r="C31" s="3" t="s">
        <v>712</v>
      </c>
      <c r="D31" s="3" t="s">
        <v>849</v>
      </c>
      <c r="E31" t="s">
        <v>848</v>
      </c>
      <c r="F31" t="s">
        <v>988</v>
      </c>
      <c r="G31" t="s">
        <v>830</v>
      </c>
      <c r="H31" t="s">
        <v>808</v>
      </c>
      <c r="I31" s="12" t="s">
        <v>1107</v>
      </c>
      <c r="K31" s="12" t="s">
        <v>1062</v>
      </c>
      <c r="L31" s="12" t="s">
        <v>1110</v>
      </c>
      <c r="M31" t="s">
        <v>836</v>
      </c>
      <c r="N31" s="12" t="s">
        <v>1190</v>
      </c>
      <c r="O31" t="s">
        <v>38</v>
      </c>
      <c r="P31" s="16">
        <v>6.9813734760000015E-4</v>
      </c>
      <c r="Q31" s="22">
        <v>1</v>
      </c>
      <c r="R31" s="16">
        <v>5.130725976667472E-4</v>
      </c>
    </row>
    <row r="32" spans="1:18" x14ac:dyDescent="0.45">
      <c r="A32" s="3">
        <v>33</v>
      </c>
      <c r="B32" s="3" t="s">
        <v>212</v>
      </c>
      <c r="C32" s="3" t="s">
        <v>724</v>
      </c>
      <c r="D32" s="3" t="s">
        <v>280</v>
      </c>
      <c r="E32" t="s">
        <v>37</v>
      </c>
      <c r="F32" t="s">
        <v>993</v>
      </c>
      <c r="G32" t="s">
        <v>830</v>
      </c>
      <c r="H32" t="s">
        <v>808</v>
      </c>
      <c r="I32" s="12" t="s">
        <v>1107</v>
      </c>
      <c r="K32" s="12" t="s">
        <v>1062</v>
      </c>
      <c r="L32" s="12" t="s">
        <v>1110</v>
      </c>
      <c r="M32" t="s">
        <v>836</v>
      </c>
      <c r="N32" s="12" t="s">
        <v>1190</v>
      </c>
      <c r="O32" t="s">
        <v>213</v>
      </c>
      <c r="P32" s="16">
        <v>2.6180150534999995E-4</v>
      </c>
      <c r="Q32" s="22">
        <v>1</v>
      </c>
      <c r="R32" s="16">
        <v>1.924022241250301E-4</v>
      </c>
    </row>
    <row r="33" spans="1:19" x14ac:dyDescent="0.45">
      <c r="A33" s="3">
        <v>34</v>
      </c>
      <c r="B33" s="3" t="s">
        <v>212</v>
      </c>
      <c r="C33" s="3" t="s">
        <v>845</v>
      </c>
      <c r="D33" s="3" t="s">
        <v>280</v>
      </c>
      <c r="E33" t="s">
        <v>37</v>
      </c>
      <c r="F33" t="s">
        <v>992</v>
      </c>
      <c r="G33" t="s">
        <v>830</v>
      </c>
      <c r="H33" t="s">
        <v>808</v>
      </c>
      <c r="I33" s="12" t="s">
        <v>1107</v>
      </c>
      <c r="K33" s="12" t="s">
        <v>1062</v>
      </c>
      <c r="L33" s="12" t="s">
        <v>1110</v>
      </c>
      <c r="M33" t="s">
        <v>836</v>
      </c>
      <c r="N33" s="12" t="s">
        <v>1190</v>
      </c>
      <c r="O33" t="s">
        <v>214</v>
      </c>
      <c r="P33" s="16">
        <v>2.6180150534999995E-4</v>
      </c>
      <c r="Q33" s="22">
        <v>1</v>
      </c>
      <c r="R33" s="16">
        <v>1.924022241250301E-4</v>
      </c>
    </row>
    <row r="34" spans="1:19" x14ac:dyDescent="0.45">
      <c r="A34" s="3">
        <v>35</v>
      </c>
      <c r="B34" s="3" t="s">
        <v>215</v>
      </c>
      <c r="C34" s="3" t="s">
        <v>725</v>
      </c>
      <c r="D34" s="3" t="s">
        <v>970</v>
      </c>
      <c r="E34" t="s">
        <v>792</v>
      </c>
      <c r="F34" t="s">
        <v>991</v>
      </c>
      <c r="G34" t="s">
        <v>830</v>
      </c>
      <c r="H34" t="s">
        <v>808</v>
      </c>
      <c r="I34" s="12" t="s">
        <v>1107</v>
      </c>
      <c r="K34" s="12" t="s">
        <v>1062</v>
      </c>
      <c r="L34" s="12" t="s">
        <v>1110</v>
      </c>
      <c r="M34" t="s">
        <v>836</v>
      </c>
      <c r="N34" s="12" t="s">
        <v>1190</v>
      </c>
      <c r="O34" t="s">
        <v>216</v>
      </c>
      <c r="P34" s="16">
        <v>2.6180150534999995E-4</v>
      </c>
      <c r="Q34" s="22">
        <v>1</v>
      </c>
      <c r="R34" s="16">
        <v>1.924022241250301E-4</v>
      </c>
    </row>
    <row r="35" spans="1:19" x14ac:dyDescent="0.45">
      <c r="A35" s="3">
        <v>36</v>
      </c>
      <c r="B35" s="3" t="s">
        <v>217</v>
      </c>
      <c r="C35" s="3" t="s">
        <v>725</v>
      </c>
      <c r="D35" s="3" t="s">
        <v>970</v>
      </c>
      <c r="E35" t="s">
        <v>793</v>
      </c>
      <c r="F35" t="s">
        <v>991</v>
      </c>
      <c r="G35" t="s">
        <v>830</v>
      </c>
      <c r="H35" t="s">
        <v>808</v>
      </c>
      <c r="I35" s="12" t="s">
        <v>1107</v>
      </c>
      <c r="K35" s="12" t="s">
        <v>1062</v>
      </c>
      <c r="L35" s="12" t="s">
        <v>1110</v>
      </c>
      <c r="M35" t="s">
        <v>836</v>
      </c>
      <c r="N35" s="12" t="s">
        <v>1190</v>
      </c>
      <c r="O35" t="s">
        <v>216</v>
      </c>
      <c r="P35" s="16">
        <v>2.6180150534999995E-4</v>
      </c>
      <c r="Q35" s="22">
        <v>1</v>
      </c>
      <c r="R35" s="16">
        <v>1.924022241250301E-4</v>
      </c>
    </row>
    <row r="36" spans="1:19" x14ac:dyDescent="0.45">
      <c r="A36" s="3">
        <v>37</v>
      </c>
      <c r="B36" s="3" t="s">
        <v>93</v>
      </c>
      <c r="C36" s="3" t="s">
        <v>705</v>
      </c>
      <c r="D36" s="3" t="s">
        <v>287</v>
      </c>
      <c r="E36" t="s">
        <v>8</v>
      </c>
      <c r="F36" t="s">
        <v>989</v>
      </c>
      <c r="G36" t="s">
        <v>830</v>
      </c>
      <c r="H36" t="s">
        <v>808</v>
      </c>
      <c r="I36" s="12" t="s">
        <v>1107</v>
      </c>
      <c r="K36" s="12" t="s">
        <v>1062</v>
      </c>
      <c r="L36" s="12" t="s">
        <v>1110</v>
      </c>
      <c r="M36" t="s">
        <v>836</v>
      </c>
      <c r="N36" s="12" t="s">
        <v>1190</v>
      </c>
      <c r="O36" t="s">
        <v>9</v>
      </c>
      <c r="P36" s="16">
        <v>6.9813734760000015E-4</v>
      </c>
      <c r="Q36" s="22">
        <v>1</v>
      </c>
      <c r="R36" s="16">
        <v>5.130725976667472E-4</v>
      </c>
    </row>
    <row r="37" spans="1:19" x14ac:dyDescent="0.45">
      <c r="A37" s="3">
        <v>38</v>
      </c>
      <c r="B37" s="3" t="s">
        <v>93</v>
      </c>
      <c r="C37" s="3" t="s">
        <v>705</v>
      </c>
      <c r="D37" s="3" t="s">
        <v>851</v>
      </c>
      <c r="E37" t="s">
        <v>850</v>
      </c>
      <c r="F37" t="s">
        <v>989</v>
      </c>
      <c r="G37" t="s">
        <v>830</v>
      </c>
      <c r="H37" t="s">
        <v>808</v>
      </c>
      <c r="I37" s="12" t="s">
        <v>1107</v>
      </c>
      <c r="K37" s="12" t="s">
        <v>1062</v>
      </c>
      <c r="L37" s="12" t="s">
        <v>1110</v>
      </c>
      <c r="M37" t="s">
        <v>836</v>
      </c>
      <c r="N37" s="12" t="s">
        <v>1190</v>
      </c>
      <c r="O37" t="s">
        <v>9</v>
      </c>
      <c r="P37" s="16">
        <v>6.9813734760000015E-4</v>
      </c>
      <c r="Q37" s="22">
        <v>1</v>
      </c>
      <c r="R37" s="16">
        <v>5.130725976667472E-4</v>
      </c>
    </row>
    <row r="38" spans="1:19" x14ac:dyDescent="0.45">
      <c r="A38" s="3">
        <v>39</v>
      </c>
      <c r="B38" s="3" t="s">
        <v>490</v>
      </c>
      <c r="C38" s="3" t="s">
        <v>713</v>
      </c>
      <c r="D38" s="3" t="s">
        <v>823</v>
      </c>
      <c r="F38" t="s">
        <v>990</v>
      </c>
      <c r="G38" t="s">
        <v>830</v>
      </c>
      <c r="H38" t="s">
        <v>808</v>
      </c>
      <c r="I38" s="12" t="s">
        <v>1107</v>
      </c>
      <c r="K38" s="12" t="s">
        <v>1062</v>
      </c>
      <c r="L38" t="s">
        <v>1111</v>
      </c>
      <c r="M38" s="12" t="s">
        <v>838</v>
      </c>
      <c r="N38" s="12" t="s">
        <v>1190</v>
      </c>
      <c r="O38" t="s">
        <v>492</v>
      </c>
      <c r="P38" s="16">
        <v>4.9280283360000009E-4</v>
      </c>
      <c r="Q38" s="22">
        <v>1</v>
      </c>
      <c r="R38" s="16">
        <v>3.6216889247064508E-4</v>
      </c>
    </row>
    <row r="39" spans="1:19" x14ac:dyDescent="0.45">
      <c r="A39" s="3">
        <v>40</v>
      </c>
      <c r="B39" s="3" t="s">
        <v>90</v>
      </c>
      <c r="C39" s="3" t="s">
        <v>710</v>
      </c>
      <c r="D39" s="3" t="s">
        <v>819</v>
      </c>
      <c r="E39" t="s">
        <v>6</v>
      </c>
      <c r="F39" t="s">
        <v>988</v>
      </c>
      <c r="G39" t="s">
        <v>830</v>
      </c>
      <c r="H39" t="s">
        <v>808</v>
      </c>
      <c r="I39" s="12" t="s">
        <v>1107</v>
      </c>
      <c r="K39" s="12" t="s">
        <v>1062</v>
      </c>
      <c r="L39" t="s">
        <v>1111</v>
      </c>
      <c r="M39" s="12" t="s">
        <v>838</v>
      </c>
      <c r="N39" s="12" t="s">
        <v>1190</v>
      </c>
      <c r="O39" t="s">
        <v>36</v>
      </c>
      <c r="P39" s="16">
        <v>4.9280283360000009E-4</v>
      </c>
      <c r="Q39" s="22">
        <v>1</v>
      </c>
      <c r="R39" s="16">
        <v>3.6216889247064508E-4</v>
      </c>
    </row>
    <row r="40" spans="1:19" x14ac:dyDescent="0.45">
      <c r="A40" s="3">
        <v>41</v>
      </c>
      <c r="B40" s="3" t="s">
        <v>206</v>
      </c>
      <c r="C40" s="3" t="s">
        <v>722</v>
      </c>
      <c r="D40" s="3" t="s">
        <v>821</v>
      </c>
      <c r="E40" t="s">
        <v>6</v>
      </c>
      <c r="F40" t="s">
        <v>993</v>
      </c>
      <c r="G40" t="s">
        <v>830</v>
      </c>
      <c r="H40" t="s">
        <v>808</v>
      </c>
      <c r="I40" s="12" t="s">
        <v>1107</v>
      </c>
      <c r="K40" s="12" t="s">
        <v>1062</v>
      </c>
      <c r="L40" t="s">
        <v>1111</v>
      </c>
      <c r="M40" s="12" t="s">
        <v>838</v>
      </c>
      <c r="N40" s="12" t="s">
        <v>1190</v>
      </c>
      <c r="O40" t="s">
        <v>207</v>
      </c>
      <c r="P40" s="16">
        <v>1.8480106259999995E-4</v>
      </c>
      <c r="Q40" s="22">
        <v>1</v>
      </c>
      <c r="R40" s="16">
        <v>1.3581333467649182E-4</v>
      </c>
    </row>
    <row r="41" spans="1:19" x14ac:dyDescent="0.45">
      <c r="A41" s="3">
        <v>42</v>
      </c>
      <c r="B41" s="3" t="s">
        <v>206</v>
      </c>
      <c r="C41" s="3" t="s">
        <v>846</v>
      </c>
      <c r="D41" s="3" t="s">
        <v>821</v>
      </c>
      <c r="E41" t="s">
        <v>6</v>
      </c>
      <c r="F41" t="s">
        <v>992</v>
      </c>
      <c r="G41" t="s">
        <v>830</v>
      </c>
      <c r="H41" t="s">
        <v>808</v>
      </c>
      <c r="I41" s="12" t="s">
        <v>1107</v>
      </c>
      <c r="K41" s="12" t="s">
        <v>1062</v>
      </c>
      <c r="L41" t="s">
        <v>1111</v>
      </c>
      <c r="M41" s="12" t="s">
        <v>838</v>
      </c>
      <c r="N41" s="12" t="s">
        <v>1190</v>
      </c>
      <c r="O41" t="s">
        <v>208</v>
      </c>
      <c r="P41" s="16">
        <v>1.8480106259999995E-4</v>
      </c>
      <c r="Q41" s="22">
        <v>1</v>
      </c>
      <c r="R41" s="16">
        <v>1.3581333467649182E-4</v>
      </c>
    </row>
    <row r="42" spans="1:19" x14ac:dyDescent="0.45">
      <c r="A42" s="3">
        <v>43</v>
      </c>
      <c r="B42" s="3" t="s">
        <v>209</v>
      </c>
      <c r="C42" s="3" t="s">
        <v>723</v>
      </c>
      <c r="D42" s="3" t="s">
        <v>822</v>
      </c>
      <c r="E42" t="s">
        <v>790</v>
      </c>
      <c r="F42" t="s">
        <v>991</v>
      </c>
      <c r="G42" t="s">
        <v>830</v>
      </c>
      <c r="H42" t="s">
        <v>808</v>
      </c>
      <c r="I42" s="12" t="s">
        <v>1107</v>
      </c>
      <c r="K42" s="12" t="s">
        <v>1062</v>
      </c>
      <c r="L42" t="s">
        <v>1111</v>
      </c>
      <c r="M42" s="12" t="s">
        <v>838</v>
      </c>
      <c r="N42" s="12" t="s">
        <v>1190</v>
      </c>
      <c r="O42" t="s">
        <v>210</v>
      </c>
      <c r="P42" s="16">
        <v>1.8480106259999995E-4</v>
      </c>
      <c r="Q42" s="22">
        <v>1</v>
      </c>
      <c r="R42" s="16">
        <v>1.3581333467649182E-4</v>
      </c>
      <c r="S42" s="5"/>
    </row>
    <row r="43" spans="1:19" x14ac:dyDescent="0.45">
      <c r="A43" s="3">
        <v>44</v>
      </c>
      <c r="B43" s="3" t="s">
        <v>211</v>
      </c>
      <c r="C43" s="3" t="s">
        <v>723</v>
      </c>
      <c r="D43" s="3" t="s">
        <v>822</v>
      </c>
      <c r="E43" t="s">
        <v>791</v>
      </c>
      <c r="F43" t="s">
        <v>991</v>
      </c>
      <c r="G43" t="s">
        <v>830</v>
      </c>
      <c r="H43" t="s">
        <v>808</v>
      </c>
      <c r="I43" s="12" t="s">
        <v>1107</v>
      </c>
      <c r="K43" s="12" t="s">
        <v>1062</v>
      </c>
      <c r="L43" t="s">
        <v>1111</v>
      </c>
      <c r="M43" s="12" t="s">
        <v>838</v>
      </c>
      <c r="N43" s="12" t="s">
        <v>1190</v>
      </c>
      <c r="O43" t="s">
        <v>210</v>
      </c>
      <c r="P43" s="16">
        <v>1.8480106259999995E-4</v>
      </c>
      <c r="Q43" s="22">
        <v>1</v>
      </c>
      <c r="R43" s="16">
        <v>1.3581333467649182E-4</v>
      </c>
    </row>
    <row r="44" spans="1:19" x14ac:dyDescent="0.45">
      <c r="A44" s="3">
        <v>45</v>
      </c>
      <c r="B44" s="3" t="s">
        <v>91</v>
      </c>
      <c r="C44" s="3" t="s">
        <v>711</v>
      </c>
      <c r="D44" s="3" t="s">
        <v>820</v>
      </c>
      <c r="E44" t="s">
        <v>78</v>
      </c>
      <c r="F44" t="s">
        <v>989</v>
      </c>
      <c r="G44" t="s">
        <v>830</v>
      </c>
      <c r="H44" t="s">
        <v>808</v>
      </c>
      <c r="I44" s="12" t="s">
        <v>1107</v>
      </c>
      <c r="K44" s="12" t="s">
        <v>1062</v>
      </c>
      <c r="L44" t="s">
        <v>1111</v>
      </c>
      <c r="M44" s="12" t="s">
        <v>838</v>
      </c>
      <c r="N44" s="12" t="s">
        <v>1190</v>
      </c>
      <c r="O44" t="s">
        <v>7</v>
      </c>
      <c r="P44" s="16">
        <v>4.9280283360000009E-4</v>
      </c>
      <c r="Q44" s="22">
        <v>1</v>
      </c>
      <c r="R44" s="16">
        <v>3.6216889247064508E-4</v>
      </c>
    </row>
    <row r="45" spans="1:19" x14ac:dyDescent="0.45">
      <c r="A45" s="3">
        <v>49</v>
      </c>
      <c r="B45" s="3" t="s">
        <v>588</v>
      </c>
      <c r="C45" s="3" t="s">
        <v>1100</v>
      </c>
      <c r="D45" s="3" t="s">
        <v>585</v>
      </c>
      <c r="F45" t="s">
        <v>985</v>
      </c>
      <c r="G45" t="s">
        <v>831</v>
      </c>
      <c r="H45" t="s">
        <v>808</v>
      </c>
      <c r="I45" s="12" t="s">
        <v>1107</v>
      </c>
      <c r="J45" t="s">
        <v>784</v>
      </c>
      <c r="K45" s="12" t="s">
        <v>1062</v>
      </c>
      <c r="L45" t="s">
        <v>1111</v>
      </c>
      <c r="M45" s="12" t="s">
        <v>972</v>
      </c>
      <c r="N45" s="12" t="s">
        <v>1190</v>
      </c>
      <c r="O45" t="s">
        <v>809</v>
      </c>
      <c r="P45" s="16">
        <v>3.4286868000000005E-5</v>
      </c>
      <c r="Q45" s="22">
        <v>1</v>
      </c>
      <c r="R45" s="16">
        <v>2.5197982160805497E-5</v>
      </c>
    </row>
    <row r="46" spans="1:19" x14ac:dyDescent="0.45">
      <c r="A46" s="3">
        <v>50</v>
      </c>
      <c r="B46" s="3" t="s">
        <v>590</v>
      </c>
      <c r="C46" s="3" t="s">
        <v>1100</v>
      </c>
      <c r="D46" s="3" t="s">
        <v>695</v>
      </c>
      <c r="F46" t="s">
        <v>986</v>
      </c>
      <c r="G46" t="s">
        <v>831</v>
      </c>
      <c r="H46" t="s">
        <v>808</v>
      </c>
      <c r="I46" s="12" t="s">
        <v>1107</v>
      </c>
      <c r="J46" t="s">
        <v>784</v>
      </c>
      <c r="K46" s="12" t="s">
        <v>1062</v>
      </c>
      <c r="L46" t="s">
        <v>1111</v>
      </c>
      <c r="M46" s="12" t="s">
        <v>972</v>
      </c>
      <c r="N46" s="12" t="s">
        <v>1190</v>
      </c>
      <c r="O46" t="s">
        <v>771</v>
      </c>
      <c r="P46" s="16">
        <v>1.928636325E-5</v>
      </c>
      <c r="Q46" s="22">
        <v>1</v>
      </c>
      <c r="R46" s="16">
        <v>1.4173864965453091E-5</v>
      </c>
    </row>
    <row r="47" spans="1:19" x14ac:dyDescent="0.45">
      <c r="A47" s="3">
        <v>51</v>
      </c>
      <c r="B47" s="3" t="s">
        <v>1018</v>
      </c>
      <c r="C47" s="3" t="s">
        <v>699</v>
      </c>
      <c r="D47" s="3" t="s">
        <v>670</v>
      </c>
      <c r="E47" t="s">
        <v>523</v>
      </c>
      <c r="F47" t="s">
        <v>984</v>
      </c>
      <c r="G47" t="s">
        <v>831</v>
      </c>
      <c r="H47" t="s">
        <v>808</v>
      </c>
      <c r="I47" t="s">
        <v>806</v>
      </c>
      <c r="K47" s="12" t="s">
        <v>1062</v>
      </c>
      <c r="L47" s="12" t="s">
        <v>1110</v>
      </c>
      <c r="M47" s="12" t="s">
        <v>838</v>
      </c>
      <c r="N47" s="12" t="s">
        <v>1190</v>
      </c>
      <c r="O47" t="s">
        <v>524</v>
      </c>
      <c r="P47" s="16">
        <v>3.4709653440000003E-3</v>
      </c>
      <c r="Q47" s="22">
        <v>1</v>
      </c>
      <c r="R47" s="16">
        <v>2.5508694121284601E-3</v>
      </c>
    </row>
    <row r="48" spans="1:19" x14ac:dyDescent="0.45">
      <c r="A48" s="3">
        <v>52</v>
      </c>
      <c r="B48" s="3" t="s">
        <v>1018</v>
      </c>
      <c r="C48" s="3" t="s">
        <v>699</v>
      </c>
      <c r="D48" s="3" t="s">
        <v>670</v>
      </c>
      <c r="E48" t="s">
        <v>523</v>
      </c>
      <c r="F48" t="s">
        <v>971</v>
      </c>
      <c r="G48" t="s">
        <v>831</v>
      </c>
      <c r="H48" t="s">
        <v>808</v>
      </c>
      <c r="I48" t="s">
        <v>806</v>
      </c>
      <c r="K48" s="12" t="s">
        <v>1062</v>
      </c>
      <c r="L48" s="12" t="s">
        <v>1110</v>
      </c>
      <c r="M48" s="12" t="s">
        <v>838</v>
      </c>
      <c r="N48" s="12" t="s">
        <v>1190</v>
      </c>
      <c r="P48" s="16">
        <v>1.952418006E-3</v>
      </c>
      <c r="Q48" s="22">
        <v>1</v>
      </c>
      <c r="R48" s="16">
        <v>1.4348640443222586E-3</v>
      </c>
    </row>
    <row r="49" spans="1:18" x14ac:dyDescent="0.45">
      <c r="A49" s="3">
        <v>53</v>
      </c>
      <c r="B49" s="3" t="s">
        <v>1018</v>
      </c>
      <c r="C49" s="3" t="s">
        <v>699</v>
      </c>
      <c r="D49" s="3" t="s">
        <v>670</v>
      </c>
      <c r="E49" t="s">
        <v>523</v>
      </c>
      <c r="F49" t="s">
        <v>985</v>
      </c>
      <c r="G49" t="s">
        <v>831</v>
      </c>
      <c r="H49" t="s">
        <v>808</v>
      </c>
      <c r="I49" t="s">
        <v>806</v>
      </c>
      <c r="K49" s="12" t="s">
        <v>1062</v>
      </c>
      <c r="L49" s="12" t="s">
        <v>1110</v>
      </c>
      <c r="M49" s="12" t="s">
        <v>838</v>
      </c>
      <c r="N49" s="12" t="s">
        <v>1190</v>
      </c>
      <c r="P49" s="16">
        <v>2.9976518880000004E-3</v>
      </c>
      <c r="Q49" s="22">
        <v>1</v>
      </c>
      <c r="R49" s="16">
        <v>2.203023583201852E-3</v>
      </c>
    </row>
    <row r="50" spans="1:18" x14ac:dyDescent="0.45">
      <c r="A50" s="3">
        <v>54</v>
      </c>
      <c r="B50" s="3" t="s">
        <v>1018</v>
      </c>
      <c r="C50" s="3" t="s">
        <v>699</v>
      </c>
      <c r="D50" s="3" t="s">
        <v>670</v>
      </c>
      <c r="E50" t="s">
        <v>523</v>
      </c>
      <c r="F50" t="s">
        <v>986</v>
      </c>
      <c r="G50" t="s">
        <v>831</v>
      </c>
      <c r="H50" t="s">
        <v>808</v>
      </c>
      <c r="I50" t="s">
        <v>806</v>
      </c>
      <c r="K50" s="12" t="s">
        <v>1062</v>
      </c>
      <c r="L50" s="12" t="s">
        <v>1110</v>
      </c>
      <c r="M50" s="12" t="s">
        <v>838</v>
      </c>
      <c r="N50" s="12" t="s">
        <v>1190</v>
      </c>
      <c r="P50" s="16">
        <v>1.6861791870000002E-3</v>
      </c>
      <c r="Q50" s="22">
        <v>1</v>
      </c>
      <c r="R50" s="16">
        <v>1.2392007655510418E-3</v>
      </c>
    </row>
    <row r="51" spans="1:18" x14ac:dyDescent="0.45">
      <c r="A51" s="3">
        <v>55</v>
      </c>
      <c r="B51" s="3" t="s">
        <v>1018</v>
      </c>
      <c r="C51" s="3" t="s">
        <v>699</v>
      </c>
      <c r="D51" s="3" t="s">
        <v>671</v>
      </c>
      <c r="E51" t="s">
        <v>523</v>
      </c>
      <c r="F51" t="s">
        <v>1010</v>
      </c>
      <c r="G51" t="s">
        <v>831</v>
      </c>
      <c r="H51" t="s">
        <v>808</v>
      </c>
      <c r="I51" t="s">
        <v>806</v>
      </c>
      <c r="K51" s="12" t="s">
        <v>1062</v>
      </c>
      <c r="L51" s="12" t="s">
        <v>1110</v>
      </c>
      <c r="M51" s="12" t="s">
        <v>838</v>
      </c>
      <c r="N51" s="14" t="s">
        <v>1003</v>
      </c>
      <c r="O51" t="s">
        <v>1233</v>
      </c>
      <c r="P51" s="16">
        <v>2.3271244920000001E-3</v>
      </c>
      <c r="Q51" s="22">
        <v>1</v>
      </c>
      <c r="R51" s="16">
        <v>1.7102419922224903E-3</v>
      </c>
    </row>
    <row r="52" spans="1:18" x14ac:dyDescent="0.45">
      <c r="A52" s="3">
        <v>56</v>
      </c>
      <c r="B52" s="3" t="s">
        <v>1018</v>
      </c>
      <c r="C52" s="3" t="s">
        <v>699</v>
      </c>
      <c r="D52" s="3" t="s">
        <v>670</v>
      </c>
      <c r="E52" t="s">
        <v>523</v>
      </c>
      <c r="F52" t="s">
        <v>1010</v>
      </c>
      <c r="G52" t="s">
        <v>831</v>
      </c>
      <c r="H52" t="s">
        <v>808</v>
      </c>
      <c r="I52" t="s">
        <v>806</v>
      </c>
      <c r="K52" s="12" t="s">
        <v>1062</v>
      </c>
      <c r="L52" s="12" t="s">
        <v>1110</v>
      </c>
      <c r="M52" s="12" t="s">
        <v>838</v>
      </c>
      <c r="N52" s="12" t="s">
        <v>1190</v>
      </c>
      <c r="O52" t="s">
        <v>1233</v>
      </c>
      <c r="P52" s="16">
        <v>2.3271244920000001E-3</v>
      </c>
      <c r="Q52" s="22">
        <v>1</v>
      </c>
      <c r="R52" s="16">
        <v>1.7102419922224903E-3</v>
      </c>
    </row>
    <row r="53" spans="1:18" x14ac:dyDescent="0.45">
      <c r="A53" s="3">
        <v>57</v>
      </c>
      <c r="B53" s="3" t="s">
        <v>667</v>
      </c>
      <c r="C53" s="3" t="s">
        <v>700</v>
      </c>
      <c r="D53" s="3" t="s">
        <v>684</v>
      </c>
      <c r="E53" t="s">
        <v>544</v>
      </c>
      <c r="F53" t="s">
        <v>990</v>
      </c>
      <c r="G53" t="s">
        <v>831</v>
      </c>
      <c r="H53" t="s">
        <v>808</v>
      </c>
      <c r="I53" t="s">
        <v>806</v>
      </c>
      <c r="K53" s="12" t="s">
        <v>1062</v>
      </c>
      <c r="L53" s="12" t="s">
        <v>1110</v>
      </c>
      <c r="M53" s="12" t="s">
        <v>838</v>
      </c>
      <c r="N53" s="12" t="s">
        <v>1190</v>
      </c>
      <c r="O53" t="s">
        <v>545</v>
      </c>
      <c r="P53" s="16">
        <v>2.3271244920000001E-3</v>
      </c>
      <c r="Q53" s="22">
        <v>1</v>
      </c>
      <c r="R53" s="16">
        <v>1.7102419922224903E-3</v>
      </c>
    </row>
    <row r="54" spans="1:18" x14ac:dyDescent="0.45">
      <c r="A54" s="3">
        <v>58</v>
      </c>
      <c r="B54" s="3" t="s">
        <v>672</v>
      </c>
      <c r="C54" s="3" t="s">
        <v>701</v>
      </c>
      <c r="D54" s="3" t="s">
        <v>673</v>
      </c>
      <c r="E54" t="s">
        <v>519</v>
      </c>
      <c r="F54" t="s">
        <v>988</v>
      </c>
      <c r="G54" t="s">
        <v>831</v>
      </c>
      <c r="H54" t="s">
        <v>808</v>
      </c>
      <c r="I54" t="s">
        <v>806</v>
      </c>
      <c r="K54" s="12" t="s">
        <v>1062</v>
      </c>
      <c r="L54" s="12" t="s">
        <v>1110</v>
      </c>
      <c r="M54" s="12" t="s">
        <v>838</v>
      </c>
      <c r="N54" s="14" t="s">
        <v>997</v>
      </c>
      <c r="O54" t="s">
        <v>520</v>
      </c>
      <c r="P54" s="16">
        <v>2.3271244920000001E-3</v>
      </c>
      <c r="Q54" s="22">
        <v>1</v>
      </c>
      <c r="R54" s="16">
        <v>1.7102419922224903E-3</v>
      </c>
    </row>
    <row r="55" spans="1:18" x14ac:dyDescent="0.45">
      <c r="A55" s="3">
        <v>59</v>
      </c>
      <c r="B55" s="3" t="s">
        <v>665</v>
      </c>
      <c r="C55" s="3" t="s">
        <v>697</v>
      </c>
      <c r="D55" s="3" t="s">
        <v>668</v>
      </c>
      <c r="E55" t="s">
        <v>517</v>
      </c>
      <c r="F55" t="s">
        <v>988</v>
      </c>
      <c r="G55" t="s">
        <v>831</v>
      </c>
      <c r="H55" t="s">
        <v>808</v>
      </c>
      <c r="I55" t="s">
        <v>806</v>
      </c>
      <c r="K55" s="12" t="s">
        <v>1062</v>
      </c>
      <c r="L55" s="12" t="s">
        <v>1110</v>
      </c>
      <c r="M55" s="12" t="s">
        <v>838</v>
      </c>
      <c r="N55" s="12" t="s">
        <v>1190</v>
      </c>
      <c r="O55" t="s">
        <v>518</v>
      </c>
      <c r="P55" s="16">
        <v>2.3271244920000001E-3</v>
      </c>
      <c r="Q55" s="22">
        <v>1</v>
      </c>
      <c r="R55" s="16">
        <v>1.7102419922224903E-3</v>
      </c>
    </row>
    <row r="56" spans="1:18" x14ac:dyDescent="0.45">
      <c r="A56" s="3">
        <v>60</v>
      </c>
      <c r="B56" s="3" t="s">
        <v>1018</v>
      </c>
      <c r="C56" s="3" t="s">
        <v>699</v>
      </c>
      <c r="D56" s="3" t="s">
        <v>670</v>
      </c>
      <c r="E56" t="s">
        <v>523</v>
      </c>
      <c r="F56" t="s">
        <v>987</v>
      </c>
      <c r="G56" t="s">
        <v>831</v>
      </c>
      <c r="H56" t="s">
        <v>808</v>
      </c>
      <c r="I56" t="s">
        <v>806</v>
      </c>
      <c r="K56" s="12" t="s">
        <v>1062</v>
      </c>
      <c r="L56" s="12" t="s">
        <v>1110</v>
      </c>
      <c r="M56" s="12" t="s">
        <v>838</v>
      </c>
      <c r="N56" s="12" t="s">
        <v>1190</v>
      </c>
      <c r="P56" s="16">
        <v>8.7267168449999986E-4</v>
      </c>
      <c r="Q56" s="22">
        <v>1</v>
      </c>
      <c r="R56" s="16">
        <v>6.4134074708343375E-4</v>
      </c>
    </row>
    <row r="57" spans="1:18" x14ac:dyDescent="0.45">
      <c r="A57" s="3">
        <v>61</v>
      </c>
      <c r="B57" s="3" t="s">
        <v>1588</v>
      </c>
      <c r="C57" s="3" t="s">
        <v>871</v>
      </c>
      <c r="D57" s="3" t="s">
        <v>872</v>
      </c>
      <c r="E57" t="s">
        <v>873</v>
      </c>
      <c r="F57" t="s">
        <v>995</v>
      </c>
      <c r="G57" t="s">
        <v>831</v>
      </c>
      <c r="H57" t="s">
        <v>808</v>
      </c>
      <c r="I57" t="s">
        <v>806</v>
      </c>
      <c r="K57" s="12" t="s">
        <v>1062</v>
      </c>
      <c r="L57" s="12" t="s">
        <v>1110</v>
      </c>
      <c r="M57" s="12" t="s">
        <v>838</v>
      </c>
      <c r="N57" s="12" t="s">
        <v>1190</v>
      </c>
      <c r="O57" t="s">
        <v>874</v>
      </c>
      <c r="P57" s="16">
        <v>8.7267168449999986E-4</v>
      </c>
      <c r="Q57" s="22">
        <v>1</v>
      </c>
      <c r="R57" s="16">
        <v>6.4134074708343375E-4</v>
      </c>
    </row>
    <row r="58" spans="1:18" x14ac:dyDescent="0.45">
      <c r="A58" s="3">
        <v>62</v>
      </c>
      <c r="B58" s="3" t="s">
        <v>666</v>
      </c>
      <c r="C58" s="3" t="s">
        <v>698</v>
      </c>
      <c r="D58" s="3" t="s">
        <v>669</v>
      </c>
      <c r="E58" t="s">
        <v>521</v>
      </c>
      <c r="F58" t="s">
        <v>989</v>
      </c>
      <c r="G58" t="s">
        <v>831</v>
      </c>
      <c r="H58" t="s">
        <v>808</v>
      </c>
      <c r="I58" t="s">
        <v>806</v>
      </c>
      <c r="K58" s="12" t="s">
        <v>1062</v>
      </c>
      <c r="L58" s="12" t="s">
        <v>1110</v>
      </c>
      <c r="M58" s="12" t="s">
        <v>838</v>
      </c>
      <c r="N58" s="12" t="s">
        <v>1190</v>
      </c>
      <c r="O58" t="s">
        <v>522</v>
      </c>
      <c r="P58" s="16">
        <v>2.3271244920000001E-3</v>
      </c>
      <c r="Q58" s="22">
        <v>1</v>
      </c>
      <c r="R58" s="16">
        <v>1.7102419922224903E-3</v>
      </c>
    </row>
    <row r="59" spans="1:18" x14ac:dyDescent="0.45">
      <c r="A59" s="3">
        <v>63</v>
      </c>
      <c r="B59" s="3" t="s">
        <v>686</v>
      </c>
      <c r="C59" s="3" t="s">
        <v>769</v>
      </c>
      <c r="D59" s="3" t="s">
        <v>687</v>
      </c>
      <c r="F59" t="s">
        <v>990</v>
      </c>
      <c r="G59" t="s">
        <v>831</v>
      </c>
      <c r="H59" t="s">
        <v>808</v>
      </c>
      <c r="I59" t="s">
        <v>806</v>
      </c>
      <c r="K59" s="12" t="s">
        <v>1062</v>
      </c>
      <c r="L59" s="12" t="s">
        <v>1110</v>
      </c>
      <c r="M59" t="s">
        <v>836</v>
      </c>
      <c r="N59" s="12" t="s">
        <v>1190</v>
      </c>
      <c r="O59" t="s">
        <v>606</v>
      </c>
      <c r="P59" s="16">
        <v>5.8178112300000002E-4</v>
      </c>
      <c r="Q59" s="22">
        <v>1</v>
      </c>
      <c r="R59" s="16">
        <v>4.2756049805562257E-4</v>
      </c>
    </row>
    <row r="60" spans="1:18" x14ac:dyDescent="0.45">
      <c r="A60" s="3">
        <v>64</v>
      </c>
      <c r="B60" s="3" t="s">
        <v>688</v>
      </c>
      <c r="C60" s="3" t="s">
        <v>996</v>
      </c>
      <c r="D60" s="3" t="s">
        <v>689</v>
      </c>
      <c r="E60" t="s">
        <v>979</v>
      </c>
      <c r="F60" t="s">
        <v>984</v>
      </c>
      <c r="G60" t="s">
        <v>831</v>
      </c>
      <c r="H60" t="s">
        <v>808</v>
      </c>
      <c r="I60" t="s">
        <v>806</v>
      </c>
      <c r="K60" s="12" t="s">
        <v>1062</v>
      </c>
      <c r="L60" t="s">
        <v>1111</v>
      </c>
      <c r="M60" s="12" t="s">
        <v>838</v>
      </c>
      <c r="N60" s="12" t="s">
        <v>1190</v>
      </c>
      <c r="P60" s="16">
        <v>6.1252329599999992E-4</v>
      </c>
      <c r="Q60" s="22">
        <v>1</v>
      </c>
      <c r="R60" s="16">
        <v>4.5015342566972816E-4</v>
      </c>
    </row>
    <row r="61" spans="1:18" x14ac:dyDescent="0.45">
      <c r="A61" s="3">
        <v>65</v>
      </c>
      <c r="B61" s="3" t="s">
        <v>688</v>
      </c>
      <c r="C61" s="3" t="s">
        <v>996</v>
      </c>
      <c r="D61" s="3" t="s">
        <v>689</v>
      </c>
      <c r="E61" t="s">
        <v>979</v>
      </c>
      <c r="F61" t="s">
        <v>971</v>
      </c>
      <c r="G61" t="s">
        <v>831</v>
      </c>
      <c r="H61" t="s">
        <v>808</v>
      </c>
      <c r="I61" t="s">
        <v>806</v>
      </c>
      <c r="K61" s="12" t="s">
        <v>1062</v>
      </c>
      <c r="L61" t="s">
        <v>1111</v>
      </c>
      <c r="M61" s="12" t="s">
        <v>838</v>
      </c>
      <c r="N61" s="12" t="s">
        <v>1190</v>
      </c>
      <c r="P61" s="16">
        <v>3.4454435399999995E-4</v>
      </c>
      <c r="Q61" s="22">
        <v>1</v>
      </c>
      <c r="R61" s="16">
        <v>2.5321130193922209E-4</v>
      </c>
    </row>
    <row r="62" spans="1:18" x14ac:dyDescent="0.45">
      <c r="A62" s="3">
        <v>66</v>
      </c>
      <c r="B62" s="3" t="s">
        <v>688</v>
      </c>
      <c r="C62" s="3" t="s">
        <v>996</v>
      </c>
      <c r="D62" s="3" t="s">
        <v>689</v>
      </c>
      <c r="E62" t="s">
        <v>979</v>
      </c>
      <c r="F62" t="s">
        <v>985</v>
      </c>
      <c r="G62" t="s">
        <v>831</v>
      </c>
      <c r="H62" t="s">
        <v>808</v>
      </c>
      <c r="I62" t="s">
        <v>806</v>
      </c>
      <c r="K62" s="12" t="s">
        <v>1062</v>
      </c>
      <c r="L62" t="s">
        <v>1111</v>
      </c>
      <c r="M62" s="12" t="s">
        <v>838</v>
      </c>
      <c r="N62" s="12" t="s">
        <v>1190</v>
      </c>
      <c r="P62" s="16">
        <v>5.2899739200000008E-4</v>
      </c>
      <c r="Q62" s="22">
        <v>1</v>
      </c>
      <c r="R62" s="16">
        <v>3.8876886762385628E-4</v>
      </c>
    </row>
    <row r="63" spans="1:18" x14ac:dyDescent="0.45">
      <c r="A63" s="3">
        <v>67</v>
      </c>
      <c r="B63" s="3" t="s">
        <v>688</v>
      </c>
      <c r="C63" s="3" t="s">
        <v>996</v>
      </c>
      <c r="D63" s="3" t="s">
        <v>689</v>
      </c>
      <c r="E63" t="s">
        <v>979</v>
      </c>
      <c r="F63" t="s">
        <v>986</v>
      </c>
      <c r="G63" t="s">
        <v>831</v>
      </c>
      <c r="H63" t="s">
        <v>808</v>
      </c>
      <c r="I63" t="s">
        <v>806</v>
      </c>
      <c r="K63" s="12" t="s">
        <v>1062</v>
      </c>
      <c r="L63" t="s">
        <v>1111</v>
      </c>
      <c r="M63" s="12" t="s">
        <v>838</v>
      </c>
      <c r="N63" s="12" t="s">
        <v>1190</v>
      </c>
      <c r="P63" s="16">
        <v>2.9756103300000004E-4</v>
      </c>
      <c r="Q63" s="22">
        <v>1</v>
      </c>
      <c r="R63" s="16">
        <v>2.1868248803841913E-4</v>
      </c>
    </row>
    <row r="64" spans="1:18" x14ac:dyDescent="0.45">
      <c r="A64" s="3">
        <v>68</v>
      </c>
      <c r="B64" s="3" t="s">
        <v>688</v>
      </c>
      <c r="C64" s="3" t="s">
        <v>996</v>
      </c>
      <c r="D64" s="3" t="s">
        <v>689</v>
      </c>
      <c r="E64" t="s">
        <v>979</v>
      </c>
      <c r="F64" t="s">
        <v>1010</v>
      </c>
      <c r="G64" t="s">
        <v>831</v>
      </c>
      <c r="H64" t="s">
        <v>808</v>
      </c>
      <c r="I64" t="s">
        <v>806</v>
      </c>
      <c r="K64" s="12" t="s">
        <v>1062</v>
      </c>
      <c r="L64" t="s">
        <v>1111</v>
      </c>
      <c r="M64" s="12" t="s">
        <v>838</v>
      </c>
      <c r="N64" s="12" t="s">
        <v>1190</v>
      </c>
      <c r="O64" t="s">
        <v>607</v>
      </c>
      <c r="P64" s="16">
        <v>4.1066902799999995E-4</v>
      </c>
      <c r="Q64" s="22">
        <v>1</v>
      </c>
      <c r="R64" s="16">
        <v>3.0180741039220413E-4</v>
      </c>
    </row>
    <row r="65" spans="1:19" x14ac:dyDescent="0.45">
      <c r="A65" s="3">
        <v>69</v>
      </c>
      <c r="B65" s="3" t="s">
        <v>688</v>
      </c>
      <c r="C65" s="3" t="s">
        <v>996</v>
      </c>
      <c r="D65" s="3" t="s">
        <v>689</v>
      </c>
      <c r="E65" t="s">
        <v>979</v>
      </c>
      <c r="F65" t="s">
        <v>987</v>
      </c>
      <c r="G65" t="s">
        <v>831</v>
      </c>
      <c r="H65" t="s">
        <v>808</v>
      </c>
      <c r="I65" t="s">
        <v>806</v>
      </c>
      <c r="K65" s="12" t="s">
        <v>1062</v>
      </c>
      <c r="L65" t="s">
        <v>1111</v>
      </c>
      <c r="M65" s="12" t="s">
        <v>838</v>
      </c>
      <c r="N65" s="12" t="s">
        <v>1190</v>
      </c>
      <c r="P65" s="16">
        <v>1.5400088549999996E-4</v>
      </c>
      <c r="Q65" s="22">
        <v>1</v>
      </c>
      <c r="R65" s="16">
        <v>1.1317777889707653E-4</v>
      </c>
    </row>
    <row r="66" spans="1:19" x14ac:dyDescent="0.45">
      <c r="A66" s="3">
        <v>70</v>
      </c>
      <c r="B66" s="3" t="s">
        <v>190</v>
      </c>
      <c r="C66" s="11" t="s">
        <v>759</v>
      </c>
      <c r="D66" s="3" t="s">
        <v>563</v>
      </c>
      <c r="E66" t="s">
        <v>154</v>
      </c>
      <c r="F66" t="s">
        <v>984</v>
      </c>
      <c r="G66" t="s">
        <v>831</v>
      </c>
      <c r="H66" t="s">
        <v>768</v>
      </c>
      <c r="I66" s="12" t="s">
        <v>1107</v>
      </c>
      <c r="K66" s="12" t="s">
        <v>1062</v>
      </c>
      <c r="L66" s="12" t="s">
        <v>1110</v>
      </c>
      <c r="M66" s="12" t="s">
        <v>838</v>
      </c>
      <c r="N66" s="14" t="s">
        <v>997</v>
      </c>
      <c r="P66" s="16">
        <v>2.9450615039999994E-3</v>
      </c>
      <c r="Q66" s="22">
        <v>1</v>
      </c>
      <c r="R66" s="16">
        <v>2.1643740466544504E-3</v>
      </c>
    </row>
    <row r="67" spans="1:19" x14ac:dyDescent="0.45">
      <c r="A67" s="3">
        <v>71</v>
      </c>
      <c r="B67" s="11" t="s">
        <v>660</v>
      </c>
      <c r="C67" s="11" t="s">
        <v>750</v>
      </c>
      <c r="D67" s="3" t="s">
        <v>552</v>
      </c>
      <c r="E67" s="2" t="s">
        <v>105</v>
      </c>
      <c r="F67" t="s">
        <v>984</v>
      </c>
      <c r="G67" t="s">
        <v>831</v>
      </c>
      <c r="H67" t="s">
        <v>768</v>
      </c>
      <c r="I67" s="12" t="s">
        <v>1107</v>
      </c>
      <c r="K67" s="12" t="s">
        <v>1062</v>
      </c>
      <c r="L67" s="12" t="s">
        <v>1110</v>
      </c>
      <c r="M67" s="12" t="s">
        <v>838</v>
      </c>
      <c r="N67" s="12" t="s">
        <v>1190</v>
      </c>
      <c r="P67" s="16">
        <v>2.9450615039999994E-3</v>
      </c>
      <c r="Q67" s="22">
        <v>1</v>
      </c>
      <c r="R67" s="16">
        <v>2.1643740466544504E-3</v>
      </c>
    </row>
    <row r="68" spans="1:19" x14ac:dyDescent="0.45">
      <c r="A68" s="3">
        <v>72</v>
      </c>
      <c r="B68" s="3" t="s">
        <v>190</v>
      </c>
      <c r="C68" s="11" t="s">
        <v>759</v>
      </c>
      <c r="D68" s="3" t="s">
        <v>563</v>
      </c>
      <c r="E68" t="s">
        <v>154</v>
      </c>
      <c r="F68" t="s">
        <v>971</v>
      </c>
      <c r="G68" t="s">
        <v>831</v>
      </c>
      <c r="H68" t="s">
        <v>768</v>
      </c>
      <c r="I68" s="12" t="s">
        <v>1107</v>
      </c>
      <c r="K68" s="12" t="s">
        <v>1062</v>
      </c>
      <c r="L68" s="12" t="s">
        <v>1110</v>
      </c>
      <c r="M68" s="12" t="s">
        <v>838</v>
      </c>
      <c r="N68" s="14" t="s">
        <v>997</v>
      </c>
      <c r="P68" s="16">
        <v>1.6565970959999999E-3</v>
      </c>
      <c r="Q68" s="22">
        <v>1</v>
      </c>
      <c r="R68" s="16">
        <v>1.2174604012431286E-3</v>
      </c>
    </row>
    <row r="69" spans="1:19" x14ac:dyDescent="0.45">
      <c r="A69" s="3">
        <v>73</v>
      </c>
      <c r="B69" s="11" t="s">
        <v>660</v>
      </c>
      <c r="C69" s="11" t="s">
        <v>750</v>
      </c>
      <c r="D69" s="3" t="s">
        <v>552</v>
      </c>
      <c r="E69" s="2" t="s">
        <v>105</v>
      </c>
      <c r="F69" t="s">
        <v>971</v>
      </c>
      <c r="G69" t="s">
        <v>831</v>
      </c>
      <c r="H69" t="s">
        <v>768</v>
      </c>
      <c r="I69" s="12" t="s">
        <v>1107</v>
      </c>
      <c r="K69" s="12" t="s">
        <v>1062</v>
      </c>
      <c r="L69" s="12" t="s">
        <v>1110</v>
      </c>
      <c r="M69" s="12" t="s">
        <v>838</v>
      </c>
      <c r="N69" s="12" t="s">
        <v>1190</v>
      </c>
      <c r="P69" s="16">
        <v>1.6565970959999999E-3</v>
      </c>
      <c r="Q69" s="22">
        <v>1</v>
      </c>
      <c r="R69" s="16">
        <v>1.2174604012431286E-3</v>
      </c>
    </row>
    <row r="70" spans="1:19" x14ac:dyDescent="0.45">
      <c r="A70" s="3">
        <v>74</v>
      </c>
      <c r="B70" s="3" t="s">
        <v>190</v>
      </c>
      <c r="C70" s="11" t="s">
        <v>759</v>
      </c>
      <c r="D70" s="3" t="s">
        <v>563</v>
      </c>
      <c r="E70" t="s">
        <v>154</v>
      </c>
      <c r="F70" t="s">
        <v>985</v>
      </c>
      <c r="G70" t="s">
        <v>831</v>
      </c>
      <c r="H70" t="s">
        <v>768</v>
      </c>
      <c r="I70" s="12" t="s">
        <v>1107</v>
      </c>
      <c r="K70" s="12" t="s">
        <v>1062</v>
      </c>
      <c r="L70" s="12" t="s">
        <v>1110</v>
      </c>
      <c r="M70" s="12" t="s">
        <v>838</v>
      </c>
      <c r="N70" s="14" t="s">
        <v>997</v>
      </c>
      <c r="P70" s="16">
        <v>2.5434622079999998E-3</v>
      </c>
      <c r="Q70" s="22">
        <v>1</v>
      </c>
      <c r="R70" s="16">
        <v>1.8692321312015711E-3</v>
      </c>
    </row>
    <row r="71" spans="1:19" x14ac:dyDescent="0.45">
      <c r="A71" s="3">
        <v>75</v>
      </c>
      <c r="B71" s="11" t="s">
        <v>660</v>
      </c>
      <c r="C71" s="11" t="s">
        <v>750</v>
      </c>
      <c r="D71" s="3" t="s">
        <v>552</v>
      </c>
      <c r="E71" s="2" t="s">
        <v>105</v>
      </c>
      <c r="F71" t="s">
        <v>985</v>
      </c>
      <c r="G71" t="s">
        <v>831</v>
      </c>
      <c r="H71" t="s">
        <v>768</v>
      </c>
      <c r="I71" s="12" t="s">
        <v>1107</v>
      </c>
      <c r="K71" s="12" t="s">
        <v>1062</v>
      </c>
      <c r="L71" s="12" t="s">
        <v>1110</v>
      </c>
      <c r="M71" s="12" t="s">
        <v>838</v>
      </c>
      <c r="N71" s="12" t="s">
        <v>1190</v>
      </c>
      <c r="P71" s="16">
        <v>2.5434622079999998E-3</v>
      </c>
      <c r="Q71" s="22">
        <v>1</v>
      </c>
      <c r="R71" s="16">
        <v>1.8692321312015711E-3</v>
      </c>
    </row>
    <row r="72" spans="1:19" x14ac:dyDescent="0.45">
      <c r="A72" s="3">
        <v>76</v>
      </c>
      <c r="B72" s="3" t="s">
        <v>190</v>
      </c>
      <c r="C72" s="11" t="s">
        <v>759</v>
      </c>
      <c r="D72" s="3" t="s">
        <v>563</v>
      </c>
      <c r="E72" t="s">
        <v>154</v>
      </c>
      <c r="F72" t="s">
        <v>986</v>
      </c>
      <c r="G72" t="s">
        <v>831</v>
      </c>
      <c r="H72" t="s">
        <v>768</v>
      </c>
      <c r="I72" s="12" t="s">
        <v>1107</v>
      </c>
      <c r="K72" s="12" t="s">
        <v>1062</v>
      </c>
      <c r="L72" s="12" t="s">
        <v>1110</v>
      </c>
      <c r="M72" s="12" t="s">
        <v>838</v>
      </c>
      <c r="N72" s="14" t="s">
        <v>997</v>
      </c>
      <c r="P72" s="16">
        <v>1.4306974919999999E-3</v>
      </c>
      <c r="Q72" s="22">
        <v>1</v>
      </c>
      <c r="R72" s="16">
        <v>1.0514430738008838E-3</v>
      </c>
    </row>
    <row r="73" spans="1:19" x14ac:dyDescent="0.45">
      <c r="A73" s="3">
        <v>77</v>
      </c>
      <c r="B73" s="11" t="s">
        <v>660</v>
      </c>
      <c r="C73" s="11" t="s">
        <v>750</v>
      </c>
      <c r="D73" s="3" t="s">
        <v>552</v>
      </c>
      <c r="E73" s="2" t="s">
        <v>105</v>
      </c>
      <c r="F73" t="s">
        <v>986</v>
      </c>
      <c r="G73" t="s">
        <v>831</v>
      </c>
      <c r="H73" t="s">
        <v>768</v>
      </c>
      <c r="I73" s="12" t="s">
        <v>1107</v>
      </c>
      <c r="K73" s="12" t="s">
        <v>1062</v>
      </c>
      <c r="L73" s="12" t="s">
        <v>1110</v>
      </c>
      <c r="M73" s="12" t="s">
        <v>838</v>
      </c>
      <c r="N73" s="12" t="s">
        <v>1190</v>
      </c>
      <c r="O73" s="12" t="s">
        <v>1256</v>
      </c>
      <c r="P73" s="16">
        <v>1.4306974919999999E-3</v>
      </c>
      <c r="Q73" s="22">
        <v>1</v>
      </c>
      <c r="R73" s="16">
        <v>1.0514430738008838E-3</v>
      </c>
    </row>
    <row r="74" spans="1:19" x14ac:dyDescent="0.45">
      <c r="A74" s="3">
        <v>78</v>
      </c>
      <c r="B74" s="3" t="s">
        <v>190</v>
      </c>
      <c r="C74" s="11" t="s">
        <v>759</v>
      </c>
      <c r="D74" s="3" t="s">
        <v>619</v>
      </c>
      <c r="E74" t="s">
        <v>154</v>
      </c>
      <c r="F74" t="s">
        <v>1010</v>
      </c>
      <c r="G74" t="s">
        <v>831</v>
      </c>
      <c r="H74" t="s">
        <v>768</v>
      </c>
      <c r="I74" s="12" t="s">
        <v>1107</v>
      </c>
      <c r="K74" s="12" t="s">
        <v>1062</v>
      </c>
      <c r="L74" s="12" t="s">
        <v>1110</v>
      </c>
      <c r="M74" s="12" t="s">
        <v>838</v>
      </c>
      <c r="N74" s="14" t="s">
        <v>997</v>
      </c>
      <c r="O74" t="s">
        <v>1253</v>
      </c>
      <c r="P74" s="16">
        <v>1.974529872E-3</v>
      </c>
      <c r="Q74" s="22">
        <v>1</v>
      </c>
      <c r="R74" s="16">
        <v>1.451114417643325E-3</v>
      </c>
    </row>
    <row r="75" spans="1:19" x14ac:dyDescent="0.45">
      <c r="A75" s="3">
        <v>79</v>
      </c>
      <c r="B75" s="3" t="s">
        <v>190</v>
      </c>
      <c r="C75" s="11" t="s">
        <v>759</v>
      </c>
      <c r="D75" s="3" t="s">
        <v>563</v>
      </c>
      <c r="E75" t="s">
        <v>154</v>
      </c>
      <c r="F75" t="s">
        <v>1010</v>
      </c>
      <c r="G75" t="s">
        <v>831</v>
      </c>
      <c r="H75" t="s">
        <v>768</v>
      </c>
      <c r="I75" s="12" t="s">
        <v>1107</v>
      </c>
      <c r="K75" s="12" t="s">
        <v>1062</v>
      </c>
      <c r="L75" s="12" t="s">
        <v>1110</v>
      </c>
      <c r="M75" s="12" t="s">
        <v>838</v>
      </c>
      <c r="N75" s="14" t="s">
        <v>997</v>
      </c>
      <c r="O75" t="s">
        <v>1253</v>
      </c>
      <c r="P75" s="16">
        <v>1.974529872E-3</v>
      </c>
      <c r="Q75" s="22">
        <v>1</v>
      </c>
      <c r="R75" s="16">
        <v>1.451114417643325E-3</v>
      </c>
    </row>
    <row r="76" spans="1:19" x14ac:dyDescent="0.45">
      <c r="A76" s="3">
        <v>80</v>
      </c>
      <c r="B76" s="11" t="s">
        <v>660</v>
      </c>
      <c r="C76" s="11" t="s">
        <v>750</v>
      </c>
      <c r="D76" s="3" t="s">
        <v>558</v>
      </c>
      <c r="E76" s="2" t="s">
        <v>829</v>
      </c>
      <c r="F76" t="s">
        <v>1010</v>
      </c>
      <c r="G76" t="s">
        <v>831</v>
      </c>
      <c r="H76" t="s">
        <v>768</v>
      </c>
      <c r="I76" s="12" t="s">
        <v>1107</v>
      </c>
      <c r="K76" s="12" t="s">
        <v>1062</v>
      </c>
      <c r="L76" s="12" t="s">
        <v>1110</v>
      </c>
      <c r="M76" s="12" t="s">
        <v>838</v>
      </c>
      <c r="N76" s="14" t="s">
        <v>1003</v>
      </c>
      <c r="O76" s="2" t="s">
        <v>1252</v>
      </c>
      <c r="P76" s="16">
        <v>1.974529872E-3</v>
      </c>
      <c r="Q76" s="22">
        <v>1</v>
      </c>
      <c r="R76" s="16">
        <v>1.451114417643325E-3</v>
      </c>
    </row>
    <row r="77" spans="1:19" s="5" customFormat="1" x14ac:dyDescent="0.45">
      <c r="A77" s="3">
        <v>81</v>
      </c>
      <c r="B77" s="11" t="s">
        <v>660</v>
      </c>
      <c r="C77" s="11" t="s">
        <v>750</v>
      </c>
      <c r="D77" s="3" t="s">
        <v>552</v>
      </c>
      <c r="E77" s="2" t="s">
        <v>105</v>
      </c>
      <c r="F77" t="s">
        <v>1010</v>
      </c>
      <c r="G77" t="s">
        <v>831</v>
      </c>
      <c r="H77" t="s">
        <v>768</v>
      </c>
      <c r="I77" s="12" t="s">
        <v>1107</v>
      </c>
      <c r="J77"/>
      <c r="K77" s="12" t="s">
        <v>1062</v>
      </c>
      <c r="L77" s="12" t="s">
        <v>1110</v>
      </c>
      <c r="M77" s="12" t="s">
        <v>838</v>
      </c>
      <c r="N77" s="12" t="s">
        <v>1190</v>
      </c>
      <c r="O77" s="2" t="s">
        <v>1252</v>
      </c>
      <c r="P77" s="16">
        <v>1.974529872E-3</v>
      </c>
      <c r="Q77" s="22">
        <v>1</v>
      </c>
      <c r="R77" s="16">
        <v>1.451114417643325E-3</v>
      </c>
      <c r="S77"/>
    </row>
    <row r="78" spans="1:19" x14ac:dyDescent="0.45">
      <c r="A78" s="3">
        <v>82</v>
      </c>
      <c r="B78" s="3" t="s">
        <v>150</v>
      </c>
      <c r="C78" s="3" t="s">
        <v>743</v>
      </c>
      <c r="D78" s="3" t="s">
        <v>283</v>
      </c>
      <c r="E78" t="s">
        <v>134</v>
      </c>
      <c r="F78" t="s">
        <v>988</v>
      </c>
      <c r="G78" t="s">
        <v>831</v>
      </c>
      <c r="H78" t="s">
        <v>768</v>
      </c>
      <c r="I78" s="12" t="s">
        <v>1107</v>
      </c>
      <c r="K78" s="12" t="s">
        <v>1062</v>
      </c>
      <c r="L78" s="12" t="s">
        <v>1110</v>
      </c>
      <c r="M78" s="12" t="s">
        <v>838</v>
      </c>
      <c r="N78" s="14" t="s">
        <v>997</v>
      </c>
      <c r="O78" t="s">
        <v>135</v>
      </c>
      <c r="P78" s="16">
        <v>1.974529872E-3</v>
      </c>
      <c r="Q78" s="22">
        <v>1</v>
      </c>
      <c r="R78" s="16">
        <v>1.451114417643325E-3</v>
      </c>
    </row>
    <row r="79" spans="1:19" x14ac:dyDescent="0.45">
      <c r="A79" s="3">
        <v>83</v>
      </c>
      <c r="B79" s="3" t="s">
        <v>97</v>
      </c>
      <c r="C79" s="3" t="s">
        <v>801</v>
      </c>
      <c r="D79" s="3" t="s">
        <v>257</v>
      </c>
      <c r="E79" t="s">
        <v>146</v>
      </c>
      <c r="F79" t="s">
        <v>988</v>
      </c>
      <c r="G79" t="s">
        <v>831</v>
      </c>
      <c r="H79" t="s">
        <v>768</v>
      </c>
      <c r="I79" s="12" t="s">
        <v>1107</v>
      </c>
      <c r="K79" s="12" t="s">
        <v>1062</v>
      </c>
      <c r="L79" s="12" t="s">
        <v>1110</v>
      </c>
      <c r="M79" s="12" t="s">
        <v>838</v>
      </c>
      <c r="N79" s="12" t="s">
        <v>1190</v>
      </c>
      <c r="O79" t="s">
        <v>57</v>
      </c>
      <c r="P79" s="16">
        <v>1.974529872E-3</v>
      </c>
      <c r="Q79" s="22">
        <v>1</v>
      </c>
      <c r="R79" s="16">
        <v>1.451114417643325E-3</v>
      </c>
    </row>
    <row r="80" spans="1:19" x14ac:dyDescent="0.45">
      <c r="A80" s="3">
        <v>84</v>
      </c>
      <c r="B80" s="3" t="s">
        <v>190</v>
      </c>
      <c r="C80" s="11" t="s">
        <v>759</v>
      </c>
      <c r="D80" s="3" t="s">
        <v>563</v>
      </c>
      <c r="E80" t="s">
        <v>154</v>
      </c>
      <c r="F80" t="s">
        <v>987</v>
      </c>
      <c r="G80" t="s">
        <v>831</v>
      </c>
      <c r="H80" t="s">
        <v>768</v>
      </c>
      <c r="I80" s="12" t="s">
        <v>1107</v>
      </c>
      <c r="K80" s="12" t="s">
        <v>1062</v>
      </c>
      <c r="L80" s="12" t="s">
        <v>1110</v>
      </c>
      <c r="M80" s="12" t="s">
        <v>838</v>
      </c>
      <c r="N80" s="14" t="s">
        <v>997</v>
      </c>
      <c r="P80" s="16">
        <v>7.4044870199999979E-4</v>
      </c>
      <c r="Q80" s="22">
        <v>1</v>
      </c>
      <c r="R80" s="16">
        <v>5.4416790661624673E-4</v>
      </c>
    </row>
    <row r="81" spans="1:18" x14ac:dyDescent="0.45">
      <c r="A81" s="3">
        <v>85</v>
      </c>
      <c r="B81" s="11" t="s">
        <v>660</v>
      </c>
      <c r="C81" s="11" t="s">
        <v>750</v>
      </c>
      <c r="D81" s="3" t="s">
        <v>552</v>
      </c>
      <c r="E81" s="2" t="s">
        <v>105</v>
      </c>
      <c r="F81" t="s">
        <v>987</v>
      </c>
      <c r="G81" t="s">
        <v>831</v>
      </c>
      <c r="H81" t="s">
        <v>768</v>
      </c>
      <c r="I81" s="12" t="s">
        <v>1107</v>
      </c>
      <c r="K81" s="12" t="s">
        <v>1062</v>
      </c>
      <c r="L81" s="12" t="s">
        <v>1110</v>
      </c>
      <c r="M81" s="12" t="s">
        <v>838</v>
      </c>
      <c r="N81" s="12" t="s">
        <v>1190</v>
      </c>
      <c r="P81" s="16">
        <v>7.4044870199999979E-4</v>
      </c>
      <c r="Q81" s="22">
        <v>1</v>
      </c>
      <c r="R81" s="16">
        <v>5.4416790661624673E-4</v>
      </c>
    </row>
    <row r="82" spans="1:18" x14ac:dyDescent="0.45">
      <c r="A82" s="3">
        <v>86</v>
      </c>
      <c r="B82" s="3" t="s">
        <v>928</v>
      </c>
      <c r="C82" s="3" t="s">
        <v>907</v>
      </c>
      <c r="D82" s="3" t="s">
        <v>908</v>
      </c>
      <c r="E82" t="s">
        <v>909</v>
      </c>
      <c r="F82" t="s">
        <v>995</v>
      </c>
      <c r="G82" t="s">
        <v>831</v>
      </c>
      <c r="H82" t="s">
        <v>768</v>
      </c>
      <c r="I82" s="12" t="s">
        <v>1107</v>
      </c>
      <c r="K82" s="12" t="s">
        <v>1062</v>
      </c>
      <c r="L82" s="12" t="s">
        <v>1110</v>
      </c>
      <c r="M82" s="12" t="s">
        <v>838</v>
      </c>
      <c r="N82" s="12" t="s">
        <v>1190</v>
      </c>
      <c r="O82" t="s">
        <v>910</v>
      </c>
      <c r="P82" s="16">
        <v>7.4044870199999979E-4</v>
      </c>
      <c r="Q82" s="22">
        <v>1</v>
      </c>
      <c r="R82" s="16">
        <v>5.4416790661624673E-4</v>
      </c>
    </row>
    <row r="83" spans="1:18" x14ac:dyDescent="0.45">
      <c r="A83" s="3">
        <v>87</v>
      </c>
      <c r="B83" s="3" t="s">
        <v>99</v>
      </c>
      <c r="C83" s="3" t="s">
        <v>746</v>
      </c>
      <c r="D83" s="3" t="s">
        <v>284</v>
      </c>
      <c r="E83" t="s">
        <v>112</v>
      </c>
      <c r="F83" t="s">
        <v>989</v>
      </c>
      <c r="G83" t="s">
        <v>831</v>
      </c>
      <c r="H83" t="s">
        <v>768</v>
      </c>
      <c r="I83" s="12" t="s">
        <v>1107</v>
      </c>
      <c r="K83" s="12" t="s">
        <v>1062</v>
      </c>
      <c r="L83" s="12" t="s">
        <v>1110</v>
      </c>
      <c r="M83" s="12" t="s">
        <v>838</v>
      </c>
      <c r="N83" s="12" t="s">
        <v>1190</v>
      </c>
      <c r="O83" t="s">
        <v>95</v>
      </c>
      <c r="P83" s="16">
        <v>1.974529872E-3</v>
      </c>
      <c r="Q83" s="22">
        <v>1</v>
      </c>
      <c r="R83" s="16">
        <v>1.451114417643325E-3</v>
      </c>
    </row>
    <row r="84" spans="1:18" x14ac:dyDescent="0.45">
      <c r="A84" s="3">
        <v>88</v>
      </c>
      <c r="B84" s="3" t="s">
        <v>601</v>
      </c>
      <c r="C84" s="3" t="s">
        <v>760</v>
      </c>
      <c r="D84" s="3" t="s">
        <v>780</v>
      </c>
      <c r="F84" t="s">
        <v>988</v>
      </c>
      <c r="G84" t="s">
        <v>831</v>
      </c>
      <c r="H84" t="s">
        <v>768</v>
      </c>
      <c r="I84" s="12" t="s">
        <v>1107</v>
      </c>
      <c r="K84" s="12" t="s">
        <v>1062</v>
      </c>
      <c r="L84" s="12" t="s">
        <v>1110</v>
      </c>
      <c r="M84" t="s">
        <v>837</v>
      </c>
      <c r="N84" s="14" t="s">
        <v>997</v>
      </c>
      <c r="O84" t="s">
        <v>605</v>
      </c>
      <c r="P84" s="16">
        <v>1.64544156E-4</v>
      </c>
      <c r="Q84" s="22">
        <v>1</v>
      </c>
      <c r="R84" s="16">
        <v>1.2092620147027709E-4</v>
      </c>
    </row>
    <row r="85" spans="1:18" x14ac:dyDescent="0.45">
      <c r="A85" s="3">
        <v>89</v>
      </c>
      <c r="B85" s="3" t="s">
        <v>54</v>
      </c>
      <c r="C85" s="3" t="s">
        <v>764</v>
      </c>
      <c r="D85" s="3" t="s">
        <v>824</v>
      </c>
      <c r="F85" t="s">
        <v>988</v>
      </c>
      <c r="G85" t="s">
        <v>831</v>
      </c>
      <c r="H85" t="s">
        <v>768</v>
      </c>
      <c r="I85" s="12" t="s">
        <v>1107</v>
      </c>
      <c r="K85" s="12" t="s">
        <v>1062</v>
      </c>
      <c r="L85" s="12" t="s">
        <v>1110</v>
      </c>
      <c r="M85" t="s">
        <v>835</v>
      </c>
      <c r="N85" s="12" t="s">
        <v>1190</v>
      </c>
      <c r="O85" t="s">
        <v>247</v>
      </c>
      <c r="P85" s="16">
        <v>1.64544156E-4</v>
      </c>
      <c r="Q85" s="22">
        <v>1</v>
      </c>
      <c r="R85" s="16">
        <v>1.2092620147027709E-4</v>
      </c>
    </row>
    <row r="86" spans="1:18" x14ac:dyDescent="0.45">
      <c r="A86" s="3">
        <v>90</v>
      </c>
      <c r="B86" s="3" t="s">
        <v>650</v>
      </c>
      <c r="C86" s="3" t="s">
        <v>761</v>
      </c>
      <c r="D86" s="3" t="s">
        <v>602</v>
      </c>
      <c r="E86" t="s">
        <v>981</v>
      </c>
      <c r="F86" t="s">
        <v>984</v>
      </c>
      <c r="G86" t="s">
        <v>831</v>
      </c>
      <c r="H86" t="s">
        <v>768</v>
      </c>
      <c r="I86" s="12" t="s">
        <v>1107</v>
      </c>
      <c r="K86" s="12" t="s">
        <v>1062</v>
      </c>
      <c r="L86" s="12" t="s">
        <v>1110</v>
      </c>
      <c r="M86" t="s">
        <v>836</v>
      </c>
      <c r="N86" s="14" t="s">
        <v>997</v>
      </c>
      <c r="P86" s="16">
        <v>7.3626537599999985E-4</v>
      </c>
      <c r="Q86" s="22">
        <v>1</v>
      </c>
      <c r="R86" s="16">
        <v>5.4109351166361261E-4</v>
      </c>
    </row>
    <row r="87" spans="1:18" x14ac:dyDescent="0.45">
      <c r="A87" s="3">
        <v>91</v>
      </c>
      <c r="B87" s="3" t="s">
        <v>649</v>
      </c>
      <c r="C87" s="11" t="s">
        <v>766</v>
      </c>
      <c r="D87" s="3" t="s">
        <v>980</v>
      </c>
      <c r="E87" t="s">
        <v>158</v>
      </c>
      <c r="F87" t="s">
        <v>984</v>
      </c>
      <c r="G87" t="s">
        <v>831</v>
      </c>
      <c r="H87" t="s">
        <v>768</v>
      </c>
      <c r="I87" s="12" t="s">
        <v>1107</v>
      </c>
      <c r="K87" s="12" t="s">
        <v>1062</v>
      </c>
      <c r="L87" s="12" t="s">
        <v>1110</v>
      </c>
      <c r="M87" t="s">
        <v>836</v>
      </c>
      <c r="N87" s="12" t="s">
        <v>1190</v>
      </c>
      <c r="P87" s="16">
        <v>7.3626537599999985E-4</v>
      </c>
      <c r="Q87" s="22">
        <v>1</v>
      </c>
      <c r="R87" s="16">
        <v>5.4109351166361261E-4</v>
      </c>
    </row>
    <row r="88" spans="1:18" x14ac:dyDescent="0.45">
      <c r="A88" s="3">
        <v>92</v>
      </c>
      <c r="B88" s="3" t="s">
        <v>650</v>
      </c>
      <c r="C88" s="3" t="s">
        <v>761</v>
      </c>
      <c r="D88" s="3" t="s">
        <v>602</v>
      </c>
      <c r="E88" t="s">
        <v>981</v>
      </c>
      <c r="F88" t="s">
        <v>971</v>
      </c>
      <c r="G88" t="s">
        <v>831</v>
      </c>
      <c r="H88" t="s">
        <v>768</v>
      </c>
      <c r="I88" s="12" t="s">
        <v>1107</v>
      </c>
      <c r="K88" s="12" t="s">
        <v>1062</v>
      </c>
      <c r="L88" s="12" t="s">
        <v>1110</v>
      </c>
      <c r="M88" t="s">
        <v>836</v>
      </c>
      <c r="N88" s="14" t="s">
        <v>997</v>
      </c>
      <c r="P88" s="16">
        <v>4.1414927399999998E-4</v>
      </c>
      <c r="Q88" s="22">
        <v>1</v>
      </c>
      <c r="R88" s="16">
        <v>3.0436510031078216E-4</v>
      </c>
    </row>
    <row r="89" spans="1:18" x14ac:dyDescent="0.45">
      <c r="A89" s="3">
        <v>93</v>
      </c>
      <c r="B89" s="3" t="s">
        <v>649</v>
      </c>
      <c r="C89" s="11" t="s">
        <v>766</v>
      </c>
      <c r="D89" s="3" t="s">
        <v>980</v>
      </c>
      <c r="E89" t="s">
        <v>158</v>
      </c>
      <c r="F89" t="s">
        <v>971</v>
      </c>
      <c r="G89" t="s">
        <v>831</v>
      </c>
      <c r="H89" t="s">
        <v>768</v>
      </c>
      <c r="I89" s="12" t="s">
        <v>1107</v>
      </c>
      <c r="K89" s="12" t="s">
        <v>1062</v>
      </c>
      <c r="L89" s="12" t="s">
        <v>1110</v>
      </c>
      <c r="M89" t="s">
        <v>836</v>
      </c>
      <c r="N89" s="12" t="s">
        <v>1190</v>
      </c>
      <c r="P89" s="16">
        <v>4.1414927399999998E-4</v>
      </c>
      <c r="Q89" s="22">
        <v>1</v>
      </c>
      <c r="R89" s="16">
        <v>3.0436510031078216E-4</v>
      </c>
    </row>
    <row r="90" spans="1:18" x14ac:dyDescent="0.45">
      <c r="A90" s="3">
        <v>94</v>
      </c>
      <c r="B90" s="3" t="s">
        <v>650</v>
      </c>
      <c r="C90" s="3" t="s">
        <v>761</v>
      </c>
      <c r="D90" s="3" t="s">
        <v>602</v>
      </c>
      <c r="E90" t="s">
        <v>981</v>
      </c>
      <c r="F90" t="s">
        <v>985</v>
      </c>
      <c r="G90" t="s">
        <v>831</v>
      </c>
      <c r="H90" t="s">
        <v>768</v>
      </c>
      <c r="I90" s="12" t="s">
        <v>1107</v>
      </c>
      <c r="K90" s="12" t="s">
        <v>1062</v>
      </c>
      <c r="L90" s="12" t="s">
        <v>1110</v>
      </c>
      <c r="M90" t="s">
        <v>836</v>
      </c>
      <c r="N90" s="14" t="s">
        <v>997</v>
      </c>
      <c r="P90" s="16">
        <v>6.3586555199999996E-4</v>
      </c>
      <c r="Q90" s="22">
        <v>1</v>
      </c>
      <c r="R90" s="16">
        <v>4.6730803280039277E-4</v>
      </c>
    </row>
    <row r="91" spans="1:18" x14ac:dyDescent="0.45">
      <c r="A91" s="3">
        <v>95</v>
      </c>
      <c r="B91" s="3" t="s">
        <v>649</v>
      </c>
      <c r="C91" s="11" t="s">
        <v>766</v>
      </c>
      <c r="D91" s="3" t="s">
        <v>980</v>
      </c>
      <c r="E91" t="s">
        <v>158</v>
      </c>
      <c r="F91" t="s">
        <v>985</v>
      </c>
      <c r="G91" t="s">
        <v>831</v>
      </c>
      <c r="H91" t="s">
        <v>768</v>
      </c>
      <c r="I91" s="12" t="s">
        <v>1107</v>
      </c>
      <c r="K91" s="12" t="s">
        <v>1062</v>
      </c>
      <c r="L91" s="12" t="s">
        <v>1110</v>
      </c>
      <c r="M91" t="s">
        <v>836</v>
      </c>
      <c r="N91" s="12" t="s">
        <v>1190</v>
      </c>
      <c r="P91" s="16">
        <v>6.3586555199999996E-4</v>
      </c>
      <c r="Q91" s="22">
        <v>1</v>
      </c>
      <c r="R91" s="16">
        <v>4.6730803280039277E-4</v>
      </c>
    </row>
    <row r="92" spans="1:18" x14ac:dyDescent="0.45">
      <c r="A92" s="3">
        <v>96</v>
      </c>
      <c r="B92" s="3" t="s">
        <v>650</v>
      </c>
      <c r="C92" s="3" t="s">
        <v>761</v>
      </c>
      <c r="D92" s="3" t="s">
        <v>602</v>
      </c>
      <c r="E92" t="s">
        <v>981</v>
      </c>
      <c r="F92" t="s">
        <v>986</v>
      </c>
      <c r="G92" t="s">
        <v>831</v>
      </c>
      <c r="H92" t="s">
        <v>768</v>
      </c>
      <c r="I92" s="12" t="s">
        <v>1107</v>
      </c>
      <c r="K92" s="12" t="s">
        <v>1062</v>
      </c>
      <c r="L92" s="12" t="s">
        <v>1110</v>
      </c>
      <c r="M92" t="s">
        <v>836</v>
      </c>
      <c r="N92" s="14" t="s">
        <v>997</v>
      </c>
      <c r="P92" s="16">
        <v>3.5767437299999996E-4</v>
      </c>
      <c r="Q92" s="22">
        <v>1</v>
      </c>
      <c r="R92" s="16">
        <v>2.6286076845022095E-4</v>
      </c>
    </row>
    <row r="93" spans="1:18" x14ac:dyDescent="0.45">
      <c r="A93" s="3">
        <v>97</v>
      </c>
      <c r="B93" s="3" t="s">
        <v>649</v>
      </c>
      <c r="C93" s="11" t="s">
        <v>766</v>
      </c>
      <c r="D93" s="3" t="s">
        <v>980</v>
      </c>
      <c r="E93" t="s">
        <v>158</v>
      </c>
      <c r="F93" t="s">
        <v>986</v>
      </c>
      <c r="G93" t="s">
        <v>831</v>
      </c>
      <c r="H93" t="s">
        <v>768</v>
      </c>
      <c r="I93" s="12" t="s">
        <v>1107</v>
      </c>
      <c r="K93" s="12" t="s">
        <v>1062</v>
      </c>
      <c r="L93" s="12" t="s">
        <v>1110</v>
      </c>
      <c r="M93" t="s">
        <v>836</v>
      </c>
      <c r="N93" s="12" t="s">
        <v>1190</v>
      </c>
      <c r="P93" s="16">
        <v>3.5767437299999996E-4</v>
      </c>
      <c r="Q93" s="22">
        <v>1</v>
      </c>
      <c r="R93" s="16">
        <v>2.6286076845022095E-4</v>
      </c>
    </row>
    <row r="94" spans="1:18" x14ac:dyDescent="0.45">
      <c r="A94" s="3">
        <v>98</v>
      </c>
      <c r="B94" s="3" t="s">
        <v>650</v>
      </c>
      <c r="C94" s="3" t="s">
        <v>761</v>
      </c>
      <c r="D94" s="3" t="s">
        <v>602</v>
      </c>
      <c r="E94" t="s">
        <v>981</v>
      </c>
      <c r="F94" t="s">
        <v>1010</v>
      </c>
      <c r="G94" t="s">
        <v>831</v>
      </c>
      <c r="H94" t="s">
        <v>768</v>
      </c>
      <c r="I94" s="12" t="s">
        <v>1107</v>
      </c>
      <c r="K94" s="12" t="s">
        <v>1062</v>
      </c>
      <c r="L94" s="12" t="s">
        <v>1110</v>
      </c>
      <c r="M94" t="s">
        <v>836</v>
      </c>
      <c r="N94" s="14" t="s">
        <v>997</v>
      </c>
      <c r="O94" t="s">
        <v>609</v>
      </c>
      <c r="P94" s="16">
        <v>4.9363246800000001E-4</v>
      </c>
      <c r="Q94" s="22">
        <v>1</v>
      </c>
      <c r="R94" s="16">
        <v>3.6277860441083124E-4</v>
      </c>
    </row>
    <row r="95" spans="1:18" x14ac:dyDescent="0.45">
      <c r="A95" s="3">
        <v>99</v>
      </c>
      <c r="B95" s="3" t="s">
        <v>649</v>
      </c>
      <c r="C95" s="11" t="s">
        <v>766</v>
      </c>
      <c r="D95" s="3" t="s">
        <v>696</v>
      </c>
      <c r="E95" t="s">
        <v>1016</v>
      </c>
      <c r="F95" t="s">
        <v>1010</v>
      </c>
      <c r="G95" t="s">
        <v>831</v>
      </c>
      <c r="H95" t="s">
        <v>768</v>
      </c>
      <c r="I95" s="12" t="s">
        <v>1107</v>
      </c>
      <c r="K95" s="12" t="s">
        <v>1062</v>
      </c>
      <c r="L95" s="12" t="s">
        <v>1110</v>
      </c>
      <c r="M95" t="s">
        <v>836</v>
      </c>
      <c r="N95" s="14" t="s">
        <v>1003</v>
      </c>
      <c r="O95" t="s">
        <v>157</v>
      </c>
      <c r="P95" s="16">
        <v>4.9363246800000001E-4</v>
      </c>
      <c r="Q95" s="22">
        <v>1</v>
      </c>
      <c r="R95" s="16">
        <v>3.6277860441083124E-4</v>
      </c>
    </row>
    <row r="96" spans="1:18" x14ac:dyDescent="0.45">
      <c r="A96" s="3">
        <v>100</v>
      </c>
      <c r="B96" s="3" t="s">
        <v>649</v>
      </c>
      <c r="C96" s="11" t="s">
        <v>766</v>
      </c>
      <c r="D96" s="3" t="s">
        <v>980</v>
      </c>
      <c r="E96" t="s">
        <v>158</v>
      </c>
      <c r="F96" t="s">
        <v>1010</v>
      </c>
      <c r="G96" t="s">
        <v>831</v>
      </c>
      <c r="H96" t="s">
        <v>768</v>
      </c>
      <c r="I96" s="12" t="s">
        <v>1107</v>
      </c>
      <c r="K96" s="12" t="s">
        <v>1062</v>
      </c>
      <c r="L96" s="12" t="s">
        <v>1110</v>
      </c>
      <c r="M96" t="s">
        <v>836</v>
      </c>
      <c r="N96" s="12" t="s">
        <v>1190</v>
      </c>
      <c r="O96" t="s">
        <v>157</v>
      </c>
      <c r="P96" s="16">
        <v>4.9363246800000001E-4</v>
      </c>
      <c r="Q96" s="22">
        <v>1</v>
      </c>
      <c r="R96" s="16">
        <v>3.6277860441083124E-4</v>
      </c>
    </row>
    <row r="97" spans="1:18" x14ac:dyDescent="0.45">
      <c r="A97" s="3">
        <v>101</v>
      </c>
      <c r="B97" s="3" t="s">
        <v>151</v>
      </c>
      <c r="C97" s="3" t="s">
        <v>752</v>
      </c>
      <c r="D97" s="3" t="s">
        <v>279</v>
      </c>
      <c r="E97" t="s">
        <v>136</v>
      </c>
      <c r="F97" t="s">
        <v>988</v>
      </c>
      <c r="G97" t="s">
        <v>831</v>
      </c>
      <c r="H97" t="s">
        <v>768</v>
      </c>
      <c r="I97" s="12" t="s">
        <v>1107</v>
      </c>
      <c r="K97" s="12" t="s">
        <v>1062</v>
      </c>
      <c r="L97" s="12" t="s">
        <v>1110</v>
      </c>
      <c r="M97" t="s">
        <v>836</v>
      </c>
      <c r="N97" s="14" t="s">
        <v>997</v>
      </c>
      <c r="O97" t="s">
        <v>137</v>
      </c>
      <c r="P97" s="16">
        <v>4.9363246800000001E-4</v>
      </c>
      <c r="Q97" s="22">
        <v>1</v>
      </c>
      <c r="R97" s="16">
        <v>3.6277860441083124E-4</v>
      </c>
    </row>
    <row r="98" spans="1:18" x14ac:dyDescent="0.45">
      <c r="A98" s="3">
        <v>102</v>
      </c>
      <c r="B98" s="3" t="s">
        <v>52</v>
      </c>
      <c r="C98" s="3" t="s">
        <v>751</v>
      </c>
      <c r="D98" s="3" t="s">
        <v>278</v>
      </c>
      <c r="E98" s="2" t="s">
        <v>121</v>
      </c>
      <c r="F98" t="s">
        <v>988</v>
      </c>
      <c r="G98" t="s">
        <v>831</v>
      </c>
      <c r="H98" t="s">
        <v>768</v>
      </c>
      <c r="I98" s="12" t="s">
        <v>1107</v>
      </c>
      <c r="K98" s="12" t="s">
        <v>1062</v>
      </c>
      <c r="L98" s="12" t="s">
        <v>1110</v>
      </c>
      <c r="M98" t="s">
        <v>836</v>
      </c>
      <c r="N98" s="12" t="s">
        <v>1190</v>
      </c>
      <c r="O98" s="2" t="s">
        <v>124</v>
      </c>
      <c r="P98" s="16">
        <v>4.9363246800000001E-4</v>
      </c>
      <c r="Q98" s="22">
        <v>1</v>
      </c>
      <c r="R98" s="16">
        <v>3.6277860441083124E-4</v>
      </c>
    </row>
    <row r="99" spans="1:18" x14ac:dyDescent="0.45">
      <c r="A99" s="3">
        <v>103</v>
      </c>
      <c r="B99" s="3" t="s">
        <v>650</v>
      </c>
      <c r="C99" s="3" t="s">
        <v>761</v>
      </c>
      <c r="D99" s="3" t="s">
        <v>602</v>
      </c>
      <c r="E99" t="s">
        <v>981</v>
      </c>
      <c r="F99" t="s">
        <v>987</v>
      </c>
      <c r="G99" t="s">
        <v>831</v>
      </c>
      <c r="H99" t="s">
        <v>768</v>
      </c>
      <c r="I99" s="12" t="s">
        <v>1107</v>
      </c>
      <c r="K99" s="12" t="s">
        <v>1062</v>
      </c>
      <c r="L99" s="12" t="s">
        <v>1110</v>
      </c>
      <c r="M99" t="s">
        <v>836</v>
      </c>
      <c r="N99" s="14" t="s">
        <v>997</v>
      </c>
      <c r="P99" s="16">
        <v>1.8511217549999995E-4</v>
      </c>
      <c r="Q99" s="22">
        <v>1</v>
      </c>
      <c r="R99" s="16">
        <v>1.3604197665406168E-4</v>
      </c>
    </row>
    <row r="100" spans="1:18" x14ac:dyDescent="0.45">
      <c r="A100" s="3">
        <v>104</v>
      </c>
      <c r="B100" s="3" t="s">
        <v>649</v>
      </c>
      <c r="C100" s="11" t="s">
        <v>766</v>
      </c>
      <c r="D100" s="3" t="s">
        <v>980</v>
      </c>
      <c r="E100" t="s">
        <v>158</v>
      </c>
      <c r="F100" t="s">
        <v>987</v>
      </c>
      <c r="G100" t="s">
        <v>831</v>
      </c>
      <c r="H100" t="s">
        <v>768</v>
      </c>
      <c r="I100" s="12" t="s">
        <v>1107</v>
      </c>
      <c r="K100" s="12" t="s">
        <v>1062</v>
      </c>
      <c r="L100" s="12" t="s">
        <v>1110</v>
      </c>
      <c r="M100" t="s">
        <v>836</v>
      </c>
      <c r="N100" s="12" t="s">
        <v>1190</v>
      </c>
      <c r="P100" s="16">
        <v>1.8511217549999995E-4</v>
      </c>
      <c r="Q100" s="22">
        <v>1</v>
      </c>
      <c r="R100" s="16">
        <v>1.3604197665406168E-4</v>
      </c>
    </row>
    <row r="101" spans="1:18" x14ac:dyDescent="0.45">
      <c r="A101" s="3">
        <v>105</v>
      </c>
      <c r="B101" s="3" t="s">
        <v>242</v>
      </c>
      <c r="C101" s="3" t="s">
        <v>747</v>
      </c>
      <c r="D101" s="3" t="s">
        <v>267</v>
      </c>
      <c r="E101" t="s">
        <v>147</v>
      </c>
      <c r="F101" t="s">
        <v>988</v>
      </c>
      <c r="G101" t="s">
        <v>831</v>
      </c>
      <c r="H101" t="s">
        <v>768</v>
      </c>
      <c r="I101" s="12" t="s">
        <v>1107</v>
      </c>
      <c r="K101" s="12" t="s">
        <v>1062</v>
      </c>
      <c r="L101" t="s">
        <v>1111</v>
      </c>
      <c r="M101" s="12" t="s">
        <v>838</v>
      </c>
      <c r="N101" s="12" t="s">
        <v>1190</v>
      </c>
      <c r="O101" t="s">
        <v>102</v>
      </c>
      <c r="P101" s="16">
        <v>3.4844644799999998E-4</v>
      </c>
      <c r="Q101" s="22">
        <v>1</v>
      </c>
      <c r="R101" s="16">
        <v>2.5607901487823383E-4</v>
      </c>
    </row>
    <row r="102" spans="1:18" x14ac:dyDescent="0.45">
      <c r="A102" s="3">
        <v>106</v>
      </c>
      <c r="B102" s="3" t="s">
        <v>244</v>
      </c>
      <c r="C102" s="3" t="s">
        <v>748</v>
      </c>
      <c r="D102" s="3" t="s">
        <v>268</v>
      </c>
      <c r="E102" t="s">
        <v>149</v>
      </c>
      <c r="F102" t="s">
        <v>989</v>
      </c>
      <c r="G102" t="s">
        <v>831</v>
      </c>
      <c r="H102" t="s">
        <v>768</v>
      </c>
      <c r="I102" s="12" t="s">
        <v>1107</v>
      </c>
      <c r="K102" s="12" t="s">
        <v>1062</v>
      </c>
      <c r="L102" t="s">
        <v>1111</v>
      </c>
      <c r="M102" s="12" t="s">
        <v>838</v>
      </c>
      <c r="N102" s="12" t="s">
        <v>1190</v>
      </c>
      <c r="O102" t="s">
        <v>104</v>
      </c>
      <c r="P102" s="16">
        <v>3.4844644799999998E-4</v>
      </c>
      <c r="Q102" s="22">
        <v>1</v>
      </c>
      <c r="R102" s="16">
        <v>2.5607901487823383E-4</v>
      </c>
    </row>
    <row r="103" spans="1:18" x14ac:dyDescent="0.45">
      <c r="A103" s="3">
        <v>107</v>
      </c>
      <c r="B103" s="11" t="s">
        <v>661</v>
      </c>
      <c r="C103" s="11" t="s">
        <v>549</v>
      </c>
      <c r="D103" s="3" t="s">
        <v>553</v>
      </c>
      <c r="E103" s="2" t="s">
        <v>106</v>
      </c>
      <c r="F103" t="s">
        <v>984</v>
      </c>
      <c r="G103" t="s">
        <v>831</v>
      </c>
      <c r="H103" s="2" t="s">
        <v>808</v>
      </c>
      <c r="I103" s="12" t="s">
        <v>1107</v>
      </c>
      <c r="J103" s="2"/>
      <c r="K103" s="12" t="s">
        <v>1062</v>
      </c>
      <c r="L103" s="12" t="s">
        <v>1110</v>
      </c>
      <c r="M103" s="12" t="s">
        <v>838</v>
      </c>
      <c r="N103" s="12" t="s">
        <v>1190</v>
      </c>
      <c r="P103" s="16">
        <v>8.0989191360000008E-3</v>
      </c>
      <c r="Q103" s="22">
        <v>0.25</v>
      </c>
      <c r="R103" s="16">
        <v>1.488007157074935E-3</v>
      </c>
    </row>
    <row r="104" spans="1:18" x14ac:dyDescent="0.45">
      <c r="A104" s="3">
        <v>108</v>
      </c>
      <c r="B104" s="11" t="s">
        <v>661</v>
      </c>
      <c r="C104" s="11" t="s">
        <v>549</v>
      </c>
      <c r="D104" s="3" t="s">
        <v>553</v>
      </c>
      <c r="E104" s="2" t="s">
        <v>106</v>
      </c>
      <c r="F104" t="s">
        <v>971</v>
      </c>
      <c r="G104" t="s">
        <v>831</v>
      </c>
      <c r="H104" s="2" t="s">
        <v>808</v>
      </c>
      <c r="I104" s="12" t="s">
        <v>1107</v>
      </c>
      <c r="J104" s="2"/>
      <c r="K104" s="12" t="s">
        <v>1062</v>
      </c>
      <c r="L104" s="12" t="s">
        <v>1110</v>
      </c>
      <c r="M104" s="12" t="s">
        <v>838</v>
      </c>
      <c r="N104" s="12" t="s">
        <v>1190</v>
      </c>
      <c r="P104" s="16">
        <v>4.5556420139999994E-3</v>
      </c>
      <c r="Q104" s="22">
        <v>0.25</v>
      </c>
      <c r="R104" s="16">
        <v>8.370040258546508E-4</v>
      </c>
    </row>
    <row r="105" spans="1:18" x14ac:dyDescent="0.45">
      <c r="A105" s="3">
        <v>109</v>
      </c>
      <c r="B105" s="11" t="s">
        <v>661</v>
      </c>
      <c r="C105" s="11" t="s">
        <v>549</v>
      </c>
      <c r="D105" s="3" t="s">
        <v>553</v>
      </c>
      <c r="E105" s="2" t="s">
        <v>106</v>
      </c>
      <c r="F105" t="s">
        <v>985</v>
      </c>
      <c r="G105" t="s">
        <v>831</v>
      </c>
      <c r="H105" s="2" t="s">
        <v>808</v>
      </c>
      <c r="I105" s="12" t="s">
        <v>1107</v>
      </c>
      <c r="J105" s="2"/>
      <c r="K105" s="12" t="s">
        <v>1062</v>
      </c>
      <c r="L105" s="12" t="s">
        <v>1110</v>
      </c>
      <c r="M105" s="12" t="s">
        <v>838</v>
      </c>
      <c r="N105" s="12" t="s">
        <v>1190</v>
      </c>
      <c r="P105" s="16">
        <v>6.9945210720000007E-3</v>
      </c>
      <c r="Q105" s="22">
        <v>0.25</v>
      </c>
      <c r="R105" s="16">
        <v>1.2850970902010803E-3</v>
      </c>
    </row>
    <row r="106" spans="1:18" x14ac:dyDescent="0.45">
      <c r="A106" s="3">
        <v>110</v>
      </c>
      <c r="B106" s="11" t="s">
        <v>661</v>
      </c>
      <c r="C106" s="11" t="s">
        <v>549</v>
      </c>
      <c r="D106" s="3" t="s">
        <v>553</v>
      </c>
      <c r="E106" s="2" t="s">
        <v>106</v>
      </c>
      <c r="F106" t="s">
        <v>986</v>
      </c>
      <c r="G106" t="s">
        <v>831</v>
      </c>
      <c r="H106" s="2" t="s">
        <v>808</v>
      </c>
      <c r="I106" s="12" t="s">
        <v>1107</v>
      </c>
      <c r="J106" s="2"/>
      <c r="K106" s="12" t="s">
        <v>1062</v>
      </c>
      <c r="L106" s="12" t="s">
        <v>1110</v>
      </c>
      <c r="M106" s="12" t="s">
        <v>838</v>
      </c>
      <c r="N106" s="12" t="s">
        <v>1190</v>
      </c>
      <c r="P106" s="16">
        <v>3.9344181030000003E-3</v>
      </c>
      <c r="Q106" s="22">
        <v>0.25</v>
      </c>
      <c r="R106" s="16">
        <v>7.2286711323810767E-4</v>
      </c>
    </row>
    <row r="107" spans="1:18" x14ac:dyDescent="0.45">
      <c r="A107" s="3">
        <v>111</v>
      </c>
      <c r="B107" s="11" t="s">
        <v>661</v>
      </c>
      <c r="C107" s="11" t="s">
        <v>549</v>
      </c>
      <c r="D107" s="3" t="s">
        <v>559</v>
      </c>
      <c r="E107" s="2" t="s">
        <v>1192</v>
      </c>
      <c r="F107" t="s">
        <v>1010</v>
      </c>
      <c r="G107" t="s">
        <v>831</v>
      </c>
      <c r="H107" s="2" t="s">
        <v>808</v>
      </c>
      <c r="I107" s="12" t="s">
        <v>1107</v>
      </c>
      <c r="J107" s="2"/>
      <c r="K107" s="12" t="s">
        <v>1062</v>
      </c>
      <c r="L107" s="12" t="s">
        <v>1110</v>
      </c>
      <c r="M107" s="12" t="s">
        <v>838</v>
      </c>
      <c r="N107" s="14" t="s">
        <v>1003</v>
      </c>
      <c r="O107" s="2" t="s">
        <v>1191</v>
      </c>
      <c r="P107" s="16">
        <v>5.4299571479999994E-3</v>
      </c>
      <c r="Q107" s="22">
        <v>0.75</v>
      </c>
      <c r="R107" s="16">
        <v>2.9929234863893574E-3</v>
      </c>
    </row>
    <row r="108" spans="1:18" x14ac:dyDescent="0.45">
      <c r="A108" s="3">
        <v>112</v>
      </c>
      <c r="B108" s="11" t="s">
        <v>661</v>
      </c>
      <c r="C108" s="11" t="s">
        <v>549</v>
      </c>
      <c r="D108" s="3" t="s">
        <v>553</v>
      </c>
      <c r="E108" s="2" t="s">
        <v>106</v>
      </c>
      <c r="F108" t="s">
        <v>1010</v>
      </c>
      <c r="G108" t="s">
        <v>831</v>
      </c>
      <c r="H108" s="2" t="s">
        <v>808</v>
      </c>
      <c r="I108" s="12" t="s">
        <v>1107</v>
      </c>
      <c r="J108" s="2"/>
      <c r="K108" s="12" t="s">
        <v>1062</v>
      </c>
      <c r="L108" s="12" t="s">
        <v>1110</v>
      </c>
      <c r="M108" s="12" t="s">
        <v>838</v>
      </c>
      <c r="N108" s="12" t="s">
        <v>1190</v>
      </c>
      <c r="O108" s="2" t="s">
        <v>1191</v>
      </c>
      <c r="P108" s="16">
        <v>5.4299571479999994E-3</v>
      </c>
      <c r="Q108" s="22">
        <v>0.25</v>
      </c>
      <c r="R108" s="16">
        <v>9.9764116212978579E-4</v>
      </c>
    </row>
    <row r="109" spans="1:18" x14ac:dyDescent="0.45">
      <c r="A109" s="3">
        <v>113</v>
      </c>
      <c r="B109" s="3" t="s">
        <v>503</v>
      </c>
      <c r="C109" s="3" t="s">
        <v>570</v>
      </c>
      <c r="D109" s="3" t="s">
        <v>571</v>
      </c>
      <c r="F109" t="s">
        <v>990</v>
      </c>
      <c r="G109" t="s">
        <v>831</v>
      </c>
      <c r="H109" t="s">
        <v>808</v>
      </c>
      <c r="I109" s="12" t="s">
        <v>1107</v>
      </c>
      <c r="K109" s="12" t="s">
        <v>1062</v>
      </c>
      <c r="L109" s="12" t="s">
        <v>1110</v>
      </c>
      <c r="M109" s="12" t="s">
        <v>838</v>
      </c>
      <c r="N109" s="14" t="s">
        <v>997</v>
      </c>
      <c r="O109" t="s">
        <v>499</v>
      </c>
      <c r="P109" s="16">
        <v>5.4299571479999994E-3</v>
      </c>
      <c r="Q109" s="22">
        <v>1</v>
      </c>
      <c r="R109" s="16">
        <v>3.9905646485191432E-3</v>
      </c>
    </row>
    <row r="110" spans="1:18" x14ac:dyDescent="0.45">
      <c r="A110" s="3">
        <v>114</v>
      </c>
      <c r="B110" s="3" t="s">
        <v>495</v>
      </c>
      <c r="C110" s="3" t="s">
        <v>565</v>
      </c>
      <c r="D110" s="3" t="s">
        <v>568</v>
      </c>
      <c r="F110" t="s">
        <v>990</v>
      </c>
      <c r="G110" t="s">
        <v>831</v>
      </c>
      <c r="H110" t="s">
        <v>808</v>
      </c>
      <c r="I110" s="12" t="s">
        <v>1107</v>
      </c>
      <c r="K110" s="12" t="s">
        <v>1062</v>
      </c>
      <c r="L110" s="12" t="s">
        <v>1110</v>
      </c>
      <c r="M110" s="12" t="s">
        <v>838</v>
      </c>
      <c r="N110" s="12" t="s">
        <v>1190</v>
      </c>
      <c r="O110" t="s">
        <v>496</v>
      </c>
      <c r="P110" s="16">
        <v>5.4299571479999994E-3</v>
      </c>
      <c r="Q110" s="22">
        <v>1</v>
      </c>
      <c r="R110" s="16">
        <v>3.9905646485191432E-3</v>
      </c>
    </row>
    <row r="111" spans="1:18" x14ac:dyDescent="0.45">
      <c r="A111" s="3">
        <v>115</v>
      </c>
      <c r="B111" s="3" t="s">
        <v>65</v>
      </c>
      <c r="C111" s="3" t="s">
        <v>195</v>
      </c>
      <c r="D111" s="3" t="s">
        <v>253</v>
      </c>
      <c r="E111" t="s">
        <v>16</v>
      </c>
      <c r="F111" t="s">
        <v>988</v>
      </c>
      <c r="G111" t="s">
        <v>831</v>
      </c>
      <c r="H111" t="s">
        <v>808</v>
      </c>
      <c r="I111" s="12" t="s">
        <v>1107</v>
      </c>
      <c r="K111" s="12" t="s">
        <v>1062</v>
      </c>
      <c r="L111" s="12" t="s">
        <v>1110</v>
      </c>
      <c r="M111" s="12" t="s">
        <v>838</v>
      </c>
      <c r="N111" s="14" t="s">
        <v>997</v>
      </c>
      <c r="O111" t="s">
        <v>68</v>
      </c>
      <c r="P111" s="16">
        <v>5.4299571479999994E-3</v>
      </c>
      <c r="Q111" s="22">
        <v>1</v>
      </c>
      <c r="R111" s="16">
        <v>3.9905646485191432E-3</v>
      </c>
    </row>
    <row r="112" spans="1:18" x14ac:dyDescent="0.45">
      <c r="A112" s="3">
        <v>116</v>
      </c>
      <c r="B112" s="3" t="s">
        <v>63</v>
      </c>
      <c r="C112" s="3" t="s">
        <v>40</v>
      </c>
      <c r="D112" s="3" t="s">
        <v>251</v>
      </c>
      <c r="E112" t="s">
        <v>64</v>
      </c>
      <c r="F112" t="s">
        <v>988</v>
      </c>
      <c r="G112" t="s">
        <v>831</v>
      </c>
      <c r="H112" t="s">
        <v>808</v>
      </c>
      <c r="I112" s="12" t="s">
        <v>1107</v>
      </c>
      <c r="K112" s="12" t="s">
        <v>1062</v>
      </c>
      <c r="L112" s="12" t="s">
        <v>1110</v>
      </c>
      <c r="M112" s="12" t="s">
        <v>838</v>
      </c>
      <c r="N112" s="12" t="s">
        <v>1190</v>
      </c>
      <c r="O112" t="s">
        <v>41</v>
      </c>
      <c r="P112" s="16">
        <v>5.4299571479999994E-3</v>
      </c>
      <c r="Q112" s="22">
        <v>1</v>
      </c>
      <c r="R112" s="16">
        <v>3.9905646485191432E-3</v>
      </c>
    </row>
    <row r="113" spans="1:18" x14ac:dyDescent="0.45">
      <c r="A113" s="3">
        <v>117</v>
      </c>
      <c r="B113" s="11" t="s">
        <v>661</v>
      </c>
      <c r="C113" s="11" t="s">
        <v>549</v>
      </c>
      <c r="D113" s="3" t="s">
        <v>553</v>
      </c>
      <c r="E113" s="2" t="s">
        <v>106</v>
      </c>
      <c r="F113" t="s">
        <v>987</v>
      </c>
      <c r="G113" t="s">
        <v>831</v>
      </c>
      <c r="H113" s="2" t="s">
        <v>808</v>
      </c>
      <c r="I113" s="12" t="s">
        <v>1107</v>
      </c>
      <c r="J113" s="2"/>
      <c r="K113" s="12" t="s">
        <v>1062</v>
      </c>
      <c r="L113" s="12" t="s">
        <v>1110</v>
      </c>
      <c r="M113" s="12" t="s">
        <v>838</v>
      </c>
      <c r="N113" s="12" t="s">
        <v>1190</v>
      </c>
      <c r="P113" s="16">
        <v>2.0362339304999997E-3</v>
      </c>
      <c r="Q113" s="22">
        <v>0.25</v>
      </c>
      <c r="R113" s="16">
        <v>3.7411543579866967E-4</v>
      </c>
    </row>
    <row r="114" spans="1:18" x14ac:dyDescent="0.45">
      <c r="A114" s="3">
        <v>118</v>
      </c>
      <c r="B114" s="3" t="s">
        <v>231</v>
      </c>
      <c r="C114" s="3" t="s">
        <v>232</v>
      </c>
      <c r="D114" s="3" t="s">
        <v>264</v>
      </c>
      <c r="E114" t="s">
        <v>16</v>
      </c>
      <c r="F114" t="s">
        <v>993</v>
      </c>
      <c r="G114" t="s">
        <v>831</v>
      </c>
      <c r="H114" t="s">
        <v>808</v>
      </c>
      <c r="I114" s="12" t="s">
        <v>1107</v>
      </c>
      <c r="K114" s="12" t="s">
        <v>1062</v>
      </c>
      <c r="L114" s="12" t="s">
        <v>1110</v>
      </c>
      <c r="M114" s="12" t="s">
        <v>838</v>
      </c>
      <c r="N114" s="14" t="s">
        <v>997</v>
      </c>
      <c r="O114" t="s">
        <v>233</v>
      </c>
      <c r="P114" s="16">
        <v>2.0362339304999997E-3</v>
      </c>
      <c r="Q114" s="22">
        <v>1</v>
      </c>
      <c r="R114" s="16">
        <v>1.4964617431946787E-3</v>
      </c>
    </row>
    <row r="115" spans="1:18" x14ac:dyDescent="0.45">
      <c r="A115" s="3">
        <v>119</v>
      </c>
      <c r="B115" s="11" t="s">
        <v>661</v>
      </c>
      <c r="C115" s="11" t="s">
        <v>549</v>
      </c>
      <c r="D115" s="3" t="s">
        <v>559</v>
      </c>
      <c r="E115" s="2" t="s">
        <v>1192</v>
      </c>
      <c r="F115" t="s">
        <v>987</v>
      </c>
      <c r="G115" t="s">
        <v>831</v>
      </c>
      <c r="H115" t="s">
        <v>808</v>
      </c>
      <c r="I115" s="12" t="s">
        <v>1107</v>
      </c>
      <c r="K115" s="12" t="s">
        <v>1062</v>
      </c>
      <c r="L115" s="12" t="s">
        <v>1110</v>
      </c>
      <c r="M115" s="12" t="s">
        <v>838</v>
      </c>
      <c r="N115" s="14" t="s">
        <v>1003</v>
      </c>
      <c r="P115" s="16">
        <v>2.0362339304999997E-3</v>
      </c>
      <c r="Q115" s="22">
        <v>0.75</v>
      </c>
      <c r="R115" s="16">
        <v>1.122346307396009E-3</v>
      </c>
    </row>
    <row r="116" spans="1:18" x14ac:dyDescent="0.45">
      <c r="A116" s="3">
        <v>120</v>
      </c>
      <c r="B116" s="3" t="s">
        <v>218</v>
      </c>
      <c r="C116" s="3" t="s">
        <v>219</v>
      </c>
      <c r="D116" s="3" t="s">
        <v>262</v>
      </c>
      <c r="E116" t="s">
        <v>64</v>
      </c>
      <c r="F116" t="s">
        <v>993</v>
      </c>
      <c r="G116" t="s">
        <v>831</v>
      </c>
      <c r="H116" t="s">
        <v>808</v>
      </c>
      <c r="I116" s="12" t="s">
        <v>1107</v>
      </c>
      <c r="K116" s="12" t="s">
        <v>1062</v>
      </c>
      <c r="L116" s="12" t="s">
        <v>1110</v>
      </c>
      <c r="M116" s="12" t="s">
        <v>838</v>
      </c>
      <c r="N116" s="12" t="s">
        <v>1190</v>
      </c>
      <c r="O116" t="s">
        <v>220</v>
      </c>
      <c r="P116" s="16">
        <v>2.0362339304999997E-3</v>
      </c>
      <c r="Q116" s="22">
        <v>1</v>
      </c>
      <c r="R116" s="16">
        <v>1.4964617431946787E-3</v>
      </c>
    </row>
    <row r="117" spans="1:18" x14ac:dyDescent="0.45">
      <c r="A117" s="3">
        <v>121</v>
      </c>
      <c r="B117" s="11" t="s">
        <v>661</v>
      </c>
      <c r="C117" s="11" t="s">
        <v>549</v>
      </c>
      <c r="D117" s="3" t="s">
        <v>559</v>
      </c>
      <c r="E117" s="2" t="s">
        <v>1192</v>
      </c>
      <c r="F117" t="s">
        <v>971</v>
      </c>
      <c r="G117" t="s">
        <v>831</v>
      </c>
      <c r="H117" t="s">
        <v>808</v>
      </c>
      <c r="I117" s="12" t="s">
        <v>1107</v>
      </c>
      <c r="K117" s="12" t="s">
        <v>1062</v>
      </c>
      <c r="L117" s="12" t="s">
        <v>1110</v>
      </c>
      <c r="M117" s="12" t="s">
        <v>838</v>
      </c>
      <c r="N117" s="14" t="s">
        <v>1003</v>
      </c>
      <c r="P117" s="16">
        <v>4.5556420139999994E-3</v>
      </c>
      <c r="Q117" s="22">
        <v>0.75</v>
      </c>
      <c r="R117" s="16">
        <v>2.5110120775639526E-3</v>
      </c>
    </row>
    <row r="118" spans="1:18" x14ac:dyDescent="0.45">
      <c r="A118" s="3">
        <v>127</v>
      </c>
      <c r="B118" s="3" t="s">
        <v>656</v>
      </c>
      <c r="C118" s="3" t="s">
        <v>1197</v>
      </c>
      <c r="D118" s="3" t="s">
        <v>1198</v>
      </c>
      <c r="E118" t="s">
        <v>66</v>
      </c>
      <c r="F118" t="s">
        <v>989</v>
      </c>
      <c r="G118" t="s">
        <v>831</v>
      </c>
      <c r="H118" t="s">
        <v>808</v>
      </c>
      <c r="I118" s="12" t="s">
        <v>1107</v>
      </c>
      <c r="K118" s="12" t="s">
        <v>1062</v>
      </c>
      <c r="L118" s="12" t="s">
        <v>1110</v>
      </c>
      <c r="M118" s="12" t="s">
        <v>838</v>
      </c>
      <c r="N118" s="14" t="s">
        <v>997</v>
      </c>
      <c r="O118" t="s">
        <v>17</v>
      </c>
      <c r="P118" s="16">
        <v>5.4299571479999994E-3</v>
      </c>
      <c r="Q118" s="22">
        <v>1</v>
      </c>
      <c r="R118" s="16">
        <v>3.9905646485191432E-3</v>
      </c>
    </row>
    <row r="119" spans="1:18" x14ac:dyDescent="0.45">
      <c r="A119" s="3">
        <v>132</v>
      </c>
      <c r="B119" s="3" t="s">
        <v>504</v>
      </c>
      <c r="C119" s="3" t="s">
        <v>622</v>
      </c>
      <c r="D119" s="3" t="s">
        <v>572</v>
      </c>
      <c r="F119" t="s">
        <v>990</v>
      </c>
      <c r="G119" t="s">
        <v>831</v>
      </c>
      <c r="H119" t="s">
        <v>808</v>
      </c>
      <c r="I119" s="12" t="s">
        <v>1107</v>
      </c>
      <c r="K119" s="12" t="s">
        <v>1062</v>
      </c>
      <c r="L119" s="12" t="s">
        <v>1110</v>
      </c>
      <c r="M119" t="s">
        <v>836</v>
      </c>
      <c r="N119" s="12" t="s">
        <v>1190</v>
      </c>
      <c r="O119" t="s">
        <v>500</v>
      </c>
      <c r="P119" s="16">
        <v>1.3574892869999999E-3</v>
      </c>
      <c r="Q119" s="22">
        <v>1</v>
      </c>
      <c r="R119" s="16">
        <v>9.9764116212978579E-4</v>
      </c>
    </row>
    <row r="120" spans="1:18" x14ac:dyDescent="0.45">
      <c r="A120" s="3">
        <v>133</v>
      </c>
      <c r="B120" s="3" t="s">
        <v>69</v>
      </c>
      <c r="C120" s="3" t="s">
        <v>625</v>
      </c>
      <c r="D120" s="3" t="s">
        <v>501</v>
      </c>
      <c r="E120" t="s">
        <v>19</v>
      </c>
      <c r="F120" t="s">
        <v>988</v>
      </c>
      <c r="G120" t="s">
        <v>831</v>
      </c>
      <c r="H120" t="s">
        <v>808</v>
      </c>
      <c r="I120" s="12" t="s">
        <v>1107</v>
      </c>
      <c r="K120" s="12" t="s">
        <v>1062</v>
      </c>
      <c r="L120" s="12" t="s">
        <v>1110</v>
      </c>
      <c r="M120" t="s">
        <v>836</v>
      </c>
      <c r="N120" s="12" t="s">
        <v>1190</v>
      </c>
      <c r="O120" t="s">
        <v>70</v>
      </c>
      <c r="P120" s="16">
        <v>1.3574892869999999E-3</v>
      </c>
      <c r="Q120" s="22">
        <v>1</v>
      </c>
      <c r="R120" s="16">
        <v>9.9764116212978579E-4</v>
      </c>
    </row>
    <row r="121" spans="1:18" x14ac:dyDescent="0.45">
      <c r="A121" s="3">
        <v>134</v>
      </c>
      <c r="B121" s="3" t="s">
        <v>234</v>
      </c>
      <c r="C121" s="3" t="s">
        <v>739</v>
      </c>
      <c r="D121" s="3" t="s">
        <v>281</v>
      </c>
      <c r="E121" t="s">
        <v>19</v>
      </c>
      <c r="F121" t="s">
        <v>993</v>
      </c>
      <c r="G121" t="s">
        <v>831</v>
      </c>
      <c r="H121" t="s">
        <v>808</v>
      </c>
      <c r="I121" s="12" t="s">
        <v>1107</v>
      </c>
      <c r="K121" s="12" t="s">
        <v>1062</v>
      </c>
      <c r="L121" s="12" t="s">
        <v>1110</v>
      </c>
      <c r="M121" t="s">
        <v>836</v>
      </c>
      <c r="N121" s="12" t="s">
        <v>1190</v>
      </c>
      <c r="O121" t="s">
        <v>235</v>
      </c>
      <c r="P121" s="16">
        <v>5.0905848262499992E-4</v>
      </c>
      <c r="Q121" s="22">
        <v>1</v>
      </c>
      <c r="R121" s="16">
        <v>3.7411543579866967E-4</v>
      </c>
    </row>
    <row r="122" spans="1:18" x14ac:dyDescent="0.45">
      <c r="A122" s="3">
        <v>140</v>
      </c>
      <c r="B122" s="11" t="s">
        <v>663</v>
      </c>
      <c r="C122" s="11" t="s">
        <v>617</v>
      </c>
      <c r="D122" s="3" t="s">
        <v>555</v>
      </c>
      <c r="E122" s="2" t="s">
        <v>982</v>
      </c>
      <c r="F122" t="s">
        <v>984</v>
      </c>
      <c r="G122" t="s">
        <v>831</v>
      </c>
      <c r="H122" s="2" t="s">
        <v>808</v>
      </c>
      <c r="I122" s="12" t="s">
        <v>1107</v>
      </c>
      <c r="J122" s="2"/>
      <c r="K122" s="12" t="s">
        <v>1062</v>
      </c>
      <c r="L122" t="s">
        <v>1111</v>
      </c>
      <c r="M122" s="12" t="s">
        <v>838</v>
      </c>
      <c r="N122" s="12" t="s">
        <v>1190</v>
      </c>
      <c r="O122" s="2" t="s">
        <v>109</v>
      </c>
      <c r="P122" s="16">
        <v>1.429221024E-3</v>
      </c>
      <c r="Q122" s="22">
        <v>1</v>
      </c>
      <c r="R122" s="16">
        <v>1.0503579932293658E-3</v>
      </c>
    </row>
    <row r="123" spans="1:18" x14ac:dyDescent="0.45">
      <c r="A123" s="3">
        <v>141</v>
      </c>
      <c r="B123" s="11" t="s">
        <v>663</v>
      </c>
      <c r="C123" s="11" t="s">
        <v>617</v>
      </c>
      <c r="D123" s="3" t="s">
        <v>555</v>
      </c>
      <c r="E123" s="2" t="s">
        <v>982</v>
      </c>
      <c r="F123" t="s">
        <v>971</v>
      </c>
      <c r="G123" t="s">
        <v>831</v>
      </c>
      <c r="H123" s="2" t="s">
        <v>808</v>
      </c>
      <c r="I123" s="12" t="s">
        <v>1107</v>
      </c>
      <c r="J123" s="2"/>
      <c r="K123" s="12" t="s">
        <v>1062</v>
      </c>
      <c r="L123" t="s">
        <v>1111</v>
      </c>
      <c r="M123" s="12" t="s">
        <v>838</v>
      </c>
      <c r="N123" s="12" t="s">
        <v>1190</v>
      </c>
      <c r="P123" s="16">
        <v>8.0393682599999995E-4</v>
      </c>
      <c r="Q123" s="22">
        <v>1</v>
      </c>
      <c r="R123" s="16">
        <v>5.908263711915183E-4</v>
      </c>
    </row>
    <row r="124" spans="1:18" x14ac:dyDescent="0.45">
      <c r="A124" s="3">
        <v>142</v>
      </c>
      <c r="B124" s="11" t="s">
        <v>663</v>
      </c>
      <c r="C124" s="11" t="s">
        <v>617</v>
      </c>
      <c r="D124" s="3" t="s">
        <v>555</v>
      </c>
      <c r="E124" s="2" t="s">
        <v>982</v>
      </c>
      <c r="F124" t="s">
        <v>985</v>
      </c>
      <c r="G124" t="s">
        <v>831</v>
      </c>
      <c r="H124" s="2" t="s">
        <v>808</v>
      </c>
      <c r="I124" s="12" t="s">
        <v>1107</v>
      </c>
      <c r="J124" s="2"/>
      <c r="K124" s="12" t="s">
        <v>1062</v>
      </c>
      <c r="L124" t="s">
        <v>1111</v>
      </c>
      <c r="M124" s="12" t="s">
        <v>838</v>
      </c>
      <c r="N124" s="12" t="s">
        <v>1190</v>
      </c>
      <c r="P124" s="16">
        <v>1.234327248E-3</v>
      </c>
      <c r="Q124" s="22">
        <v>1</v>
      </c>
      <c r="R124" s="16">
        <v>9.0712735778899784E-4</v>
      </c>
    </row>
    <row r="125" spans="1:18" x14ac:dyDescent="0.45">
      <c r="A125" s="3">
        <v>143</v>
      </c>
      <c r="B125" s="11" t="s">
        <v>663</v>
      </c>
      <c r="C125" s="11" t="s">
        <v>617</v>
      </c>
      <c r="D125" s="3" t="s">
        <v>555</v>
      </c>
      <c r="E125" s="2" t="s">
        <v>982</v>
      </c>
      <c r="F125" t="s">
        <v>986</v>
      </c>
      <c r="G125" t="s">
        <v>831</v>
      </c>
      <c r="H125" s="2" t="s">
        <v>808</v>
      </c>
      <c r="I125" s="12" t="s">
        <v>1107</v>
      </c>
      <c r="J125" s="2"/>
      <c r="K125" s="12" t="s">
        <v>1062</v>
      </c>
      <c r="L125" t="s">
        <v>1111</v>
      </c>
      <c r="M125" s="12" t="s">
        <v>838</v>
      </c>
      <c r="N125" s="12" t="s">
        <v>1190</v>
      </c>
      <c r="P125" s="16">
        <v>6.9430907699999996E-4</v>
      </c>
      <c r="Q125" s="22">
        <v>1</v>
      </c>
      <c r="R125" s="16">
        <v>5.1025913875631123E-4</v>
      </c>
    </row>
    <row r="126" spans="1:18" x14ac:dyDescent="0.45">
      <c r="A126" s="3">
        <v>144</v>
      </c>
      <c r="B126" s="11" t="s">
        <v>663</v>
      </c>
      <c r="C126" s="11" t="s">
        <v>617</v>
      </c>
      <c r="D126" s="3" t="s">
        <v>555</v>
      </c>
      <c r="E126" s="2" t="s">
        <v>982</v>
      </c>
      <c r="F126" t="s">
        <v>1010</v>
      </c>
      <c r="G126" t="s">
        <v>831</v>
      </c>
      <c r="H126" s="2" t="s">
        <v>808</v>
      </c>
      <c r="I126" s="12" t="s">
        <v>1107</v>
      </c>
      <c r="J126" s="2"/>
      <c r="K126" s="12" t="s">
        <v>1062</v>
      </c>
      <c r="L126" t="s">
        <v>1111</v>
      </c>
      <c r="M126" s="12" t="s">
        <v>838</v>
      </c>
      <c r="N126" s="12" t="s">
        <v>1190</v>
      </c>
      <c r="P126" s="16">
        <v>9.5822773199999997E-4</v>
      </c>
      <c r="Q126" s="22">
        <v>1</v>
      </c>
      <c r="R126" s="16">
        <v>7.0421729091514303E-4</v>
      </c>
    </row>
    <row r="127" spans="1:18" x14ac:dyDescent="0.45">
      <c r="A127" s="3">
        <v>145</v>
      </c>
      <c r="B127" s="27" t="s">
        <v>663</v>
      </c>
      <c r="C127" s="27" t="s">
        <v>617</v>
      </c>
      <c r="D127" s="28" t="s">
        <v>561</v>
      </c>
      <c r="E127" s="6" t="s">
        <v>108</v>
      </c>
      <c r="F127" t="s">
        <v>1010</v>
      </c>
      <c r="G127" t="s">
        <v>831</v>
      </c>
      <c r="H127" s="6" t="s">
        <v>808</v>
      </c>
      <c r="I127" s="12" t="s">
        <v>1107</v>
      </c>
      <c r="J127" s="6"/>
      <c r="K127" s="12" t="s">
        <v>1062</v>
      </c>
      <c r="L127" t="s">
        <v>1111</v>
      </c>
      <c r="M127" s="12" t="s">
        <v>838</v>
      </c>
      <c r="N127" s="12" t="s">
        <v>1190</v>
      </c>
      <c r="O127" s="6" t="s">
        <v>109</v>
      </c>
      <c r="P127" s="16">
        <v>9.5822773199999997E-4</v>
      </c>
      <c r="Q127" s="22">
        <v>1</v>
      </c>
      <c r="R127" s="16">
        <v>7.0421729091514303E-4</v>
      </c>
    </row>
    <row r="128" spans="1:18" x14ac:dyDescent="0.45">
      <c r="A128" s="3">
        <v>146</v>
      </c>
      <c r="B128" s="3" t="s">
        <v>497</v>
      </c>
      <c r="C128" s="3" t="s">
        <v>621</v>
      </c>
      <c r="D128" s="3" t="s">
        <v>569</v>
      </c>
      <c r="F128" t="s">
        <v>990</v>
      </c>
      <c r="G128" t="s">
        <v>831</v>
      </c>
      <c r="H128" t="s">
        <v>808</v>
      </c>
      <c r="I128" s="12" t="s">
        <v>1107</v>
      </c>
      <c r="K128" s="12" t="s">
        <v>1062</v>
      </c>
      <c r="L128" t="s">
        <v>1111</v>
      </c>
      <c r="M128" s="12" t="s">
        <v>838</v>
      </c>
      <c r="N128" s="12" t="s">
        <v>1190</v>
      </c>
      <c r="O128" t="s">
        <v>498</v>
      </c>
      <c r="P128" s="16">
        <v>9.5822773199999997E-4</v>
      </c>
      <c r="Q128" s="22">
        <v>1</v>
      </c>
      <c r="R128" s="16">
        <v>7.0421729091514303E-4</v>
      </c>
    </row>
    <row r="129" spans="1:18" x14ac:dyDescent="0.45">
      <c r="A129" s="3">
        <v>147</v>
      </c>
      <c r="B129" s="3" t="s">
        <v>269</v>
      </c>
      <c r="C129" s="3" t="s">
        <v>623</v>
      </c>
      <c r="D129" s="3" t="s">
        <v>275</v>
      </c>
      <c r="E129" t="s">
        <v>42</v>
      </c>
      <c r="F129" t="s">
        <v>988</v>
      </c>
      <c r="G129" t="s">
        <v>831</v>
      </c>
      <c r="H129" t="s">
        <v>808</v>
      </c>
      <c r="I129" s="12" t="s">
        <v>1107</v>
      </c>
      <c r="K129" s="12" t="s">
        <v>1062</v>
      </c>
      <c r="L129" t="s">
        <v>1111</v>
      </c>
      <c r="M129" s="12" t="s">
        <v>838</v>
      </c>
      <c r="N129" s="12" t="s">
        <v>1190</v>
      </c>
      <c r="O129" t="s">
        <v>43</v>
      </c>
      <c r="P129" s="16">
        <v>9.5822773199999997E-4</v>
      </c>
      <c r="Q129" s="22">
        <v>1</v>
      </c>
      <c r="R129" s="16">
        <v>7.0421729091514303E-4</v>
      </c>
    </row>
    <row r="130" spans="1:18" x14ac:dyDescent="0.45">
      <c r="A130" s="3">
        <v>148</v>
      </c>
      <c r="B130" s="27" t="s">
        <v>663</v>
      </c>
      <c r="C130" s="11" t="s">
        <v>617</v>
      </c>
      <c r="D130" s="3" t="s">
        <v>555</v>
      </c>
      <c r="E130" s="2" t="s">
        <v>982</v>
      </c>
      <c r="F130" t="s">
        <v>987</v>
      </c>
      <c r="G130" t="s">
        <v>831</v>
      </c>
      <c r="H130" s="2" t="s">
        <v>808</v>
      </c>
      <c r="I130" s="12" t="s">
        <v>1107</v>
      </c>
      <c r="J130" s="2"/>
      <c r="K130" s="12" t="s">
        <v>1062</v>
      </c>
      <c r="L130" t="s">
        <v>1111</v>
      </c>
      <c r="M130" s="12" t="s">
        <v>838</v>
      </c>
      <c r="N130" s="12" t="s">
        <v>1190</v>
      </c>
      <c r="P130" s="16">
        <v>3.5933539949999988E-4</v>
      </c>
      <c r="Q130" s="22">
        <v>1</v>
      </c>
      <c r="R130" s="16">
        <v>2.6408148409317857E-4</v>
      </c>
    </row>
    <row r="131" spans="1:18" x14ac:dyDescent="0.45">
      <c r="A131" s="3">
        <v>149</v>
      </c>
      <c r="B131" s="3" t="s">
        <v>225</v>
      </c>
      <c r="C131" s="3" t="s">
        <v>741</v>
      </c>
      <c r="D131" s="3" t="s">
        <v>1017</v>
      </c>
      <c r="E131" t="s">
        <v>42</v>
      </c>
      <c r="F131" t="s">
        <v>993</v>
      </c>
      <c r="G131" t="s">
        <v>831</v>
      </c>
      <c r="H131" t="s">
        <v>808</v>
      </c>
      <c r="I131" s="12" t="s">
        <v>1107</v>
      </c>
      <c r="K131" s="12" t="s">
        <v>1062</v>
      </c>
      <c r="L131" t="s">
        <v>1111</v>
      </c>
      <c r="M131" s="12" t="s">
        <v>838</v>
      </c>
      <c r="N131" s="12" t="s">
        <v>1190</v>
      </c>
      <c r="O131" t="s">
        <v>226</v>
      </c>
      <c r="P131" s="16">
        <v>3.5933539949999988E-4</v>
      </c>
      <c r="Q131" s="22">
        <v>1</v>
      </c>
      <c r="R131" s="16">
        <v>2.6408148409317857E-4</v>
      </c>
    </row>
    <row r="132" spans="1:18" x14ac:dyDescent="0.45">
      <c r="A132" s="3">
        <v>151</v>
      </c>
      <c r="B132" s="3" t="s">
        <v>1265</v>
      </c>
      <c r="C132" s="3" t="s">
        <v>1266</v>
      </c>
      <c r="D132" s="3" t="s">
        <v>1267</v>
      </c>
      <c r="E132" t="s">
        <v>1273</v>
      </c>
      <c r="F132" t="s">
        <v>984</v>
      </c>
      <c r="G132" t="s">
        <v>830</v>
      </c>
      <c r="H132" t="s">
        <v>768</v>
      </c>
      <c r="I132" s="12" t="s">
        <v>1107</v>
      </c>
      <c r="J132" s="12"/>
      <c r="K132" s="12" t="s">
        <v>1062</v>
      </c>
      <c r="L132" s="12" t="s">
        <v>1110</v>
      </c>
      <c r="M132" s="12" t="s">
        <v>838</v>
      </c>
      <c r="N132" s="14" t="s">
        <v>1003</v>
      </c>
      <c r="O132" s="7" t="s">
        <v>1269</v>
      </c>
      <c r="P132" s="16">
        <v>1.5146030592000004E-3</v>
      </c>
      <c r="Q132" s="22">
        <v>0.75</v>
      </c>
      <c r="R132" s="16">
        <v>8.3482998942385983E-4</v>
      </c>
    </row>
    <row r="133" spans="1:18" x14ac:dyDescent="0.45">
      <c r="A133" s="3">
        <v>154</v>
      </c>
      <c r="B133" s="3" t="s">
        <v>270</v>
      </c>
      <c r="C133" s="3" t="s">
        <v>624</v>
      </c>
      <c r="D133" s="3" t="s">
        <v>276</v>
      </c>
      <c r="E133" t="s">
        <v>14</v>
      </c>
      <c r="F133" t="s">
        <v>989</v>
      </c>
      <c r="G133" t="s">
        <v>831</v>
      </c>
      <c r="H133" t="s">
        <v>808</v>
      </c>
      <c r="I133" s="12" t="s">
        <v>1107</v>
      </c>
      <c r="K133" s="12" t="s">
        <v>1062</v>
      </c>
      <c r="L133" t="s">
        <v>1111</v>
      </c>
      <c r="M133" s="12" t="s">
        <v>838</v>
      </c>
      <c r="N133" s="12" t="s">
        <v>1190</v>
      </c>
      <c r="O133" t="s">
        <v>15</v>
      </c>
      <c r="P133" s="16">
        <v>9.5822773199999997E-4</v>
      </c>
      <c r="Q133" s="22">
        <v>1</v>
      </c>
      <c r="R133" s="16">
        <v>7.0421729091514303E-4</v>
      </c>
    </row>
    <row r="134" spans="1:18" x14ac:dyDescent="0.45">
      <c r="A134" s="3">
        <v>155</v>
      </c>
      <c r="B134" s="3" t="s">
        <v>189</v>
      </c>
      <c r="C134" s="11" t="s">
        <v>551</v>
      </c>
      <c r="D134" s="3" t="s">
        <v>557</v>
      </c>
      <c r="E134" t="s">
        <v>156</v>
      </c>
      <c r="F134" t="s">
        <v>984</v>
      </c>
      <c r="G134" t="s">
        <v>831</v>
      </c>
      <c r="H134" t="s">
        <v>783</v>
      </c>
      <c r="I134" s="12" t="s">
        <v>1107</v>
      </c>
      <c r="K134" s="12" t="s">
        <v>1062</v>
      </c>
      <c r="L134" s="12" t="s">
        <v>1110</v>
      </c>
      <c r="M134" s="12" t="s">
        <v>838</v>
      </c>
      <c r="N134" s="14" t="s">
        <v>997</v>
      </c>
      <c r="O134" t="s">
        <v>155</v>
      </c>
      <c r="P134" s="16">
        <v>2.9450615039999994E-3</v>
      </c>
      <c r="Q134" s="22">
        <v>1</v>
      </c>
      <c r="R134" s="16">
        <v>2.1643740466544504E-3</v>
      </c>
    </row>
    <row r="135" spans="1:18" x14ac:dyDescent="0.45">
      <c r="A135" s="3">
        <v>156</v>
      </c>
      <c r="B135" s="11" t="s">
        <v>662</v>
      </c>
      <c r="C135" s="11" t="s">
        <v>550</v>
      </c>
      <c r="D135" s="3" t="s">
        <v>554</v>
      </c>
      <c r="E135" s="2" t="s">
        <v>107</v>
      </c>
      <c r="F135" t="s">
        <v>984</v>
      </c>
      <c r="G135" t="s">
        <v>831</v>
      </c>
      <c r="H135" t="s">
        <v>783</v>
      </c>
      <c r="I135" s="12" t="s">
        <v>1107</v>
      </c>
      <c r="J135" s="2"/>
      <c r="K135" s="12" t="s">
        <v>1062</v>
      </c>
      <c r="L135" s="12" t="s">
        <v>1110</v>
      </c>
      <c r="M135" s="12" t="s">
        <v>838</v>
      </c>
      <c r="N135" s="12" t="s">
        <v>1190</v>
      </c>
      <c r="O135" s="2" t="s">
        <v>128</v>
      </c>
      <c r="P135" s="16">
        <v>2.9450615039999994E-3</v>
      </c>
      <c r="Q135" s="22">
        <v>1</v>
      </c>
      <c r="R135" s="16">
        <v>2.1643740466544504E-3</v>
      </c>
    </row>
    <row r="136" spans="1:18" x14ac:dyDescent="0.45">
      <c r="A136" s="3">
        <v>159</v>
      </c>
      <c r="B136" s="3" t="s">
        <v>189</v>
      </c>
      <c r="C136" s="11" t="s">
        <v>551</v>
      </c>
      <c r="D136" s="3" t="s">
        <v>557</v>
      </c>
      <c r="E136" t="s">
        <v>156</v>
      </c>
      <c r="F136" t="s">
        <v>985</v>
      </c>
      <c r="G136" t="s">
        <v>831</v>
      </c>
      <c r="H136" t="s">
        <v>783</v>
      </c>
      <c r="I136" s="12" t="s">
        <v>1107</v>
      </c>
      <c r="K136" s="12" t="s">
        <v>1062</v>
      </c>
      <c r="L136" s="12" t="s">
        <v>1110</v>
      </c>
      <c r="M136" s="12" t="s">
        <v>838</v>
      </c>
      <c r="N136" s="14" t="s">
        <v>997</v>
      </c>
      <c r="P136" s="16">
        <v>2.5434622079999998E-3</v>
      </c>
      <c r="Q136" s="22">
        <v>1</v>
      </c>
      <c r="R136" s="16">
        <v>1.8692321312015711E-3</v>
      </c>
    </row>
    <row r="137" spans="1:18" x14ac:dyDescent="0.45">
      <c r="A137" s="3">
        <v>160</v>
      </c>
      <c r="B137" s="11" t="s">
        <v>662</v>
      </c>
      <c r="C137" s="11" t="s">
        <v>550</v>
      </c>
      <c r="D137" s="3" t="s">
        <v>554</v>
      </c>
      <c r="E137" s="2" t="s">
        <v>107</v>
      </c>
      <c r="F137" t="s">
        <v>985</v>
      </c>
      <c r="G137" t="s">
        <v>831</v>
      </c>
      <c r="H137" t="s">
        <v>783</v>
      </c>
      <c r="I137" s="12" t="s">
        <v>1107</v>
      </c>
      <c r="J137" s="2"/>
      <c r="K137" s="12" t="s">
        <v>1062</v>
      </c>
      <c r="L137" s="12" t="s">
        <v>1110</v>
      </c>
      <c r="M137" s="12" t="s">
        <v>838</v>
      </c>
      <c r="N137" s="12" t="s">
        <v>1190</v>
      </c>
      <c r="O137" s="2"/>
      <c r="P137" s="16">
        <v>2.5434622079999998E-3</v>
      </c>
      <c r="Q137" s="22">
        <v>1</v>
      </c>
      <c r="R137" s="16">
        <v>1.8692321312015711E-3</v>
      </c>
    </row>
    <row r="138" spans="1:18" x14ac:dyDescent="0.45">
      <c r="A138" s="3">
        <v>161</v>
      </c>
      <c r="B138" s="3" t="s">
        <v>189</v>
      </c>
      <c r="C138" s="11" t="s">
        <v>551</v>
      </c>
      <c r="D138" s="3" t="s">
        <v>557</v>
      </c>
      <c r="E138" t="s">
        <v>156</v>
      </c>
      <c r="F138" t="s">
        <v>986</v>
      </c>
      <c r="G138" t="s">
        <v>831</v>
      </c>
      <c r="H138" t="s">
        <v>783</v>
      </c>
      <c r="I138" s="12" t="s">
        <v>1107</v>
      </c>
      <c r="K138" s="12" t="s">
        <v>1062</v>
      </c>
      <c r="L138" s="12" t="s">
        <v>1110</v>
      </c>
      <c r="M138" s="12" t="s">
        <v>838</v>
      </c>
      <c r="N138" s="14" t="s">
        <v>997</v>
      </c>
      <c r="P138" s="16">
        <v>1.4306974919999999E-3</v>
      </c>
      <c r="Q138" s="22">
        <v>1</v>
      </c>
      <c r="R138" s="16">
        <v>1.0514430738008838E-3</v>
      </c>
    </row>
    <row r="139" spans="1:18" x14ac:dyDescent="0.45">
      <c r="A139" s="3">
        <v>162</v>
      </c>
      <c r="B139" s="11" t="s">
        <v>662</v>
      </c>
      <c r="C139" s="11" t="s">
        <v>550</v>
      </c>
      <c r="D139" s="3" t="s">
        <v>554</v>
      </c>
      <c r="E139" s="2" t="s">
        <v>107</v>
      </c>
      <c r="F139" t="s">
        <v>986</v>
      </c>
      <c r="G139" t="s">
        <v>831</v>
      </c>
      <c r="H139" t="s">
        <v>783</v>
      </c>
      <c r="I139" s="12" t="s">
        <v>1107</v>
      </c>
      <c r="J139" s="2"/>
      <c r="K139" s="12" t="s">
        <v>1062</v>
      </c>
      <c r="L139" s="12" t="s">
        <v>1110</v>
      </c>
      <c r="M139" s="12" t="s">
        <v>838</v>
      </c>
      <c r="N139" s="12" t="s">
        <v>1190</v>
      </c>
      <c r="O139" s="2"/>
      <c r="P139" s="16">
        <v>1.4306974919999999E-3</v>
      </c>
      <c r="Q139" s="22">
        <v>1</v>
      </c>
      <c r="R139" s="16">
        <v>1.0514430738008838E-3</v>
      </c>
    </row>
    <row r="140" spans="1:18" x14ac:dyDescent="0.45">
      <c r="A140" s="3">
        <v>163</v>
      </c>
      <c r="B140" s="3" t="s">
        <v>189</v>
      </c>
      <c r="C140" s="11" t="s">
        <v>551</v>
      </c>
      <c r="D140" s="3" t="s">
        <v>557</v>
      </c>
      <c r="E140" t="s">
        <v>156</v>
      </c>
      <c r="F140" t="s">
        <v>1010</v>
      </c>
      <c r="G140" t="s">
        <v>831</v>
      </c>
      <c r="H140" t="s">
        <v>783</v>
      </c>
      <c r="I140" s="12" t="s">
        <v>1107</v>
      </c>
      <c r="K140" s="12" t="s">
        <v>1062</v>
      </c>
      <c r="L140" s="12" t="s">
        <v>1110</v>
      </c>
      <c r="M140" s="12" t="s">
        <v>838</v>
      </c>
      <c r="N140" s="14" t="s">
        <v>997</v>
      </c>
      <c r="P140" s="16">
        <v>1.974529872E-3</v>
      </c>
      <c r="Q140" s="22">
        <v>1</v>
      </c>
      <c r="R140" s="16">
        <v>1.451114417643325E-3</v>
      </c>
    </row>
    <row r="141" spans="1:18" x14ac:dyDescent="0.45">
      <c r="A141" s="3">
        <v>164</v>
      </c>
      <c r="B141" s="3" t="s">
        <v>189</v>
      </c>
      <c r="C141" s="11" t="s">
        <v>551</v>
      </c>
      <c r="D141" s="3" t="s">
        <v>618</v>
      </c>
      <c r="E141" t="s">
        <v>156</v>
      </c>
      <c r="F141" t="s">
        <v>1010</v>
      </c>
      <c r="G141" t="s">
        <v>831</v>
      </c>
      <c r="H141" t="s">
        <v>783</v>
      </c>
      <c r="I141" s="12" t="s">
        <v>1107</v>
      </c>
      <c r="K141" s="12" t="s">
        <v>1062</v>
      </c>
      <c r="L141" s="12" t="s">
        <v>1110</v>
      </c>
      <c r="M141" s="12" t="s">
        <v>838</v>
      </c>
      <c r="N141" s="14" t="s">
        <v>997</v>
      </c>
      <c r="O141" t="s">
        <v>155</v>
      </c>
      <c r="P141" s="16">
        <v>1.974529872E-3</v>
      </c>
      <c r="Q141" s="22">
        <v>1</v>
      </c>
      <c r="R141" s="16">
        <v>1.451114417643325E-3</v>
      </c>
    </row>
    <row r="142" spans="1:18" x14ac:dyDescent="0.45">
      <c r="A142" s="3">
        <v>165</v>
      </c>
      <c r="B142" s="11" t="s">
        <v>662</v>
      </c>
      <c r="C142" s="11" t="s">
        <v>550</v>
      </c>
      <c r="D142" s="3" t="s">
        <v>560</v>
      </c>
      <c r="E142" s="2" t="s">
        <v>828</v>
      </c>
      <c r="F142" t="s">
        <v>1010</v>
      </c>
      <c r="G142" t="s">
        <v>831</v>
      </c>
      <c r="H142" t="s">
        <v>783</v>
      </c>
      <c r="I142" s="12" t="s">
        <v>1107</v>
      </c>
      <c r="J142" s="2"/>
      <c r="K142" s="12" t="s">
        <v>1062</v>
      </c>
      <c r="L142" s="12" t="s">
        <v>1110</v>
      </c>
      <c r="M142" s="12" t="s">
        <v>838</v>
      </c>
      <c r="N142" s="14" t="s">
        <v>1003</v>
      </c>
      <c r="O142" s="2" t="s">
        <v>128</v>
      </c>
      <c r="P142" s="16">
        <v>1.974529872E-3</v>
      </c>
      <c r="Q142" s="22">
        <v>1</v>
      </c>
      <c r="R142" s="16">
        <v>1.451114417643325E-3</v>
      </c>
    </row>
    <row r="143" spans="1:18" x14ac:dyDescent="0.45">
      <c r="A143" s="3">
        <v>166</v>
      </c>
      <c r="B143" s="11" t="s">
        <v>662</v>
      </c>
      <c r="C143" s="11" t="s">
        <v>550</v>
      </c>
      <c r="D143" s="3" t="s">
        <v>554</v>
      </c>
      <c r="E143" s="2" t="s">
        <v>107</v>
      </c>
      <c r="F143" t="s">
        <v>1010</v>
      </c>
      <c r="G143" t="s">
        <v>831</v>
      </c>
      <c r="H143" t="s">
        <v>783</v>
      </c>
      <c r="I143" s="12" t="s">
        <v>1107</v>
      </c>
      <c r="J143" s="2"/>
      <c r="K143" s="12" t="s">
        <v>1062</v>
      </c>
      <c r="L143" s="12" t="s">
        <v>1110</v>
      </c>
      <c r="M143" s="12" t="s">
        <v>838</v>
      </c>
      <c r="N143" s="12" t="s">
        <v>1190</v>
      </c>
      <c r="P143" s="16">
        <v>1.974529872E-3</v>
      </c>
      <c r="Q143" s="22">
        <v>1</v>
      </c>
      <c r="R143" s="16">
        <v>1.451114417643325E-3</v>
      </c>
    </row>
    <row r="144" spans="1:18" x14ac:dyDescent="0.45">
      <c r="A144" s="3">
        <v>167</v>
      </c>
      <c r="B144" s="3" t="s">
        <v>145</v>
      </c>
      <c r="C144" s="3" t="s">
        <v>196</v>
      </c>
      <c r="D144" s="3" t="s">
        <v>256</v>
      </c>
      <c r="E144" t="s">
        <v>132</v>
      </c>
      <c r="F144" t="s">
        <v>988</v>
      </c>
      <c r="G144" t="s">
        <v>831</v>
      </c>
      <c r="H144" t="s">
        <v>783</v>
      </c>
      <c r="I144" s="12" t="s">
        <v>1107</v>
      </c>
      <c r="K144" s="12" t="s">
        <v>1062</v>
      </c>
      <c r="L144" s="12" t="s">
        <v>1110</v>
      </c>
      <c r="M144" s="12" t="s">
        <v>838</v>
      </c>
      <c r="N144" s="14" t="s">
        <v>997</v>
      </c>
      <c r="O144" t="s">
        <v>133</v>
      </c>
      <c r="P144" s="16">
        <v>1.974529872E-3</v>
      </c>
      <c r="Q144" s="22">
        <v>1</v>
      </c>
      <c r="R144" s="16">
        <v>1.451114417643325E-3</v>
      </c>
    </row>
    <row r="145" spans="1:18" x14ac:dyDescent="0.45">
      <c r="A145" s="3">
        <v>168</v>
      </c>
      <c r="B145" s="3" t="s">
        <v>96</v>
      </c>
      <c r="C145" s="3" t="s">
        <v>100</v>
      </c>
      <c r="D145" s="3" t="s">
        <v>255</v>
      </c>
      <c r="E145" t="s">
        <v>143</v>
      </c>
      <c r="F145" t="s">
        <v>988</v>
      </c>
      <c r="G145" t="s">
        <v>831</v>
      </c>
      <c r="H145" t="s">
        <v>783</v>
      </c>
      <c r="I145" s="12" t="s">
        <v>1107</v>
      </c>
      <c r="K145" s="12" t="s">
        <v>1062</v>
      </c>
      <c r="L145" s="12" t="s">
        <v>1110</v>
      </c>
      <c r="M145" s="12" t="s">
        <v>838</v>
      </c>
      <c r="N145" s="12" t="s">
        <v>1190</v>
      </c>
      <c r="O145" t="s">
        <v>129</v>
      </c>
      <c r="P145" s="16">
        <v>1.974529872E-3</v>
      </c>
      <c r="Q145" s="22">
        <v>1</v>
      </c>
      <c r="R145" s="16">
        <v>1.451114417643325E-3</v>
      </c>
    </row>
    <row r="146" spans="1:18" x14ac:dyDescent="0.45">
      <c r="A146" s="3">
        <v>169</v>
      </c>
      <c r="B146" s="3" t="s">
        <v>189</v>
      </c>
      <c r="C146" s="11" t="s">
        <v>551</v>
      </c>
      <c r="D146" s="3" t="s">
        <v>557</v>
      </c>
      <c r="E146" t="s">
        <v>156</v>
      </c>
      <c r="F146" t="s">
        <v>987</v>
      </c>
      <c r="G146" t="s">
        <v>831</v>
      </c>
      <c r="H146" t="s">
        <v>783</v>
      </c>
      <c r="I146" s="12" t="s">
        <v>1107</v>
      </c>
      <c r="K146" s="12" t="s">
        <v>1062</v>
      </c>
      <c r="L146" s="12" t="s">
        <v>1110</v>
      </c>
      <c r="M146" s="12" t="s">
        <v>838</v>
      </c>
      <c r="N146" s="14" t="s">
        <v>997</v>
      </c>
      <c r="P146" s="16">
        <v>7.4044870199999979E-4</v>
      </c>
      <c r="Q146" s="22">
        <v>1</v>
      </c>
      <c r="R146" s="16">
        <v>5.4416790661624673E-4</v>
      </c>
    </row>
    <row r="147" spans="1:18" x14ac:dyDescent="0.45">
      <c r="A147" s="3">
        <v>170</v>
      </c>
      <c r="B147" s="11" t="s">
        <v>662</v>
      </c>
      <c r="C147" s="11" t="s">
        <v>550</v>
      </c>
      <c r="D147" s="3" t="s">
        <v>554</v>
      </c>
      <c r="E147" s="2" t="s">
        <v>107</v>
      </c>
      <c r="F147" t="s">
        <v>987</v>
      </c>
      <c r="G147" t="s">
        <v>831</v>
      </c>
      <c r="H147" t="s">
        <v>783</v>
      </c>
      <c r="I147" s="12" t="s">
        <v>1107</v>
      </c>
      <c r="J147" s="2"/>
      <c r="K147" s="12" t="s">
        <v>1062</v>
      </c>
      <c r="L147" s="12" t="s">
        <v>1110</v>
      </c>
      <c r="M147" s="12" t="s">
        <v>838</v>
      </c>
      <c r="N147" s="12" t="s">
        <v>1190</v>
      </c>
      <c r="O147" s="2"/>
      <c r="P147" s="16">
        <v>7.4044870199999979E-4</v>
      </c>
      <c r="Q147" s="22">
        <v>1</v>
      </c>
      <c r="R147" s="16">
        <v>5.4416790661624673E-4</v>
      </c>
    </row>
    <row r="148" spans="1:18" x14ac:dyDescent="0.45">
      <c r="A148" s="3">
        <v>171</v>
      </c>
      <c r="B148" s="3" t="s">
        <v>199</v>
      </c>
      <c r="C148" s="3" t="s">
        <v>1572</v>
      </c>
      <c r="D148" s="3" t="s">
        <v>1573</v>
      </c>
      <c r="E148" t="s">
        <v>598</v>
      </c>
      <c r="F148" t="s">
        <v>993</v>
      </c>
      <c r="G148" t="s">
        <v>831</v>
      </c>
      <c r="H148" t="s">
        <v>783</v>
      </c>
      <c r="I148" s="12" t="s">
        <v>1107</v>
      </c>
      <c r="K148" s="12" t="s">
        <v>1062</v>
      </c>
      <c r="L148" s="12" t="s">
        <v>1110</v>
      </c>
      <c r="M148" s="12" t="s">
        <v>838</v>
      </c>
      <c r="N148" s="14" t="s">
        <v>997</v>
      </c>
      <c r="O148" t="s">
        <v>596</v>
      </c>
      <c r="P148" s="16">
        <v>7.4044870199999979E-4</v>
      </c>
      <c r="Q148" s="22">
        <v>1</v>
      </c>
      <c r="R148" s="16">
        <v>5.4416790661624673E-4</v>
      </c>
    </row>
    <row r="149" spans="1:18" x14ac:dyDescent="0.45">
      <c r="A149" s="3">
        <v>172</v>
      </c>
      <c r="B149" s="3" t="s">
        <v>197</v>
      </c>
      <c r="C149" s="3" t="s">
        <v>198</v>
      </c>
      <c r="D149" s="3" t="s">
        <v>595</v>
      </c>
      <c r="E149" t="s">
        <v>597</v>
      </c>
      <c r="F149" t="s">
        <v>993</v>
      </c>
      <c r="G149" t="s">
        <v>831</v>
      </c>
      <c r="H149" t="s">
        <v>783</v>
      </c>
      <c r="I149" s="12" t="s">
        <v>1107</v>
      </c>
      <c r="K149" s="12" t="s">
        <v>1062</v>
      </c>
      <c r="L149" s="12" t="s">
        <v>1110</v>
      </c>
      <c r="M149" s="12" t="s">
        <v>838</v>
      </c>
      <c r="N149" s="12" t="s">
        <v>1190</v>
      </c>
      <c r="O149" t="s">
        <v>594</v>
      </c>
      <c r="P149" s="16">
        <v>7.4044870199999979E-4</v>
      </c>
      <c r="Q149" s="22">
        <v>1</v>
      </c>
      <c r="R149" s="16">
        <v>5.4416790661624673E-4</v>
      </c>
    </row>
    <row r="150" spans="1:18" x14ac:dyDescent="0.45">
      <c r="A150" s="3">
        <v>173</v>
      </c>
      <c r="B150" s="3" t="s">
        <v>1265</v>
      </c>
      <c r="C150" s="3" t="s">
        <v>1266</v>
      </c>
      <c r="D150" s="3" t="s">
        <v>1267</v>
      </c>
      <c r="E150" t="s">
        <v>1273</v>
      </c>
      <c r="F150" t="s">
        <v>1010</v>
      </c>
      <c r="G150" t="s">
        <v>830</v>
      </c>
      <c r="H150" t="s">
        <v>768</v>
      </c>
      <c r="I150" s="12" t="s">
        <v>1107</v>
      </c>
      <c r="J150" s="12"/>
      <c r="K150" s="12" t="s">
        <v>1062</v>
      </c>
      <c r="L150" s="12" t="s">
        <v>1110</v>
      </c>
      <c r="M150" s="12" t="s">
        <v>838</v>
      </c>
      <c r="N150" s="14" t="s">
        <v>1003</v>
      </c>
      <c r="P150" s="16">
        <v>1.0154725055999999E-3</v>
      </c>
      <c r="Q150" s="22">
        <v>0.75</v>
      </c>
      <c r="R150" s="16">
        <v>5.5971556109099671E-4</v>
      </c>
    </row>
    <row r="151" spans="1:18" x14ac:dyDescent="0.45">
      <c r="A151" s="3">
        <v>174</v>
      </c>
      <c r="B151" s="3" t="s">
        <v>1265</v>
      </c>
      <c r="C151" s="3" t="s">
        <v>1266</v>
      </c>
      <c r="D151" s="3" t="s">
        <v>1267</v>
      </c>
      <c r="E151" t="s">
        <v>1273</v>
      </c>
      <c r="F151" t="s">
        <v>985</v>
      </c>
      <c r="G151" t="s">
        <v>830</v>
      </c>
      <c r="H151" t="s">
        <v>768</v>
      </c>
      <c r="I151" s="12" t="s">
        <v>1107</v>
      </c>
      <c r="J151" s="12"/>
      <c r="K151" s="12" t="s">
        <v>1062</v>
      </c>
      <c r="L151" s="12" t="s">
        <v>1110</v>
      </c>
      <c r="M151" s="12" t="s">
        <v>838</v>
      </c>
      <c r="N151" s="14" t="s">
        <v>1003</v>
      </c>
      <c r="P151" s="16">
        <v>1.3080662784E-3</v>
      </c>
      <c r="Q151" s="22">
        <v>0.75</v>
      </c>
      <c r="R151" s="16">
        <v>7.2098953632060599E-4</v>
      </c>
    </row>
    <row r="152" spans="1:18" x14ac:dyDescent="0.45">
      <c r="A152" s="3">
        <v>176</v>
      </c>
      <c r="B152" s="3" t="s">
        <v>929</v>
      </c>
      <c r="C152" s="3" t="s">
        <v>911</v>
      </c>
      <c r="D152" s="3" t="s">
        <v>912</v>
      </c>
      <c r="E152" t="s">
        <v>913</v>
      </c>
      <c r="F152" t="s">
        <v>995</v>
      </c>
      <c r="G152" t="s">
        <v>831</v>
      </c>
      <c r="H152" t="s">
        <v>783</v>
      </c>
      <c r="I152" s="12" t="s">
        <v>1107</v>
      </c>
      <c r="K152" s="12" t="s">
        <v>1062</v>
      </c>
      <c r="L152" s="12" t="s">
        <v>1110</v>
      </c>
      <c r="M152" s="12" t="s">
        <v>838</v>
      </c>
      <c r="N152" s="12" t="s">
        <v>1190</v>
      </c>
      <c r="O152" t="s">
        <v>914</v>
      </c>
      <c r="P152" s="16">
        <v>7.4044870199999979E-4</v>
      </c>
      <c r="Q152" s="22">
        <v>1</v>
      </c>
      <c r="R152" s="16">
        <v>5.4416790661624673E-4</v>
      </c>
    </row>
    <row r="153" spans="1:18" x14ac:dyDescent="0.45">
      <c r="A153" s="3">
        <v>177</v>
      </c>
      <c r="B153" s="3" t="s">
        <v>98</v>
      </c>
      <c r="C153" s="3" t="s">
        <v>101</v>
      </c>
      <c r="D153" s="3" t="s">
        <v>258</v>
      </c>
      <c r="E153" t="s">
        <v>131</v>
      </c>
      <c r="F153" t="s">
        <v>989</v>
      </c>
      <c r="G153" t="s">
        <v>831</v>
      </c>
      <c r="H153" t="s">
        <v>783</v>
      </c>
      <c r="I153" s="12" t="s">
        <v>1107</v>
      </c>
      <c r="K153" s="12" t="s">
        <v>1062</v>
      </c>
      <c r="L153" s="12" t="s">
        <v>1110</v>
      </c>
      <c r="M153" s="12" t="s">
        <v>838</v>
      </c>
      <c r="N153" s="12" t="s">
        <v>1190</v>
      </c>
      <c r="O153" t="s">
        <v>94</v>
      </c>
      <c r="P153" s="16">
        <v>1.974529872E-3</v>
      </c>
      <c r="Q153" s="22">
        <v>1</v>
      </c>
      <c r="R153" s="16">
        <v>1.451114417643325E-3</v>
      </c>
    </row>
    <row r="154" spans="1:18" x14ac:dyDescent="0.45">
      <c r="A154" s="3">
        <v>178</v>
      </c>
      <c r="B154" s="3" t="s">
        <v>600</v>
      </c>
      <c r="C154" s="3" t="s">
        <v>1574</v>
      </c>
      <c r="D154" s="3" t="s">
        <v>779</v>
      </c>
      <c r="F154" t="s">
        <v>988</v>
      </c>
      <c r="G154" t="s">
        <v>831</v>
      </c>
      <c r="H154" t="s">
        <v>783</v>
      </c>
      <c r="I154" s="12" t="s">
        <v>1107</v>
      </c>
      <c r="K154" s="12" t="s">
        <v>1062</v>
      </c>
      <c r="L154" s="12" t="s">
        <v>1110</v>
      </c>
      <c r="M154" t="s">
        <v>837</v>
      </c>
      <c r="N154" s="12" t="s">
        <v>1190</v>
      </c>
      <c r="O154" t="s">
        <v>604</v>
      </c>
      <c r="P154" s="16">
        <v>1.64544156E-4</v>
      </c>
      <c r="Q154" s="22">
        <v>1</v>
      </c>
      <c r="R154" s="16">
        <v>1.2092620147027709E-4</v>
      </c>
    </row>
    <row r="155" spans="1:18" x14ac:dyDescent="0.45">
      <c r="A155" s="3">
        <v>179</v>
      </c>
      <c r="B155" s="3" t="s">
        <v>811</v>
      </c>
      <c r="C155" s="3" t="s">
        <v>1575</v>
      </c>
      <c r="D155" s="3" t="s">
        <v>825</v>
      </c>
      <c r="F155" t="s">
        <v>988</v>
      </c>
      <c r="G155" t="s">
        <v>831</v>
      </c>
      <c r="H155" t="s">
        <v>783</v>
      </c>
      <c r="I155" s="12" t="s">
        <v>1107</v>
      </c>
      <c r="K155" s="12" t="s">
        <v>1062</v>
      </c>
      <c r="L155" s="12" t="s">
        <v>1110</v>
      </c>
      <c r="M155" t="s">
        <v>835</v>
      </c>
      <c r="N155" s="12" t="s">
        <v>1190</v>
      </c>
      <c r="O155" t="s">
        <v>83</v>
      </c>
      <c r="P155" s="16">
        <v>1.64544156E-4</v>
      </c>
      <c r="Q155" s="22">
        <v>1</v>
      </c>
      <c r="R155" s="16">
        <v>1.2092620147027709E-4</v>
      </c>
    </row>
    <row r="156" spans="1:18" x14ac:dyDescent="0.45">
      <c r="A156" s="3">
        <v>180</v>
      </c>
      <c r="B156" s="3" t="s">
        <v>113</v>
      </c>
      <c r="C156" s="3" t="s">
        <v>736</v>
      </c>
      <c r="D156" s="3" t="s">
        <v>277</v>
      </c>
      <c r="E156" s="2" t="s">
        <v>116</v>
      </c>
      <c r="F156" t="s">
        <v>988</v>
      </c>
      <c r="G156" t="s">
        <v>831</v>
      </c>
      <c r="H156" t="s">
        <v>783</v>
      </c>
      <c r="I156" s="12" t="s">
        <v>1107</v>
      </c>
      <c r="J156" s="2"/>
      <c r="K156" s="12" t="s">
        <v>1062</v>
      </c>
      <c r="L156" s="12" t="s">
        <v>1110</v>
      </c>
      <c r="M156" t="s">
        <v>836</v>
      </c>
      <c r="N156" s="12" t="s">
        <v>1190</v>
      </c>
      <c r="O156" s="2" t="s">
        <v>118</v>
      </c>
      <c r="P156" s="16">
        <v>4.9363246800000001E-4</v>
      </c>
      <c r="Q156" s="22">
        <v>1</v>
      </c>
      <c r="R156" s="16">
        <v>3.6277860441083124E-4</v>
      </c>
    </row>
    <row r="157" spans="1:18" x14ac:dyDescent="0.45">
      <c r="A157" s="3">
        <v>181</v>
      </c>
      <c r="B157" s="11" t="s">
        <v>664</v>
      </c>
      <c r="C157" s="11" t="s">
        <v>745</v>
      </c>
      <c r="D157" s="3" t="s">
        <v>556</v>
      </c>
      <c r="E157" s="2" t="s">
        <v>983</v>
      </c>
      <c r="F157" t="s">
        <v>984</v>
      </c>
      <c r="G157" t="s">
        <v>831</v>
      </c>
      <c r="H157" t="s">
        <v>783</v>
      </c>
      <c r="I157" s="12" t="s">
        <v>1107</v>
      </c>
      <c r="J157" s="2"/>
      <c r="K157" s="12" t="s">
        <v>1062</v>
      </c>
      <c r="L157" t="s">
        <v>1111</v>
      </c>
      <c r="M157" s="12" t="s">
        <v>838</v>
      </c>
      <c r="N157" s="12" t="s">
        <v>1190</v>
      </c>
      <c r="O157" s="2" t="s">
        <v>111</v>
      </c>
      <c r="P157" s="16">
        <v>5.1971673599999991E-4</v>
      </c>
      <c r="Q157" s="22">
        <v>1</v>
      </c>
      <c r="R157" s="16">
        <v>3.819483611743148E-4</v>
      </c>
    </row>
    <row r="158" spans="1:18" x14ac:dyDescent="0.45">
      <c r="A158" s="3">
        <v>183</v>
      </c>
      <c r="B158" s="11" t="s">
        <v>664</v>
      </c>
      <c r="C158" s="11" t="s">
        <v>745</v>
      </c>
      <c r="D158" s="3" t="s">
        <v>556</v>
      </c>
      <c r="E158" s="2" t="s">
        <v>983</v>
      </c>
      <c r="F158" t="s">
        <v>985</v>
      </c>
      <c r="G158" t="s">
        <v>831</v>
      </c>
      <c r="H158" t="s">
        <v>783</v>
      </c>
      <c r="I158" s="12" t="s">
        <v>1107</v>
      </c>
      <c r="J158" s="2"/>
      <c r="K158" s="12" t="s">
        <v>1062</v>
      </c>
      <c r="L158" t="s">
        <v>1111</v>
      </c>
      <c r="M158" s="12" t="s">
        <v>838</v>
      </c>
      <c r="N158" s="12" t="s">
        <v>1190</v>
      </c>
      <c r="P158" s="16">
        <v>4.4884627200000003E-4</v>
      </c>
      <c r="Q158" s="22">
        <v>1</v>
      </c>
      <c r="R158" s="16">
        <v>3.2986449374145378E-4</v>
      </c>
    </row>
    <row r="159" spans="1:18" x14ac:dyDescent="0.45">
      <c r="A159" s="3">
        <v>184</v>
      </c>
      <c r="B159" s="11" t="s">
        <v>664</v>
      </c>
      <c r="C159" s="11" t="s">
        <v>745</v>
      </c>
      <c r="D159" s="3" t="s">
        <v>556</v>
      </c>
      <c r="E159" s="2" t="s">
        <v>983</v>
      </c>
      <c r="F159" t="s">
        <v>986</v>
      </c>
      <c r="G159" t="s">
        <v>831</v>
      </c>
      <c r="H159" t="s">
        <v>783</v>
      </c>
      <c r="I159" s="12" t="s">
        <v>1107</v>
      </c>
      <c r="J159" s="2"/>
      <c r="K159" s="12" t="s">
        <v>1062</v>
      </c>
      <c r="L159" t="s">
        <v>1111</v>
      </c>
      <c r="M159" s="12" t="s">
        <v>838</v>
      </c>
      <c r="N159" s="12" t="s">
        <v>1190</v>
      </c>
      <c r="P159" s="16">
        <v>2.5247602799999996E-4</v>
      </c>
      <c r="Q159" s="22">
        <v>1</v>
      </c>
      <c r="R159" s="16">
        <v>1.8554877772956771E-4</v>
      </c>
    </row>
    <row r="160" spans="1:18" x14ac:dyDescent="0.45">
      <c r="A160" s="3">
        <v>185</v>
      </c>
      <c r="B160" s="11" t="s">
        <v>664</v>
      </c>
      <c r="C160" s="11" t="s">
        <v>745</v>
      </c>
      <c r="D160" s="3" t="s">
        <v>556</v>
      </c>
      <c r="E160" s="2" t="s">
        <v>983</v>
      </c>
      <c r="F160" t="s">
        <v>1010</v>
      </c>
      <c r="G160" t="s">
        <v>831</v>
      </c>
      <c r="H160" t="s">
        <v>783</v>
      </c>
      <c r="I160" s="12" t="s">
        <v>1107</v>
      </c>
      <c r="J160" s="2"/>
      <c r="K160" s="12" t="s">
        <v>1062</v>
      </c>
      <c r="L160" t="s">
        <v>1111</v>
      </c>
      <c r="M160" s="12" t="s">
        <v>838</v>
      </c>
      <c r="N160" s="12" t="s">
        <v>1190</v>
      </c>
      <c r="P160" s="16">
        <v>3.4844644799999998E-4</v>
      </c>
      <c r="Q160" s="22">
        <v>1</v>
      </c>
      <c r="R160" s="16">
        <v>2.5607901487823383E-4</v>
      </c>
    </row>
    <row r="161" spans="1:18" x14ac:dyDescent="0.45">
      <c r="A161" s="3">
        <v>186</v>
      </c>
      <c r="B161" s="11" t="s">
        <v>664</v>
      </c>
      <c r="C161" s="11" t="s">
        <v>745</v>
      </c>
      <c r="D161" s="3" t="s">
        <v>562</v>
      </c>
      <c r="E161" s="2" t="s">
        <v>110</v>
      </c>
      <c r="F161" t="s">
        <v>1010</v>
      </c>
      <c r="G161" t="s">
        <v>831</v>
      </c>
      <c r="H161" t="s">
        <v>783</v>
      </c>
      <c r="I161" s="12" t="s">
        <v>1107</v>
      </c>
      <c r="J161" s="2"/>
      <c r="K161" s="12" t="s">
        <v>1062</v>
      </c>
      <c r="L161" t="s">
        <v>1111</v>
      </c>
      <c r="M161" s="12" t="s">
        <v>838</v>
      </c>
      <c r="N161" s="12" t="s">
        <v>1190</v>
      </c>
      <c r="O161" s="2" t="s">
        <v>111</v>
      </c>
      <c r="P161" s="16">
        <v>3.4844644799999998E-4</v>
      </c>
      <c r="Q161" s="22">
        <v>1</v>
      </c>
      <c r="R161" s="16">
        <v>2.5607901487823383E-4</v>
      </c>
    </row>
    <row r="162" spans="1:18" x14ac:dyDescent="0.45">
      <c r="A162" s="3">
        <v>187</v>
      </c>
      <c r="B162" s="3" t="s">
        <v>241</v>
      </c>
      <c r="C162" s="3" t="s">
        <v>734</v>
      </c>
      <c r="D162" s="3" t="s">
        <v>265</v>
      </c>
      <c r="E162" t="s">
        <v>144</v>
      </c>
      <c r="F162" t="s">
        <v>988</v>
      </c>
      <c r="G162" t="s">
        <v>831</v>
      </c>
      <c r="H162" t="s">
        <v>783</v>
      </c>
      <c r="I162" s="12" t="s">
        <v>1107</v>
      </c>
      <c r="K162" s="12" t="s">
        <v>1062</v>
      </c>
      <c r="L162" t="s">
        <v>1111</v>
      </c>
      <c r="M162" s="12" t="s">
        <v>838</v>
      </c>
      <c r="N162" s="12" t="s">
        <v>1190</v>
      </c>
      <c r="O162" t="s">
        <v>130</v>
      </c>
      <c r="P162" s="16">
        <v>3.4844644799999998E-4</v>
      </c>
      <c r="Q162" s="22">
        <v>1</v>
      </c>
      <c r="R162" s="16">
        <v>2.5607901487823383E-4</v>
      </c>
    </row>
    <row r="163" spans="1:18" x14ac:dyDescent="0.45">
      <c r="A163" s="3">
        <v>188</v>
      </c>
      <c r="B163" s="11" t="s">
        <v>664</v>
      </c>
      <c r="C163" s="11" t="s">
        <v>745</v>
      </c>
      <c r="D163" s="3" t="s">
        <v>556</v>
      </c>
      <c r="E163" s="2" t="s">
        <v>983</v>
      </c>
      <c r="F163" t="s">
        <v>987</v>
      </c>
      <c r="G163" t="s">
        <v>831</v>
      </c>
      <c r="H163" t="s">
        <v>783</v>
      </c>
      <c r="I163" s="12" t="s">
        <v>1107</v>
      </c>
      <c r="J163" s="2"/>
      <c r="K163" s="12" t="s">
        <v>1062</v>
      </c>
      <c r="L163" t="s">
        <v>1111</v>
      </c>
      <c r="M163" s="12" t="s">
        <v>838</v>
      </c>
      <c r="N163" s="12" t="s">
        <v>1190</v>
      </c>
      <c r="P163" s="16">
        <v>1.3066741799999996E-4</v>
      </c>
      <c r="Q163" s="22">
        <v>1</v>
      </c>
      <c r="R163" s="16">
        <v>9.6029630579337659E-5</v>
      </c>
    </row>
    <row r="164" spans="1:18" x14ac:dyDescent="0.45">
      <c r="A164" s="3">
        <v>189</v>
      </c>
      <c r="B164" s="3" t="s">
        <v>243</v>
      </c>
      <c r="C164" s="3" t="s">
        <v>735</v>
      </c>
      <c r="D164" s="3" t="s">
        <v>266</v>
      </c>
      <c r="E164" t="s">
        <v>148</v>
      </c>
      <c r="F164" t="s">
        <v>989</v>
      </c>
      <c r="G164" t="s">
        <v>831</v>
      </c>
      <c r="H164" t="s">
        <v>783</v>
      </c>
      <c r="I164" s="12" t="s">
        <v>1107</v>
      </c>
      <c r="K164" s="12" t="s">
        <v>1062</v>
      </c>
      <c r="L164" t="s">
        <v>1111</v>
      </c>
      <c r="M164" s="12" t="s">
        <v>838</v>
      </c>
      <c r="N164" s="12" t="s">
        <v>1190</v>
      </c>
      <c r="O164" t="s">
        <v>103</v>
      </c>
      <c r="P164" s="16">
        <v>3.4844644799999998E-4</v>
      </c>
      <c r="Q164" s="22">
        <v>1</v>
      </c>
      <c r="R164" s="16">
        <v>2.5607901487823383E-4</v>
      </c>
    </row>
    <row r="165" spans="1:18" x14ac:dyDescent="0.45">
      <c r="A165" s="3">
        <v>193</v>
      </c>
      <c r="B165" s="3" t="s">
        <v>582</v>
      </c>
      <c r="C165" s="3" t="s">
        <v>1098</v>
      </c>
      <c r="D165" s="3" t="s">
        <v>583</v>
      </c>
      <c r="F165" t="s">
        <v>985</v>
      </c>
      <c r="G165" t="s">
        <v>832</v>
      </c>
      <c r="H165" t="s">
        <v>808</v>
      </c>
      <c r="I165" s="12" t="s">
        <v>1107</v>
      </c>
      <c r="J165" t="s">
        <v>784</v>
      </c>
      <c r="K165" s="12" t="s">
        <v>1062</v>
      </c>
      <c r="L165" t="s">
        <v>1111</v>
      </c>
      <c r="M165" s="12" t="s">
        <v>972</v>
      </c>
      <c r="N165" s="12" t="s">
        <v>1190</v>
      </c>
      <c r="O165" t="s">
        <v>643</v>
      </c>
      <c r="P165" s="16">
        <v>2.64498696E-5</v>
      </c>
      <c r="Q165" s="22">
        <v>1</v>
      </c>
      <c r="R165" s="16">
        <v>1.943844338119281E-5</v>
      </c>
    </row>
    <row r="166" spans="1:18" x14ac:dyDescent="0.45">
      <c r="A166" s="3">
        <v>194</v>
      </c>
      <c r="B166" s="3" t="s">
        <v>903</v>
      </c>
      <c r="C166" s="3" t="s">
        <v>1099</v>
      </c>
      <c r="D166" s="3" t="s">
        <v>904</v>
      </c>
      <c r="E166" t="s">
        <v>905</v>
      </c>
      <c r="F166" t="s">
        <v>985</v>
      </c>
      <c r="G166" t="s">
        <v>832</v>
      </c>
      <c r="H166" t="s">
        <v>808</v>
      </c>
      <c r="I166" s="12" t="s">
        <v>1107</v>
      </c>
      <c r="J166" t="s">
        <v>784</v>
      </c>
      <c r="K166" s="12" t="s">
        <v>1062</v>
      </c>
      <c r="L166" t="s">
        <v>1111</v>
      </c>
      <c r="M166" s="12" t="s">
        <v>972</v>
      </c>
      <c r="N166" s="12" t="s">
        <v>1190</v>
      </c>
      <c r="O166" t="s">
        <v>906</v>
      </c>
      <c r="P166" s="16">
        <v>2.64498696E-5</v>
      </c>
      <c r="Q166" s="22">
        <v>1</v>
      </c>
      <c r="R166" s="16">
        <v>1.943844338119281E-5</v>
      </c>
    </row>
    <row r="167" spans="1:18" x14ac:dyDescent="0.45">
      <c r="A167" s="3">
        <v>195</v>
      </c>
      <c r="B167" s="3" t="s">
        <v>659</v>
      </c>
      <c r="C167" s="3" t="s">
        <v>1098</v>
      </c>
      <c r="D167" s="3" t="s">
        <v>693</v>
      </c>
      <c r="F167" t="s">
        <v>986</v>
      </c>
      <c r="G167" t="s">
        <v>832</v>
      </c>
      <c r="H167" t="s">
        <v>808</v>
      </c>
      <c r="I167" s="12" t="s">
        <v>1107</v>
      </c>
      <c r="J167" t="s">
        <v>784</v>
      </c>
      <c r="K167" s="12" t="s">
        <v>1062</v>
      </c>
      <c r="L167" t="s">
        <v>1111</v>
      </c>
      <c r="M167" s="12" t="s">
        <v>972</v>
      </c>
      <c r="N167" s="12" t="s">
        <v>1190</v>
      </c>
      <c r="O167" t="s">
        <v>657</v>
      </c>
      <c r="P167" s="16">
        <v>1.4878051650000002E-5</v>
      </c>
      <c r="Q167" s="22">
        <v>1</v>
      </c>
      <c r="R167" s="16">
        <v>1.0934124401920957E-5</v>
      </c>
    </row>
    <row r="168" spans="1:18" x14ac:dyDescent="0.45">
      <c r="A168" s="3">
        <v>196</v>
      </c>
      <c r="B168" s="3" t="s">
        <v>1586</v>
      </c>
      <c r="C168" s="3" t="s">
        <v>1084</v>
      </c>
      <c r="D168" s="3" t="s">
        <v>1091</v>
      </c>
      <c r="E168" t="s">
        <v>875</v>
      </c>
      <c r="F168" t="s">
        <v>984</v>
      </c>
      <c r="G168" t="s">
        <v>832</v>
      </c>
      <c r="H168" t="s">
        <v>808</v>
      </c>
      <c r="I168" t="s">
        <v>806</v>
      </c>
      <c r="K168" s="12" t="s">
        <v>1062</v>
      </c>
      <c r="L168" s="12" t="s">
        <v>1110</v>
      </c>
      <c r="M168" s="12" t="s">
        <v>838</v>
      </c>
      <c r="N168" s="12" t="s">
        <v>1190</v>
      </c>
      <c r="P168" s="16">
        <v>2.6776018368000008E-3</v>
      </c>
      <c r="Q168" s="22">
        <v>1</v>
      </c>
      <c r="R168" s="16">
        <v>1.9678135464990983E-3</v>
      </c>
    </row>
    <row r="169" spans="1:18" x14ac:dyDescent="0.45">
      <c r="A169" s="3">
        <v>197</v>
      </c>
      <c r="B169" s="3" t="s">
        <v>1586</v>
      </c>
      <c r="C169" s="3" t="s">
        <v>1084</v>
      </c>
      <c r="D169" s="3" t="s">
        <v>1091</v>
      </c>
      <c r="E169" t="s">
        <v>875</v>
      </c>
      <c r="F169" t="s">
        <v>971</v>
      </c>
      <c r="G169" t="s">
        <v>832</v>
      </c>
      <c r="H169" t="s">
        <v>808</v>
      </c>
      <c r="I169" t="s">
        <v>806</v>
      </c>
      <c r="K169" s="12" t="s">
        <v>1062</v>
      </c>
      <c r="L169" s="12" t="s">
        <v>1110</v>
      </c>
      <c r="M169" s="12" t="s">
        <v>838</v>
      </c>
      <c r="N169" s="12" t="s">
        <v>1190</v>
      </c>
      <c r="P169" s="16">
        <v>1.5061510332000001E-3</v>
      </c>
      <c r="Q169" s="22">
        <v>1</v>
      </c>
      <c r="R169" s="16">
        <v>1.1068951199057426E-3</v>
      </c>
    </row>
    <row r="170" spans="1:18" x14ac:dyDescent="0.45">
      <c r="A170" s="3">
        <v>198</v>
      </c>
      <c r="B170" s="3" t="s">
        <v>1586</v>
      </c>
      <c r="C170" s="3" t="s">
        <v>1084</v>
      </c>
      <c r="D170" s="3" t="s">
        <v>1091</v>
      </c>
      <c r="E170" t="s">
        <v>875</v>
      </c>
      <c r="F170" t="s">
        <v>985</v>
      </c>
      <c r="G170" t="s">
        <v>832</v>
      </c>
      <c r="H170" t="s">
        <v>808</v>
      </c>
      <c r="I170" t="s">
        <v>806</v>
      </c>
      <c r="K170" s="12" t="s">
        <v>1062</v>
      </c>
      <c r="L170" s="12" t="s">
        <v>1110</v>
      </c>
      <c r="M170" s="12" t="s">
        <v>838</v>
      </c>
      <c r="N170" s="12" t="s">
        <v>1190</v>
      </c>
      <c r="P170" s="16">
        <v>2.3124743135999998E-3</v>
      </c>
      <c r="Q170" s="22">
        <v>1</v>
      </c>
      <c r="R170" s="16">
        <v>1.6994753356128569E-3</v>
      </c>
    </row>
    <row r="171" spans="1:18" x14ac:dyDescent="0.45">
      <c r="A171" s="3">
        <v>199</v>
      </c>
      <c r="B171" s="3" t="s">
        <v>1586</v>
      </c>
      <c r="C171" s="3" t="s">
        <v>1084</v>
      </c>
      <c r="D171" s="3" t="s">
        <v>1091</v>
      </c>
      <c r="E171" t="s">
        <v>875</v>
      </c>
      <c r="F171" t="s">
        <v>986</v>
      </c>
      <c r="G171" t="s">
        <v>832</v>
      </c>
      <c r="H171" t="s">
        <v>808</v>
      </c>
      <c r="I171" t="s">
        <v>806</v>
      </c>
      <c r="K171" s="12" t="s">
        <v>1062</v>
      </c>
      <c r="L171" s="12" t="s">
        <v>1110</v>
      </c>
      <c r="M171" s="12" t="s">
        <v>838</v>
      </c>
      <c r="N171" s="12" t="s">
        <v>1190</v>
      </c>
      <c r="P171" s="16">
        <v>1.3007668014000005E-3</v>
      </c>
      <c r="Q171" s="22">
        <v>1</v>
      </c>
      <c r="R171" s="16">
        <v>9.559548762822325E-4</v>
      </c>
    </row>
    <row r="172" spans="1:18" x14ac:dyDescent="0.45">
      <c r="A172" s="3">
        <v>200</v>
      </c>
      <c r="B172" s="3" t="s">
        <v>1586</v>
      </c>
      <c r="C172" s="3" t="s">
        <v>1084</v>
      </c>
      <c r="D172" s="3" t="s">
        <v>1091</v>
      </c>
      <c r="E172" t="s">
        <v>875</v>
      </c>
      <c r="F172" t="s">
        <v>1010</v>
      </c>
      <c r="G172" t="s">
        <v>832</v>
      </c>
      <c r="H172" t="s">
        <v>808</v>
      </c>
      <c r="I172" t="s">
        <v>806</v>
      </c>
      <c r="K172" s="12" t="s">
        <v>1062</v>
      </c>
      <c r="L172" s="12" t="s">
        <v>1110</v>
      </c>
      <c r="M172" s="12" t="s">
        <v>838</v>
      </c>
      <c r="N172" s="12" t="s">
        <v>1190</v>
      </c>
      <c r="O172" t="s">
        <v>876</v>
      </c>
      <c r="P172" s="16">
        <v>1.7952103224000006E-3</v>
      </c>
      <c r="Q172" s="22">
        <v>1</v>
      </c>
      <c r="R172" s="16">
        <v>1.31932953685735E-3</v>
      </c>
    </row>
    <row r="173" spans="1:18" x14ac:dyDescent="0.45">
      <c r="A173" s="3">
        <v>201</v>
      </c>
      <c r="B173" s="3" t="s">
        <v>678</v>
      </c>
      <c r="C173" s="3" t="s">
        <v>703</v>
      </c>
      <c r="D173" s="3" t="s">
        <v>679</v>
      </c>
      <c r="E173" t="s">
        <v>529</v>
      </c>
      <c r="F173" t="s">
        <v>988</v>
      </c>
      <c r="G173" t="s">
        <v>832</v>
      </c>
      <c r="H173" t="s">
        <v>808</v>
      </c>
      <c r="I173" t="s">
        <v>806</v>
      </c>
      <c r="K173" s="12" t="s">
        <v>1062</v>
      </c>
      <c r="L173" s="12" t="s">
        <v>1110</v>
      </c>
      <c r="M173" s="12" t="s">
        <v>838</v>
      </c>
      <c r="N173" s="14" t="s">
        <v>997</v>
      </c>
      <c r="O173" t="s">
        <v>530</v>
      </c>
      <c r="P173" s="16">
        <v>1.7952103224000006E-3</v>
      </c>
      <c r="Q173" s="22">
        <v>1</v>
      </c>
      <c r="R173" s="16">
        <v>1.31932953685735E-3</v>
      </c>
    </row>
    <row r="174" spans="1:18" x14ac:dyDescent="0.45">
      <c r="A174" s="3">
        <v>202</v>
      </c>
      <c r="B174" s="3" t="s">
        <v>676</v>
      </c>
      <c r="C174" s="3" t="s">
        <v>702</v>
      </c>
      <c r="D174" s="3" t="s">
        <v>677</v>
      </c>
      <c r="E174" t="s">
        <v>527</v>
      </c>
      <c r="F174" t="s">
        <v>988</v>
      </c>
      <c r="G174" t="s">
        <v>832</v>
      </c>
      <c r="H174" t="s">
        <v>808</v>
      </c>
      <c r="I174" t="s">
        <v>806</v>
      </c>
      <c r="K174" s="12" t="s">
        <v>1062</v>
      </c>
      <c r="L174" s="12" t="s">
        <v>1110</v>
      </c>
      <c r="M174" s="12" t="s">
        <v>838</v>
      </c>
      <c r="N174" s="12" t="s">
        <v>1190</v>
      </c>
      <c r="O174" t="s">
        <v>528</v>
      </c>
      <c r="P174" s="16">
        <v>1.7952103224000006E-3</v>
      </c>
      <c r="Q174" s="22">
        <v>1</v>
      </c>
      <c r="R174" s="16">
        <v>1.31932953685735E-3</v>
      </c>
    </row>
    <row r="175" spans="1:18" x14ac:dyDescent="0.45">
      <c r="A175" s="3">
        <v>203</v>
      </c>
      <c r="B175" s="3" t="s">
        <v>1586</v>
      </c>
      <c r="C175" s="3" t="s">
        <v>1084</v>
      </c>
      <c r="D175" s="3" t="s">
        <v>1091</v>
      </c>
      <c r="E175" t="s">
        <v>875</v>
      </c>
      <c r="F175" t="s">
        <v>987</v>
      </c>
      <c r="G175" t="s">
        <v>832</v>
      </c>
      <c r="H175" t="s">
        <v>808</v>
      </c>
      <c r="I175" t="s">
        <v>806</v>
      </c>
      <c r="K175" s="12" t="s">
        <v>1062</v>
      </c>
      <c r="L175" s="12" t="s">
        <v>1110</v>
      </c>
      <c r="M175" s="12" t="s">
        <v>838</v>
      </c>
      <c r="N175" s="12" t="s">
        <v>1190</v>
      </c>
      <c r="P175" s="16">
        <v>6.7320387090000005E-4</v>
      </c>
      <c r="Q175" s="22">
        <v>1</v>
      </c>
      <c r="R175" s="16">
        <v>4.9474857632150618E-4</v>
      </c>
    </row>
    <row r="176" spans="1:18" x14ac:dyDescent="0.45">
      <c r="A176" s="3">
        <v>205</v>
      </c>
      <c r="B176" s="3" t="s">
        <v>674</v>
      </c>
      <c r="C176" s="3" t="s">
        <v>715</v>
      </c>
      <c r="D176" s="3" t="s">
        <v>675</v>
      </c>
      <c r="E176" t="s">
        <v>525</v>
      </c>
      <c r="F176" t="s">
        <v>988</v>
      </c>
      <c r="G176" t="s">
        <v>832</v>
      </c>
      <c r="H176" t="s">
        <v>808</v>
      </c>
      <c r="I176" t="s">
        <v>806</v>
      </c>
      <c r="K176" s="12" t="s">
        <v>1062</v>
      </c>
      <c r="L176" s="12" t="s">
        <v>1110</v>
      </c>
      <c r="M176" t="s">
        <v>836</v>
      </c>
      <c r="N176" s="12" t="s">
        <v>1190</v>
      </c>
      <c r="O176" t="s">
        <v>526</v>
      </c>
      <c r="P176" s="16">
        <v>4.4880258060000014E-4</v>
      </c>
      <c r="Q176" s="22">
        <v>1</v>
      </c>
      <c r="R176" s="16">
        <v>3.2983238421433749E-4</v>
      </c>
    </row>
    <row r="177" spans="1:18" x14ac:dyDescent="0.45">
      <c r="A177" s="3">
        <v>206</v>
      </c>
      <c r="B177" s="3" t="s">
        <v>682</v>
      </c>
      <c r="C177" s="3" t="s">
        <v>800</v>
      </c>
      <c r="D177" s="3" t="s">
        <v>683</v>
      </c>
      <c r="E177" t="s">
        <v>533</v>
      </c>
      <c r="F177" t="s">
        <v>988</v>
      </c>
      <c r="G177" t="s">
        <v>832</v>
      </c>
      <c r="H177" t="s">
        <v>808</v>
      </c>
      <c r="I177" t="s">
        <v>806</v>
      </c>
      <c r="K177" s="12" t="s">
        <v>1062</v>
      </c>
      <c r="L177" s="12" t="s">
        <v>1110</v>
      </c>
      <c r="M177" t="s">
        <v>836</v>
      </c>
      <c r="N177" s="12" t="s">
        <v>1190</v>
      </c>
      <c r="O177" t="s">
        <v>534</v>
      </c>
      <c r="P177" s="16">
        <v>4.4880258060000014E-4</v>
      </c>
      <c r="Q177" s="22">
        <v>1</v>
      </c>
      <c r="R177" s="16">
        <v>3.2983238421433749E-4</v>
      </c>
    </row>
    <row r="178" spans="1:18" x14ac:dyDescent="0.45">
      <c r="A178" s="3">
        <v>208</v>
      </c>
      <c r="B178" s="3" t="s">
        <v>475</v>
      </c>
      <c r="C178" s="3" t="s">
        <v>744</v>
      </c>
      <c r="D178" s="3" t="s">
        <v>285</v>
      </c>
      <c r="E178" t="s">
        <v>476</v>
      </c>
      <c r="F178" t="s">
        <v>988</v>
      </c>
      <c r="G178" t="s">
        <v>832</v>
      </c>
      <c r="H178" t="s">
        <v>768</v>
      </c>
      <c r="I178" s="12" t="s">
        <v>1107</v>
      </c>
      <c r="K178" s="12" t="s">
        <v>1062</v>
      </c>
      <c r="L178" s="12" t="s">
        <v>1110</v>
      </c>
      <c r="M178" s="12" t="s">
        <v>838</v>
      </c>
      <c r="N178" s="12" t="s">
        <v>1190</v>
      </c>
      <c r="O178" t="s">
        <v>58</v>
      </c>
      <c r="P178" s="16">
        <v>1.5232087584000002E-3</v>
      </c>
      <c r="Q178" s="22">
        <v>1</v>
      </c>
      <c r="R178" s="16">
        <v>1.1194311221819938E-3</v>
      </c>
    </row>
    <row r="179" spans="1:18" x14ac:dyDescent="0.45">
      <c r="A179" s="3">
        <v>209</v>
      </c>
      <c r="B179" s="3" t="s">
        <v>194</v>
      </c>
      <c r="C179" s="3" t="s">
        <v>755</v>
      </c>
      <c r="D179" s="3" t="s">
        <v>564</v>
      </c>
      <c r="E179" t="s">
        <v>178</v>
      </c>
      <c r="F179" t="s">
        <v>988</v>
      </c>
      <c r="G179" t="s">
        <v>832</v>
      </c>
      <c r="H179" t="s">
        <v>768</v>
      </c>
      <c r="I179" s="12" t="s">
        <v>1107</v>
      </c>
      <c r="K179" s="12" t="s">
        <v>1062</v>
      </c>
      <c r="L179" s="12" t="s">
        <v>1110</v>
      </c>
      <c r="M179" s="12" t="s">
        <v>838</v>
      </c>
      <c r="N179" s="12" t="s">
        <v>1190</v>
      </c>
      <c r="O179" t="s">
        <v>177</v>
      </c>
      <c r="P179" s="16">
        <v>1.5232087584000002E-3</v>
      </c>
      <c r="Q179" s="22">
        <v>1</v>
      </c>
      <c r="R179" s="16">
        <v>1.1194311221819938E-3</v>
      </c>
    </row>
    <row r="180" spans="1:18" x14ac:dyDescent="0.45">
      <c r="A180" s="3">
        <v>214</v>
      </c>
      <c r="B180" s="3" t="s">
        <v>487</v>
      </c>
      <c r="C180" s="3" t="s">
        <v>765</v>
      </c>
      <c r="D180" s="3" t="s">
        <v>776</v>
      </c>
      <c r="F180" t="s">
        <v>988</v>
      </c>
      <c r="G180" t="s">
        <v>832</v>
      </c>
      <c r="H180" t="s">
        <v>768</v>
      </c>
      <c r="I180" s="12" t="s">
        <v>1107</v>
      </c>
      <c r="K180" s="12" t="s">
        <v>1062</v>
      </c>
      <c r="L180" s="12" t="s">
        <v>1110</v>
      </c>
      <c r="M180" t="s">
        <v>837</v>
      </c>
      <c r="N180" s="12" t="s">
        <v>1190</v>
      </c>
      <c r="O180" t="s">
        <v>248</v>
      </c>
      <c r="P180" s="16">
        <v>1.2693406320000002E-4</v>
      </c>
      <c r="Q180" s="22">
        <v>1</v>
      </c>
      <c r="R180" s="16">
        <v>9.3285926848499478E-5</v>
      </c>
    </row>
    <row r="181" spans="1:18" x14ac:dyDescent="0.45">
      <c r="A181" s="3">
        <v>215</v>
      </c>
      <c r="B181" s="3" t="s">
        <v>483</v>
      </c>
      <c r="C181" s="3" t="s">
        <v>753</v>
      </c>
      <c r="D181" s="3" t="s">
        <v>482</v>
      </c>
      <c r="E181" s="2" t="s">
        <v>122</v>
      </c>
      <c r="F181" t="s">
        <v>988</v>
      </c>
      <c r="G181" t="s">
        <v>832</v>
      </c>
      <c r="H181" t="s">
        <v>768</v>
      </c>
      <c r="I181" s="12" t="s">
        <v>1107</v>
      </c>
      <c r="K181" s="12" t="s">
        <v>1062</v>
      </c>
      <c r="L181" s="12" t="s">
        <v>1110</v>
      </c>
      <c r="M181" t="s">
        <v>836</v>
      </c>
      <c r="N181" s="12" t="s">
        <v>1190</v>
      </c>
      <c r="O181" s="2" t="s">
        <v>125</v>
      </c>
      <c r="P181" s="16">
        <v>3.8080218960000005E-4</v>
      </c>
      <c r="Q181" s="22">
        <v>1</v>
      </c>
      <c r="R181" s="16">
        <v>2.7985778054549846E-4</v>
      </c>
    </row>
    <row r="182" spans="1:18" x14ac:dyDescent="0.45">
      <c r="A182" s="3">
        <v>216</v>
      </c>
      <c r="B182" s="3" t="s">
        <v>479</v>
      </c>
      <c r="C182" s="3" t="s">
        <v>749</v>
      </c>
      <c r="D182" s="3" t="s">
        <v>480</v>
      </c>
      <c r="E182" t="s">
        <v>141</v>
      </c>
      <c r="F182" t="s">
        <v>988</v>
      </c>
      <c r="G182" t="s">
        <v>832</v>
      </c>
      <c r="H182" t="s">
        <v>768</v>
      </c>
      <c r="I182" s="12" t="s">
        <v>1107</v>
      </c>
      <c r="K182" s="12" t="s">
        <v>1062</v>
      </c>
      <c r="L182" t="s">
        <v>1111</v>
      </c>
      <c r="M182" s="12" t="s">
        <v>838</v>
      </c>
      <c r="N182" s="12" t="s">
        <v>1190</v>
      </c>
      <c r="O182" t="s">
        <v>142</v>
      </c>
      <c r="P182" s="16">
        <v>2.6880154560000001E-4</v>
      </c>
      <c r="Q182" s="22">
        <v>1</v>
      </c>
      <c r="R182" s="16">
        <v>1.9754666862035182E-4</v>
      </c>
    </row>
    <row r="183" spans="1:18" x14ac:dyDescent="0.45">
      <c r="A183" s="3">
        <v>242</v>
      </c>
      <c r="B183" s="3" t="s">
        <v>1024</v>
      </c>
      <c r="C183" s="3" t="s">
        <v>1025</v>
      </c>
      <c r="D183" s="3" t="s">
        <v>1026</v>
      </c>
      <c r="E183" t="s">
        <v>1027</v>
      </c>
      <c r="F183" t="s">
        <v>993</v>
      </c>
      <c r="G183" t="s">
        <v>832</v>
      </c>
      <c r="H183" t="s">
        <v>808</v>
      </c>
      <c r="I183" s="12" t="s">
        <v>1107</v>
      </c>
      <c r="K183" s="14" t="s">
        <v>1082</v>
      </c>
      <c r="L183" s="12" t="s">
        <v>1110</v>
      </c>
      <c r="M183" s="12" t="s">
        <v>838</v>
      </c>
      <c r="N183" s="12" t="s">
        <v>1190</v>
      </c>
      <c r="P183" s="16">
        <v>1.1823293789999999E-4</v>
      </c>
      <c r="Q183" s="22">
        <v>1</v>
      </c>
      <c r="R183" s="16">
        <v>8.6891327024207158E-5</v>
      </c>
    </row>
    <row r="184" spans="1:18" x14ac:dyDescent="0.45">
      <c r="A184" s="3">
        <v>243</v>
      </c>
      <c r="B184" s="3" t="s">
        <v>1065</v>
      </c>
      <c r="C184" s="3" t="s">
        <v>1071</v>
      </c>
      <c r="D184" s="3" t="s">
        <v>1077</v>
      </c>
      <c r="E184" t="s">
        <v>1031</v>
      </c>
      <c r="F184" t="s">
        <v>993</v>
      </c>
      <c r="G184" t="s">
        <v>832</v>
      </c>
      <c r="H184" t="s">
        <v>808</v>
      </c>
      <c r="I184" s="12" t="s">
        <v>1107</v>
      </c>
      <c r="K184" s="14" t="s">
        <v>1082</v>
      </c>
      <c r="L184" s="12" t="s">
        <v>1110</v>
      </c>
      <c r="M184" s="12" t="s">
        <v>838</v>
      </c>
      <c r="N184" s="12" t="s">
        <v>1190</v>
      </c>
      <c r="P184" s="16">
        <v>1.1823293789999999E-4</v>
      </c>
      <c r="Q184" s="22">
        <v>1</v>
      </c>
      <c r="R184" s="16">
        <v>8.6891327024207158E-5</v>
      </c>
    </row>
    <row r="185" spans="1:18" x14ac:dyDescent="0.45">
      <c r="A185" s="3">
        <v>244</v>
      </c>
      <c r="B185" s="3" t="s">
        <v>1019</v>
      </c>
      <c r="C185" s="3" t="s">
        <v>1020</v>
      </c>
      <c r="D185" s="3" t="s">
        <v>1021</v>
      </c>
      <c r="E185" t="s">
        <v>1022</v>
      </c>
      <c r="F185" t="s">
        <v>988</v>
      </c>
      <c r="G185" t="s">
        <v>832</v>
      </c>
      <c r="H185" t="s">
        <v>808</v>
      </c>
      <c r="I185" s="12" t="s">
        <v>1107</v>
      </c>
      <c r="K185" s="14" t="s">
        <v>1082</v>
      </c>
      <c r="L185" s="12" t="s">
        <v>1110</v>
      </c>
      <c r="M185" s="12" t="s">
        <v>838</v>
      </c>
      <c r="N185" s="12" t="s">
        <v>1190</v>
      </c>
      <c r="P185" s="16">
        <v>3.1528783440000003E-4</v>
      </c>
      <c r="Q185" s="22">
        <v>1</v>
      </c>
      <c r="R185" s="16">
        <v>2.3171020539788578E-4</v>
      </c>
    </row>
    <row r="186" spans="1:18" x14ac:dyDescent="0.45">
      <c r="A186" s="3">
        <v>245</v>
      </c>
      <c r="B186" s="3" t="s">
        <v>1064</v>
      </c>
      <c r="C186" s="3" t="s">
        <v>1070</v>
      </c>
      <c r="D186" s="3" t="s">
        <v>1076</v>
      </c>
      <c r="E186" t="s">
        <v>1029</v>
      </c>
      <c r="F186" t="s">
        <v>988</v>
      </c>
      <c r="G186" t="s">
        <v>832</v>
      </c>
      <c r="H186" t="s">
        <v>808</v>
      </c>
      <c r="I186" s="12" t="s">
        <v>1107</v>
      </c>
      <c r="K186" s="14" t="s">
        <v>1082</v>
      </c>
      <c r="L186" s="12" t="s">
        <v>1110</v>
      </c>
      <c r="M186" s="12" t="s">
        <v>838</v>
      </c>
      <c r="N186" s="12" t="s">
        <v>1190</v>
      </c>
      <c r="P186" s="16">
        <v>3.1528783440000003E-4</v>
      </c>
      <c r="Q186" s="22">
        <v>1</v>
      </c>
      <c r="R186" s="16">
        <v>2.3171020539788578E-4</v>
      </c>
    </row>
    <row r="187" spans="1:18" x14ac:dyDescent="0.45">
      <c r="A187" s="3">
        <v>348</v>
      </c>
      <c r="B187" s="3" t="s">
        <v>1135</v>
      </c>
      <c r="C187" s="3" t="s">
        <v>1139</v>
      </c>
      <c r="D187" s="3" t="s">
        <v>1146</v>
      </c>
      <c r="E187" t="s">
        <v>1129</v>
      </c>
      <c r="F187" t="s">
        <v>988</v>
      </c>
      <c r="G187" t="s">
        <v>830</v>
      </c>
      <c r="H187" t="s">
        <v>808</v>
      </c>
      <c r="I187" s="12" t="s">
        <v>1107</v>
      </c>
      <c r="K187" s="12" t="s">
        <v>1062</v>
      </c>
      <c r="L187" s="12" t="s">
        <v>1110</v>
      </c>
      <c r="M187" s="12" t="s">
        <v>838</v>
      </c>
      <c r="N187" s="14" t="s">
        <v>1129</v>
      </c>
      <c r="O187" t="s">
        <v>1130</v>
      </c>
      <c r="P187" s="16">
        <v>2.7925493904000006E-3</v>
      </c>
      <c r="Q187" s="22">
        <v>1</v>
      </c>
      <c r="R187" s="16">
        <v>2.0522903906669888E-3</v>
      </c>
    </row>
    <row r="188" spans="1:18" x14ac:dyDescent="0.45">
      <c r="A188" s="3">
        <v>349</v>
      </c>
      <c r="B188" s="3" t="s">
        <v>1150</v>
      </c>
      <c r="C188" s="3" t="s">
        <v>1140</v>
      </c>
      <c r="D188" s="3" t="s">
        <v>1145</v>
      </c>
      <c r="E188" t="s">
        <v>1132</v>
      </c>
      <c r="F188" t="s">
        <v>984</v>
      </c>
      <c r="G188" t="s">
        <v>830</v>
      </c>
      <c r="H188" t="s">
        <v>808</v>
      </c>
      <c r="I188" s="12" t="s">
        <v>1107</v>
      </c>
      <c r="K188" s="12" t="s">
        <v>1062</v>
      </c>
      <c r="L188" s="12" t="s">
        <v>1110</v>
      </c>
      <c r="M188" s="12" t="s">
        <v>838</v>
      </c>
      <c r="N188" s="14" t="s">
        <v>1129</v>
      </c>
      <c r="O188" s="14" t="s">
        <v>1133</v>
      </c>
      <c r="P188" s="16">
        <v>4.1651584128000003E-3</v>
      </c>
      <c r="Q188" s="22">
        <v>0.5</v>
      </c>
      <c r="R188" s="16">
        <v>1.5305216472770761E-3</v>
      </c>
    </row>
    <row r="189" spans="1:18" x14ac:dyDescent="0.45">
      <c r="A189" s="3">
        <v>350</v>
      </c>
      <c r="B189" s="3" t="s">
        <v>1150</v>
      </c>
      <c r="C189" s="3" t="s">
        <v>1140</v>
      </c>
      <c r="D189" s="3" t="s">
        <v>1145</v>
      </c>
      <c r="E189" t="s">
        <v>1132</v>
      </c>
      <c r="F189" t="s">
        <v>985</v>
      </c>
      <c r="G189" t="s">
        <v>830</v>
      </c>
      <c r="H189" t="s">
        <v>808</v>
      </c>
      <c r="I189" s="12" t="s">
        <v>1107</v>
      </c>
      <c r="K189" s="12" t="s">
        <v>1062</v>
      </c>
      <c r="L189" s="12" t="s">
        <v>1110</v>
      </c>
      <c r="M189" s="12" t="s">
        <v>838</v>
      </c>
      <c r="N189" s="14" t="s">
        <v>1129</v>
      </c>
      <c r="O189" s="14" t="s">
        <v>1134</v>
      </c>
      <c r="P189" s="16">
        <v>3.5971822656000003E-3</v>
      </c>
      <c r="Q189" s="22">
        <v>1</v>
      </c>
      <c r="R189" s="16">
        <v>2.6436282998422225E-3</v>
      </c>
    </row>
    <row r="190" spans="1:18" x14ac:dyDescent="0.45">
      <c r="A190" s="3">
        <v>351</v>
      </c>
      <c r="B190" s="3" t="s">
        <v>1144</v>
      </c>
      <c r="C190" s="3" t="s">
        <v>975</v>
      </c>
      <c r="D190" s="3" t="s">
        <v>853</v>
      </c>
      <c r="E190" t="s">
        <v>1147</v>
      </c>
      <c r="F190" t="s">
        <v>985</v>
      </c>
      <c r="G190" t="s">
        <v>830</v>
      </c>
      <c r="H190" t="s">
        <v>808</v>
      </c>
      <c r="I190" s="12" t="s">
        <v>1107</v>
      </c>
      <c r="K190" s="12" t="s">
        <v>1062</v>
      </c>
      <c r="L190" s="12" t="s">
        <v>1110</v>
      </c>
      <c r="M190" s="12" t="s">
        <v>838</v>
      </c>
      <c r="N190" s="14" t="s">
        <v>998</v>
      </c>
      <c r="O190" s="14" t="s">
        <v>1006</v>
      </c>
      <c r="P190" s="16">
        <v>3.5971822656000003E-3</v>
      </c>
      <c r="Q190" s="22">
        <v>0.75</v>
      </c>
      <c r="R190" s="16">
        <v>1.9827212248816665E-3</v>
      </c>
    </row>
    <row r="191" spans="1:18" x14ac:dyDescent="0.45">
      <c r="A191" s="3">
        <v>352</v>
      </c>
      <c r="B191" s="3" t="s">
        <v>1144</v>
      </c>
      <c r="C191" s="3" t="s">
        <v>975</v>
      </c>
      <c r="D191" s="3" t="s">
        <v>853</v>
      </c>
      <c r="E191" t="s">
        <v>1147</v>
      </c>
      <c r="F191" t="s">
        <v>984</v>
      </c>
      <c r="G191" t="s">
        <v>830</v>
      </c>
      <c r="H191" t="s">
        <v>808</v>
      </c>
      <c r="I191" s="12" t="s">
        <v>1107</v>
      </c>
      <c r="K191" s="12" t="s">
        <v>1062</v>
      </c>
      <c r="L191" s="12" t="s">
        <v>1110</v>
      </c>
      <c r="M191" s="12" t="s">
        <v>838</v>
      </c>
      <c r="N191" s="14" t="s">
        <v>998</v>
      </c>
      <c r="O191" t="s">
        <v>651</v>
      </c>
      <c r="P191" s="16">
        <v>4.1651584128000003E-3</v>
      </c>
      <c r="Q191" s="22">
        <v>0.375</v>
      </c>
      <c r="R191" s="16">
        <v>1.147891235457807E-3</v>
      </c>
    </row>
    <row r="192" spans="1:18" x14ac:dyDescent="0.45">
      <c r="A192" s="3">
        <v>353</v>
      </c>
      <c r="B192" s="3" t="s">
        <v>1203</v>
      </c>
      <c r="C192" s="3" t="s">
        <v>1151</v>
      </c>
      <c r="D192" s="3" t="s">
        <v>1152</v>
      </c>
      <c r="E192" t="s">
        <v>1154</v>
      </c>
      <c r="F192" t="s">
        <v>984</v>
      </c>
      <c r="G192" t="s">
        <v>830</v>
      </c>
      <c r="H192" t="s">
        <v>808</v>
      </c>
      <c r="I192" s="12" t="s">
        <v>1107</v>
      </c>
      <c r="K192" s="12" t="s">
        <v>1062</v>
      </c>
      <c r="L192" s="12" t="s">
        <v>1110</v>
      </c>
      <c r="M192" s="12" t="s">
        <v>838</v>
      </c>
      <c r="N192" s="14" t="s">
        <v>1153</v>
      </c>
      <c r="O192" t="s">
        <v>1155</v>
      </c>
      <c r="P192" s="16">
        <v>4.1651584128000003E-3</v>
      </c>
      <c r="Q192" s="22">
        <v>0.5</v>
      </c>
      <c r="R192" s="16">
        <v>1.5305216472770761E-3</v>
      </c>
    </row>
    <row r="193" spans="1:18" x14ac:dyDescent="0.45">
      <c r="A193" s="3">
        <v>354</v>
      </c>
      <c r="B193" s="3" t="s">
        <v>1203</v>
      </c>
      <c r="C193" s="3" t="s">
        <v>1151</v>
      </c>
      <c r="D193" s="3" t="s">
        <v>1152</v>
      </c>
      <c r="E193" t="s">
        <v>1154</v>
      </c>
      <c r="F193" t="s">
        <v>971</v>
      </c>
      <c r="G193" t="s">
        <v>830</v>
      </c>
      <c r="H193" t="s">
        <v>808</v>
      </c>
      <c r="I193" s="12" t="s">
        <v>1107</v>
      </c>
      <c r="K193" s="12" t="s">
        <v>1062</v>
      </c>
      <c r="L193" s="12" t="s">
        <v>1110</v>
      </c>
      <c r="M193" s="12" t="s">
        <v>838</v>
      </c>
      <c r="N193" s="14" t="s">
        <v>1153</v>
      </c>
      <c r="O193" s="14" t="s">
        <v>1177</v>
      </c>
      <c r="P193" s="16">
        <v>2.3429016072E-3</v>
      </c>
      <c r="Q193" s="22">
        <v>1</v>
      </c>
      <c r="R193" s="16">
        <v>1.7218368531867105E-3</v>
      </c>
    </row>
    <row r="194" spans="1:18" x14ac:dyDescent="0.45">
      <c r="A194" s="3">
        <v>355</v>
      </c>
      <c r="B194" s="3" t="s">
        <v>1203</v>
      </c>
      <c r="C194" s="3" t="s">
        <v>1151</v>
      </c>
      <c r="D194" s="3" t="s">
        <v>1152</v>
      </c>
      <c r="E194" t="s">
        <v>1154</v>
      </c>
      <c r="F194" t="s">
        <v>985</v>
      </c>
      <c r="G194" t="s">
        <v>830</v>
      </c>
      <c r="H194" t="s">
        <v>808</v>
      </c>
      <c r="I194" s="12" t="s">
        <v>1107</v>
      </c>
      <c r="K194" s="12" t="s">
        <v>1062</v>
      </c>
      <c r="L194" s="12" t="s">
        <v>1110</v>
      </c>
      <c r="M194" s="12" t="s">
        <v>838</v>
      </c>
      <c r="N194" s="14" t="s">
        <v>1153</v>
      </c>
      <c r="O194" s="14" t="s">
        <v>1178</v>
      </c>
      <c r="P194" s="16">
        <v>3.5971822656000003E-3</v>
      </c>
      <c r="Q194" s="22">
        <v>1</v>
      </c>
      <c r="R194" s="16">
        <v>2.6436282998422225E-3</v>
      </c>
    </row>
    <row r="195" spans="1:18" x14ac:dyDescent="0.45">
      <c r="A195" s="3">
        <v>356</v>
      </c>
      <c r="B195" s="3" t="s">
        <v>1203</v>
      </c>
      <c r="C195" s="3" t="s">
        <v>1151</v>
      </c>
      <c r="D195" s="3" t="s">
        <v>1152</v>
      </c>
      <c r="E195" t="s">
        <v>1154</v>
      </c>
      <c r="F195" t="s">
        <v>986</v>
      </c>
      <c r="G195" t="s">
        <v>830</v>
      </c>
      <c r="H195" t="s">
        <v>808</v>
      </c>
      <c r="I195" s="12" t="s">
        <v>1107</v>
      </c>
      <c r="K195" s="12" t="s">
        <v>1062</v>
      </c>
      <c r="L195" s="12" t="s">
        <v>1110</v>
      </c>
      <c r="M195" s="12" t="s">
        <v>838</v>
      </c>
      <c r="N195" s="14" t="s">
        <v>1153</v>
      </c>
      <c r="O195" s="14" t="s">
        <v>1179</v>
      </c>
      <c r="P195" s="16">
        <v>2.0234150244E-3</v>
      </c>
      <c r="Q195" s="22">
        <v>1</v>
      </c>
      <c r="R195" s="16">
        <v>1.48704091866125E-3</v>
      </c>
    </row>
    <row r="196" spans="1:18" x14ac:dyDescent="0.45">
      <c r="A196" s="3">
        <v>357</v>
      </c>
      <c r="B196" s="3" t="s">
        <v>1541</v>
      </c>
      <c r="C196" s="3" t="s">
        <v>1151</v>
      </c>
      <c r="D196" s="3" t="s">
        <v>1152</v>
      </c>
      <c r="E196" t="s">
        <v>1154</v>
      </c>
      <c r="F196" t="s">
        <v>1010</v>
      </c>
      <c r="G196" t="s">
        <v>830</v>
      </c>
      <c r="H196" t="s">
        <v>808</v>
      </c>
      <c r="I196" s="12" t="s">
        <v>1107</v>
      </c>
      <c r="K196" s="12" t="s">
        <v>1062</v>
      </c>
      <c r="L196" s="12" t="s">
        <v>1110</v>
      </c>
      <c r="M196" s="12" t="s">
        <v>838</v>
      </c>
      <c r="N196" s="14" t="s">
        <v>1153</v>
      </c>
      <c r="O196" s="14" t="s">
        <v>1180</v>
      </c>
      <c r="P196" s="16">
        <v>2.7925493904000006E-3</v>
      </c>
      <c r="Q196" s="22">
        <v>1</v>
      </c>
      <c r="R196" s="16">
        <v>2.0522903906669888E-3</v>
      </c>
    </row>
    <row r="197" spans="1:18" x14ac:dyDescent="0.45">
      <c r="A197" s="3">
        <v>358</v>
      </c>
      <c r="B197" s="3" t="s">
        <v>1203</v>
      </c>
      <c r="C197" s="3" t="s">
        <v>1151</v>
      </c>
      <c r="D197" s="3" t="s">
        <v>1152</v>
      </c>
      <c r="E197" t="s">
        <v>1154</v>
      </c>
      <c r="F197" t="s">
        <v>987</v>
      </c>
      <c r="G197" t="s">
        <v>830</v>
      </c>
      <c r="H197" t="s">
        <v>808</v>
      </c>
      <c r="I197" s="12" t="s">
        <v>1107</v>
      </c>
      <c r="K197" s="12" t="s">
        <v>1062</v>
      </c>
      <c r="L197" s="12" t="s">
        <v>1110</v>
      </c>
      <c r="M197" s="12" t="s">
        <v>838</v>
      </c>
      <c r="N197" s="14" t="s">
        <v>1153</v>
      </c>
      <c r="O197" s="14" t="s">
        <v>1181</v>
      </c>
      <c r="P197" s="16">
        <v>1.0472060213999998E-3</v>
      </c>
      <c r="Q197" s="22">
        <v>1</v>
      </c>
      <c r="R197" s="16">
        <v>7.6960889650012042E-4</v>
      </c>
    </row>
    <row r="198" spans="1:18" x14ac:dyDescent="0.45">
      <c r="A198" s="3">
        <v>359</v>
      </c>
      <c r="B198" s="3" t="s">
        <v>1156</v>
      </c>
      <c r="C198" s="3" t="s">
        <v>1157</v>
      </c>
      <c r="D198" s="3" t="s">
        <v>1158</v>
      </c>
      <c r="E198" t="s">
        <v>1159</v>
      </c>
      <c r="F198" t="s">
        <v>990</v>
      </c>
      <c r="G198" t="s">
        <v>830</v>
      </c>
      <c r="H198" t="s">
        <v>808</v>
      </c>
      <c r="I198" s="12" t="s">
        <v>1107</v>
      </c>
      <c r="K198" s="12" t="s">
        <v>1062</v>
      </c>
      <c r="L198" s="12" t="s">
        <v>1110</v>
      </c>
      <c r="M198" s="12" t="s">
        <v>838</v>
      </c>
      <c r="N198" s="14" t="s">
        <v>1153</v>
      </c>
      <c r="O198" s="14" t="s">
        <v>1160</v>
      </c>
      <c r="P198" s="16">
        <v>2.7925493904000006E-3</v>
      </c>
      <c r="Q198" s="22">
        <v>1</v>
      </c>
      <c r="R198" s="16">
        <v>2.0522903906669888E-3</v>
      </c>
    </row>
    <row r="199" spans="1:18" x14ac:dyDescent="0.45">
      <c r="A199" s="9">
        <v>360</v>
      </c>
      <c r="B199" s="9" t="s">
        <v>1018</v>
      </c>
      <c r="C199" s="3" t="s">
        <v>699</v>
      </c>
      <c r="D199" s="3" t="s">
        <v>671</v>
      </c>
      <c r="E199" t="s">
        <v>1162</v>
      </c>
      <c r="F199" t="s">
        <v>984</v>
      </c>
      <c r="G199" t="s">
        <v>831</v>
      </c>
      <c r="H199" t="s">
        <v>808</v>
      </c>
      <c r="I199" t="s">
        <v>806</v>
      </c>
      <c r="K199" s="12" t="s">
        <v>1062</v>
      </c>
      <c r="L199" s="12" t="s">
        <v>1110</v>
      </c>
      <c r="M199" s="12" t="s">
        <v>838</v>
      </c>
      <c r="N199" s="14" t="s">
        <v>1003</v>
      </c>
      <c r="P199" s="16">
        <v>3.4709653440000003E-3</v>
      </c>
      <c r="Q199" s="22">
        <v>1</v>
      </c>
      <c r="R199" s="16">
        <v>2.5508694121284601E-3</v>
      </c>
    </row>
    <row r="200" spans="1:18" x14ac:dyDescent="0.45">
      <c r="A200" s="9">
        <v>361</v>
      </c>
      <c r="B200" s="9" t="s">
        <v>1018</v>
      </c>
      <c r="C200" s="3" t="s">
        <v>699</v>
      </c>
      <c r="D200" s="3" t="s">
        <v>671</v>
      </c>
      <c r="E200" t="s">
        <v>1162</v>
      </c>
      <c r="F200" t="s">
        <v>971</v>
      </c>
      <c r="G200" t="s">
        <v>831</v>
      </c>
      <c r="H200" t="s">
        <v>808</v>
      </c>
      <c r="I200" t="s">
        <v>806</v>
      </c>
      <c r="K200" s="12" t="s">
        <v>1062</v>
      </c>
      <c r="L200" s="12" t="s">
        <v>1110</v>
      </c>
      <c r="M200" s="12" t="s">
        <v>838</v>
      </c>
      <c r="N200" s="14" t="s">
        <v>1003</v>
      </c>
      <c r="P200" s="16">
        <v>1.952418006E-3</v>
      </c>
      <c r="Q200" s="22">
        <v>1</v>
      </c>
      <c r="R200" s="16">
        <v>1.4348640443222586E-3</v>
      </c>
    </row>
    <row r="201" spans="1:18" x14ac:dyDescent="0.45">
      <c r="A201" s="9">
        <v>362</v>
      </c>
      <c r="B201" s="9" t="s">
        <v>1018</v>
      </c>
      <c r="C201" s="3" t="s">
        <v>699</v>
      </c>
      <c r="D201" s="3" t="s">
        <v>671</v>
      </c>
      <c r="E201" t="s">
        <v>1162</v>
      </c>
      <c r="F201" t="s">
        <v>985</v>
      </c>
      <c r="G201" t="s">
        <v>831</v>
      </c>
      <c r="H201" t="s">
        <v>808</v>
      </c>
      <c r="I201" t="s">
        <v>806</v>
      </c>
      <c r="K201" s="12" t="s">
        <v>1062</v>
      </c>
      <c r="L201" s="12" t="s">
        <v>1110</v>
      </c>
      <c r="M201" s="12" t="s">
        <v>838</v>
      </c>
      <c r="N201" s="14" t="s">
        <v>1003</v>
      </c>
      <c r="P201" s="16">
        <v>2.9976518880000004E-3</v>
      </c>
      <c r="Q201" s="22">
        <v>1</v>
      </c>
      <c r="R201" s="16">
        <v>2.203023583201852E-3</v>
      </c>
    </row>
    <row r="202" spans="1:18" x14ac:dyDescent="0.45">
      <c r="A202" s="9">
        <v>363</v>
      </c>
      <c r="B202" s="9" t="s">
        <v>1018</v>
      </c>
      <c r="C202" s="3" t="s">
        <v>699</v>
      </c>
      <c r="D202" s="3" t="s">
        <v>671</v>
      </c>
      <c r="E202" t="s">
        <v>1162</v>
      </c>
      <c r="F202" t="s">
        <v>986</v>
      </c>
      <c r="G202" t="s">
        <v>831</v>
      </c>
      <c r="H202" t="s">
        <v>808</v>
      </c>
      <c r="I202" t="s">
        <v>806</v>
      </c>
      <c r="K202" s="12" t="s">
        <v>1062</v>
      </c>
      <c r="L202" s="12" t="s">
        <v>1110</v>
      </c>
      <c r="M202" s="12" t="s">
        <v>838</v>
      </c>
      <c r="N202" s="14" t="s">
        <v>1003</v>
      </c>
      <c r="P202" s="16">
        <v>1.6861791870000002E-3</v>
      </c>
      <c r="Q202" s="22">
        <v>1</v>
      </c>
      <c r="R202" s="16">
        <v>1.2392007655510418E-3</v>
      </c>
    </row>
    <row r="203" spans="1:18" x14ac:dyDescent="0.45">
      <c r="A203" s="9">
        <v>364</v>
      </c>
      <c r="B203" s="9" t="s">
        <v>1018</v>
      </c>
      <c r="C203" s="3" t="s">
        <v>699</v>
      </c>
      <c r="D203" s="3" t="s">
        <v>671</v>
      </c>
      <c r="E203" t="s">
        <v>1162</v>
      </c>
      <c r="F203" t="s">
        <v>987</v>
      </c>
      <c r="G203" t="s">
        <v>831</v>
      </c>
      <c r="H203" t="s">
        <v>808</v>
      </c>
      <c r="I203" t="s">
        <v>806</v>
      </c>
      <c r="K203" s="12" t="s">
        <v>1062</v>
      </c>
      <c r="L203" s="12" t="s">
        <v>1110</v>
      </c>
      <c r="M203" s="12" t="s">
        <v>838</v>
      </c>
      <c r="N203" s="14" t="s">
        <v>1003</v>
      </c>
      <c r="P203" s="16">
        <v>8.7267168449999986E-4</v>
      </c>
      <c r="Q203" s="22">
        <v>1</v>
      </c>
      <c r="R203" s="16">
        <v>6.4134074708343375E-4</v>
      </c>
    </row>
    <row r="204" spans="1:18" x14ac:dyDescent="0.45">
      <c r="A204" s="9">
        <v>365</v>
      </c>
      <c r="B204" s="9" t="s">
        <v>688</v>
      </c>
      <c r="C204" s="3" t="s">
        <v>996</v>
      </c>
      <c r="D204" s="3" t="s">
        <v>1163</v>
      </c>
      <c r="E204" t="s">
        <v>1164</v>
      </c>
      <c r="F204" t="s">
        <v>984</v>
      </c>
      <c r="G204" t="s">
        <v>831</v>
      </c>
      <c r="H204" t="s">
        <v>808</v>
      </c>
      <c r="I204" t="s">
        <v>806</v>
      </c>
      <c r="K204" s="12" t="s">
        <v>1062</v>
      </c>
      <c r="L204" t="s">
        <v>1111</v>
      </c>
      <c r="M204" s="12" t="s">
        <v>838</v>
      </c>
      <c r="N204" s="14" t="s">
        <v>1003</v>
      </c>
      <c r="P204" s="16">
        <v>6.1252329599999992E-4</v>
      </c>
      <c r="Q204" s="22">
        <v>1</v>
      </c>
      <c r="R204" s="16">
        <v>4.5015342566972816E-4</v>
      </c>
    </row>
    <row r="205" spans="1:18" x14ac:dyDescent="0.45">
      <c r="A205" s="9">
        <v>366</v>
      </c>
      <c r="B205" s="9" t="s">
        <v>688</v>
      </c>
      <c r="C205" s="3" t="s">
        <v>996</v>
      </c>
      <c r="D205" s="3" t="s">
        <v>1163</v>
      </c>
      <c r="E205" t="s">
        <v>1164</v>
      </c>
      <c r="F205" t="s">
        <v>971</v>
      </c>
      <c r="G205" t="s">
        <v>831</v>
      </c>
      <c r="H205" t="s">
        <v>808</v>
      </c>
      <c r="I205" t="s">
        <v>806</v>
      </c>
      <c r="K205" s="12" t="s">
        <v>1062</v>
      </c>
      <c r="L205" t="s">
        <v>1111</v>
      </c>
      <c r="M205" s="12" t="s">
        <v>838</v>
      </c>
      <c r="N205" s="14" t="s">
        <v>1003</v>
      </c>
      <c r="P205" s="16">
        <v>3.4454435399999995E-4</v>
      </c>
      <c r="Q205" s="22">
        <v>1</v>
      </c>
      <c r="R205" s="16">
        <v>2.5321130193922209E-4</v>
      </c>
    </row>
    <row r="206" spans="1:18" x14ac:dyDescent="0.45">
      <c r="A206" s="9">
        <v>367</v>
      </c>
      <c r="B206" s="9" t="s">
        <v>688</v>
      </c>
      <c r="C206" s="3" t="s">
        <v>996</v>
      </c>
      <c r="D206" s="3" t="s">
        <v>1163</v>
      </c>
      <c r="E206" t="s">
        <v>1164</v>
      </c>
      <c r="F206" t="s">
        <v>985</v>
      </c>
      <c r="G206" t="s">
        <v>831</v>
      </c>
      <c r="H206" t="s">
        <v>808</v>
      </c>
      <c r="I206" t="s">
        <v>806</v>
      </c>
      <c r="K206" s="12" t="s">
        <v>1062</v>
      </c>
      <c r="L206" t="s">
        <v>1111</v>
      </c>
      <c r="M206" s="12" t="s">
        <v>838</v>
      </c>
      <c r="N206" s="14" t="s">
        <v>1003</v>
      </c>
      <c r="P206" s="16">
        <v>5.2899739200000008E-4</v>
      </c>
      <c r="Q206" s="22">
        <v>1</v>
      </c>
      <c r="R206" s="16">
        <v>3.8876886762385628E-4</v>
      </c>
    </row>
    <row r="207" spans="1:18" x14ac:dyDescent="0.45">
      <c r="A207" s="9">
        <v>368</v>
      </c>
      <c r="B207" s="9" t="s">
        <v>688</v>
      </c>
      <c r="C207" s="3" t="s">
        <v>996</v>
      </c>
      <c r="D207" s="3" t="s">
        <v>1163</v>
      </c>
      <c r="E207" t="s">
        <v>1164</v>
      </c>
      <c r="F207" t="s">
        <v>986</v>
      </c>
      <c r="G207" t="s">
        <v>831</v>
      </c>
      <c r="H207" t="s">
        <v>808</v>
      </c>
      <c r="I207" t="s">
        <v>806</v>
      </c>
      <c r="K207" s="12" t="s">
        <v>1062</v>
      </c>
      <c r="L207" t="s">
        <v>1111</v>
      </c>
      <c r="M207" s="12" t="s">
        <v>838</v>
      </c>
      <c r="N207" s="14" t="s">
        <v>1003</v>
      </c>
      <c r="P207" s="16">
        <v>2.9756103300000004E-4</v>
      </c>
      <c r="Q207" s="22">
        <v>1</v>
      </c>
      <c r="R207" s="16">
        <v>2.1868248803841913E-4</v>
      </c>
    </row>
    <row r="208" spans="1:18" x14ac:dyDescent="0.45">
      <c r="A208" s="9">
        <v>369</v>
      </c>
      <c r="B208" s="9" t="s">
        <v>688</v>
      </c>
      <c r="C208" s="3" t="s">
        <v>996</v>
      </c>
      <c r="D208" s="3" t="s">
        <v>1163</v>
      </c>
      <c r="E208" t="s">
        <v>1164</v>
      </c>
      <c r="F208" t="s">
        <v>1010</v>
      </c>
      <c r="G208" t="s">
        <v>831</v>
      </c>
      <c r="H208" t="s">
        <v>808</v>
      </c>
      <c r="I208" t="s">
        <v>806</v>
      </c>
      <c r="K208" s="12" t="s">
        <v>1062</v>
      </c>
      <c r="L208" t="s">
        <v>1111</v>
      </c>
      <c r="M208" s="12" t="s">
        <v>838</v>
      </c>
      <c r="N208" s="14" t="s">
        <v>1003</v>
      </c>
      <c r="P208" s="16">
        <v>4.1066902799999995E-4</v>
      </c>
      <c r="Q208" s="22">
        <v>1</v>
      </c>
      <c r="R208" s="16">
        <v>3.0180741039220413E-4</v>
      </c>
    </row>
    <row r="209" spans="1:18" x14ac:dyDescent="0.45">
      <c r="A209" s="9">
        <v>370</v>
      </c>
      <c r="B209" s="9" t="s">
        <v>1168</v>
      </c>
      <c r="C209" s="3" t="s">
        <v>1171</v>
      </c>
      <c r="D209" s="3" t="s">
        <v>1173</v>
      </c>
      <c r="E209" t="s">
        <v>1165</v>
      </c>
      <c r="F209" t="s">
        <v>990</v>
      </c>
      <c r="G209" t="s">
        <v>831</v>
      </c>
      <c r="H209" t="s">
        <v>808</v>
      </c>
      <c r="I209" t="s">
        <v>806</v>
      </c>
      <c r="K209" s="12" t="s">
        <v>1062</v>
      </c>
      <c r="L209" t="s">
        <v>1111</v>
      </c>
      <c r="M209" s="12" t="s">
        <v>838</v>
      </c>
      <c r="N209" s="12" t="s">
        <v>1190</v>
      </c>
      <c r="P209" s="16">
        <v>4.1066902799999995E-4</v>
      </c>
      <c r="Q209" s="22">
        <v>1</v>
      </c>
      <c r="R209" s="16">
        <v>3.0180741039220413E-4</v>
      </c>
    </row>
    <row r="210" spans="1:18" x14ac:dyDescent="0.45">
      <c r="A210" s="9">
        <v>371</v>
      </c>
      <c r="B210" s="9" t="s">
        <v>1169</v>
      </c>
      <c r="C210" s="3" t="s">
        <v>1172</v>
      </c>
      <c r="D210" s="3" t="s">
        <v>1174</v>
      </c>
      <c r="E210" t="s">
        <v>1166</v>
      </c>
      <c r="F210" t="s">
        <v>988</v>
      </c>
      <c r="G210" t="s">
        <v>831</v>
      </c>
      <c r="H210" t="s">
        <v>808</v>
      </c>
      <c r="I210" t="s">
        <v>806</v>
      </c>
      <c r="K210" s="12" t="s">
        <v>1062</v>
      </c>
      <c r="L210" t="s">
        <v>1111</v>
      </c>
      <c r="M210" s="12" t="s">
        <v>838</v>
      </c>
      <c r="N210" s="12" t="s">
        <v>1190</v>
      </c>
      <c r="P210" s="16">
        <v>4.1066902799999995E-4</v>
      </c>
      <c r="Q210" s="22">
        <v>1</v>
      </c>
      <c r="R210" s="16">
        <v>3.0180741039220413E-4</v>
      </c>
    </row>
    <row r="211" spans="1:18" x14ac:dyDescent="0.45">
      <c r="A211" s="3">
        <v>379</v>
      </c>
      <c r="B211" s="3" t="s">
        <v>1540</v>
      </c>
      <c r="C211" s="3" t="s">
        <v>1200</v>
      </c>
      <c r="D211" s="3" t="s">
        <v>1202</v>
      </c>
      <c r="E211" t="s">
        <v>1182</v>
      </c>
      <c r="F211" t="s">
        <v>1010</v>
      </c>
      <c r="G211" t="s">
        <v>830</v>
      </c>
      <c r="H211" t="s">
        <v>808</v>
      </c>
      <c r="I211" s="12" t="s">
        <v>1107</v>
      </c>
      <c r="K211" s="12" t="s">
        <v>1062</v>
      </c>
      <c r="L211" s="12" t="s">
        <v>1110</v>
      </c>
      <c r="M211" s="12" t="s">
        <v>838</v>
      </c>
      <c r="N211" s="12" t="s">
        <v>1190</v>
      </c>
      <c r="O211" s="14" t="s">
        <v>1186</v>
      </c>
      <c r="P211" s="16">
        <v>2.7925493904000006E-3</v>
      </c>
      <c r="Q211" s="22">
        <v>1</v>
      </c>
      <c r="R211" s="16">
        <v>2.0522903906669888E-3</v>
      </c>
    </row>
    <row r="212" spans="1:18" x14ac:dyDescent="0.45">
      <c r="A212" s="3">
        <v>382</v>
      </c>
      <c r="B212" s="11" t="s">
        <v>661</v>
      </c>
      <c r="C212" s="11" t="s">
        <v>549</v>
      </c>
      <c r="D212" s="3" t="s">
        <v>559</v>
      </c>
      <c r="E212" s="2" t="s">
        <v>1192</v>
      </c>
      <c r="F212" t="s">
        <v>984</v>
      </c>
      <c r="G212" t="s">
        <v>831</v>
      </c>
      <c r="H212" s="2" t="s">
        <v>808</v>
      </c>
      <c r="I212" s="12" t="s">
        <v>1107</v>
      </c>
      <c r="J212" s="2"/>
      <c r="K212" s="12" t="s">
        <v>1062</v>
      </c>
      <c r="L212" s="12" t="s">
        <v>1110</v>
      </c>
      <c r="M212" s="12" t="s">
        <v>838</v>
      </c>
      <c r="N212" s="14" t="s">
        <v>1003</v>
      </c>
      <c r="P212" s="16">
        <v>8.0989191360000008E-3</v>
      </c>
      <c r="Q212" s="22">
        <v>0.75</v>
      </c>
      <c r="R212" s="16">
        <v>4.464021471224806E-3</v>
      </c>
    </row>
    <row r="213" spans="1:18" x14ac:dyDescent="0.45">
      <c r="A213" s="3">
        <v>383</v>
      </c>
      <c r="B213" s="11" t="s">
        <v>661</v>
      </c>
      <c r="C213" s="11" t="s">
        <v>549</v>
      </c>
      <c r="D213" s="3" t="s">
        <v>559</v>
      </c>
      <c r="E213" s="2" t="s">
        <v>1192</v>
      </c>
      <c r="F213" t="s">
        <v>985</v>
      </c>
      <c r="G213" t="s">
        <v>831</v>
      </c>
      <c r="H213" s="2" t="s">
        <v>808</v>
      </c>
      <c r="I213" s="12" t="s">
        <v>1107</v>
      </c>
      <c r="J213" s="2"/>
      <c r="K213" s="12" t="s">
        <v>1062</v>
      </c>
      <c r="L213" s="12" t="s">
        <v>1110</v>
      </c>
      <c r="M213" s="12" t="s">
        <v>838</v>
      </c>
      <c r="N213" s="14" t="s">
        <v>1003</v>
      </c>
      <c r="P213" s="16">
        <v>6.9945210720000007E-3</v>
      </c>
      <c r="Q213" s="22">
        <v>0.75</v>
      </c>
      <c r="R213" s="16">
        <v>3.855291270603241E-3</v>
      </c>
    </row>
    <row r="214" spans="1:18" x14ac:dyDescent="0.45">
      <c r="A214" s="3">
        <v>384</v>
      </c>
      <c r="B214" s="11" t="s">
        <v>661</v>
      </c>
      <c r="C214" s="11" t="s">
        <v>549</v>
      </c>
      <c r="D214" s="3" t="s">
        <v>559</v>
      </c>
      <c r="E214" s="2" t="s">
        <v>1192</v>
      </c>
      <c r="F214" t="s">
        <v>986</v>
      </c>
      <c r="G214" t="s">
        <v>831</v>
      </c>
      <c r="H214" s="2" t="s">
        <v>808</v>
      </c>
      <c r="I214" s="12" t="s">
        <v>1107</v>
      </c>
      <c r="J214" s="2"/>
      <c r="K214" s="12" t="s">
        <v>1062</v>
      </c>
      <c r="L214" s="12" t="s">
        <v>1110</v>
      </c>
      <c r="M214" s="12" t="s">
        <v>838</v>
      </c>
      <c r="N214" s="14" t="s">
        <v>1003</v>
      </c>
      <c r="P214" s="16">
        <v>3.9344181030000003E-3</v>
      </c>
      <c r="Q214" s="22">
        <v>0.75</v>
      </c>
      <c r="R214" s="16">
        <v>2.1686013397143231E-3</v>
      </c>
    </row>
    <row r="215" spans="1:18" x14ac:dyDescent="0.45">
      <c r="A215" s="3">
        <v>385</v>
      </c>
      <c r="B215" s="3" t="s">
        <v>1199</v>
      </c>
      <c r="C215" s="3" t="s">
        <v>1200</v>
      </c>
      <c r="D215" s="3" t="s">
        <v>1218</v>
      </c>
      <c r="E215" t="s">
        <v>1182</v>
      </c>
      <c r="F215" t="s">
        <v>984</v>
      </c>
      <c r="G215" t="s">
        <v>830</v>
      </c>
      <c r="H215" t="s">
        <v>808</v>
      </c>
      <c r="I215" s="12" t="s">
        <v>1107</v>
      </c>
      <c r="J215" s="12"/>
      <c r="K215" s="12" t="s">
        <v>1062</v>
      </c>
      <c r="L215" s="12" t="s">
        <v>1110</v>
      </c>
      <c r="M215" s="12" t="s">
        <v>838</v>
      </c>
      <c r="N215" s="14" t="s">
        <v>1003</v>
      </c>
      <c r="O215" t="s">
        <v>1184</v>
      </c>
      <c r="P215" s="16">
        <v>4.1651584128000003E-3</v>
      </c>
      <c r="Q215">
        <v>0.5</v>
      </c>
      <c r="R215" s="16">
        <v>1.5305216472770761E-3</v>
      </c>
    </row>
    <row r="216" spans="1:18" x14ac:dyDescent="0.45">
      <c r="A216" s="3">
        <v>386</v>
      </c>
      <c r="B216" s="3" t="s">
        <v>1149</v>
      </c>
      <c r="C216" s="3" t="s">
        <v>840</v>
      </c>
      <c r="D216" s="3" t="s">
        <v>1219</v>
      </c>
      <c r="E216" t="s">
        <v>977</v>
      </c>
      <c r="F216" t="s">
        <v>984</v>
      </c>
      <c r="G216" t="s">
        <v>830</v>
      </c>
      <c r="H216" t="s">
        <v>808</v>
      </c>
      <c r="I216" s="12" t="s">
        <v>1107</v>
      </c>
      <c r="J216" s="12"/>
      <c r="K216" s="12" t="s">
        <v>1062</v>
      </c>
      <c r="L216" s="12" t="s">
        <v>1110</v>
      </c>
      <c r="M216" s="12" t="s">
        <v>838</v>
      </c>
      <c r="N216" s="14" t="s">
        <v>1003</v>
      </c>
      <c r="O216" t="s">
        <v>1004</v>
      </c>
      <c r="P216" s="16">
        <v>4.1651584128000003E-3</v>
      </c>
      <c r="Q216">
        <v>0.5</v>
      </c>
      <c r="R216" s="16">
        <v>1.5305216472770761E-3</v>
      </c>
    </row>
    <row r="217" spans="1:18" x14ac:dyDescent="0.45">
      <c r="A217" s="3">
        <v>387</v>
      </c>
      <c r="B217" s="3" t="s">
        <v>1203</v>
      </c>
      <c r="C217" s="3" t="s">
        <v>1151</v>
      </c>
      <c r="D217" s="3" t="s">
        <v>1220</v>
      </c>
      <c r="E217" t="s">
        <v>1154</v>
      </c>
      <c r="F217" t="s">
        <v>984</v>
      </c>
      <c r="G217" t="s">
        <v>830</v>
      </c>
      <c r="H217" t="s">
        <v>808</v>
      </c>
      <c r="I217" s="12" t="s">
        <v>1107</v>
      </c>
      <c r="J217" s="12"/>
      <c r="K217" s="12" t="s">
        <v>1062</v>
      </c>
      <c r="L217" s="12" t="s">
        <v>1110</v>
      </c>
      <c r="M217" s="12" t="s">
        <v>838</v>
      </c>
      <c r="N217" t="s">
        <v>1229</v>
      </c>
      <c r="O217" t="s">
        <v>1155</v>
      </c>
      <c r="P217" s="16">
        <v>4.1651584128000003E-3</v>
      </c>
      <c r="Q217">
        <v>0.5</v>
      </c>
      <c r="R217" s="16">
        <v>1.5305216472770761E-3</v>
      </c>
    </row>
    <row r="218" spans="1:18" x14ac:dyDescent="0.45">
      <c r="A218" s="3">
        <v>388</v>
      </c>
      <c r="B218" s="3" t="s">
        <v>1143</v>
      </c>
      <c r="C218" s="3" t="s">
        <v>975</v>
      </c>
      <c r="D218" s="3" t="s">
        <v>1221</v>
      </c>
      <c r="E218" t="s">
        <v>978</v>
      </c>
      <c r="F218" t="s">
        <v>984</v>
      </c>
      <c r="G218" t="s">
        <v>830</v>
      </c>
      <c r="H218" t="s">
        <v>808</v>
      </c>
      <c r="I218" s="12" t="s">
        <v>1107</v>
      </c>
      <c r="J218" s="12"/>
      <c r="K218" s="12" t="s">
        <v>1062</v>
      </c>
      <c r="L218" s="12" t="s">
        <v>1110</v>
      </c>
      <c r="M218" s="12" t="s">
        <v>838</v>
      </c>
      <c r="N218" t="s">
        <v>1230</v>
      </c>
      <c r="O218" t="s">
        <v>651</v>
      </c>
      <c r="P218" s="16">
        <v>4.1651584128000003E-3</v>
      </c>
      <c r="Q218">
        <v>0.125</v>
      </c>
      <c r="R218" s="16">
        <v>3.8263041181926902E-4</v>
      </c>
    </row>
    <row r="219" spans="1:18" x14ac:dyDescent="0.45">
      <c r="A219" s="3">
        <v>389</v>
      </c>
      <c r="B219" s="3" t="s">
        <v>1144</v>
      </c>
      <c r="C219" s="3" t="s">
        <v>975</v>
      </c>
      <c r="D219" s="3" t="s">
        <v>1221</v>
      </c>
      <c r="E219" t="s">
        <v>1147</v>
      </c>
      <c r="F219" t="s">
        <v>984</v>
      </c>
      <c r="G219" t="s">
        <v>830</v>
      </c>
      <c r="H219" t="s">
        <v>808</v>
      </c>
      <c r="I219" s="12" t="s">
        <v>1107</v>
      </c>
      <c r="J219" s="12"/>
      <c r="K219" s="12" t="s">
        <v>1062</v>
      </c>
      <c r="L219" s="12" t="s">
        <v>1110</v>
      </c>
      <c r="M219" s="12" t="s">
        <v>838</v>
      </c>
      <c r="N219" t="s">
        <v>1230</v>
      </c>
      <c r="O219" t="s">
        <v>651</v>
      </c>
      <c r="P219" s="16">
        <v>4.1651584128000003E-3</v>
      </c>
      <c r="Q219">
        <v>0.375</v>
      </c>
      <c r="R219" s="16">
        <v>1.147891235457807E-3</v>
      </c>
    </row>
    <row r="220" spans="1:18" x14ac:dyDescent="0.45">
      <c r="A220" s="3">
        <v>390</v>
      </c>
      <c r="B220" s="3" t="s">
        <v>1150</v>
      </c>
      <c r="C220" s="3" t="s">
        <v>1140</v>
      </c>
      <c r="D220" s="3" t="s">
        <v>1222</v>
      </c>
      <c r="E220" t="s">
        <v>1132</v>
      </c>
      <c r="F220" t="s">
        <v>984</v>
      </c>
      <c r="G220" t="s">
        <v>830</v>
      </c>
      <c r="H220" t="s">
        <v>808</v>
      </c>
      <c r="I220" s="12" t="s">
        <v>1107</v>
      </c>
      <c r="J220" s="12"/>
      <c r="K220" s="12" t="s">
        <v>1062</v>
      </c>
      <c r="L220" s="12" t="s">
        <v>1110</v>
      </c>
      <c r="M220" s="12" t="s">
        <v>838</v>
      </c>
      <c r="N220" t="s">
        <v>1231</v>
      </c>
      <c r="O220" t="s">
        <v>1133</v>
      </c>
      <c r="P220" s="16">
        <v>4.1651584128000003E-3</v>
      </c>
      <c r="Q220">
        <v>0.5</v>
      </c>
      <c r="R220" s="16">
        <v>1.5305216472770761E-3</v>
      </c>
    </row>
    <row r="221" spans="1:18" x14ac:dyDescent="0.45">
      <c r="A221" s="3">
        <v>391</v>
      </c>
      <c r="B221" s="3" t="s">
        <v>1199</v>
      </c>
      <c r="C221" s="3" t="s">
        <v>1200</v>
      </c>
      <c r="D221" s="3" t="s">
        <v>1218</v>
      </c>
      <c r="E221" t="s">
        <v>1182</v>
      </c>
      <c r="F221" t="s">
        <v>985</v>
      </c>
      <c r="G221" t="s">
        <v>830</v>
      </c>
      <c r="H221" t="s">
        <v>808</v>
      </c>
      <c r="I221" s="12" t="s">
        <v>1107</v>
      </c>
      <c r="J221" s="12"/>
      <c r="K221" s="12" t="s">
        <v>1062</v>
      </c>
      <c r="L221" s="12" t="s">
        <v>1110</v>
      </c>
      <c r="M221" s="12" t="s">
        <v>838</v>
      </c>
      <c r="N221" s="14" t="s">
        <v>1003</v>
      </c>
      <c r="O221" t="s">
        <v>1185</v>
      </c>
      <c r="P221" s="16">
        <v>3.5971822656000003E-3</v>
      </c>
      <c r="Q221">
        <v>1</v>
      </c>
      <c r="R221" s="16">
        <v>2.6436282998422225E-3</v>
      </c>
    </row>
    <row r="222" spans="1:18" x14ac:dyDescent="0.45">
      <c r="A222" s="3">
        <v>392</v>
      </c>
      <c r="B222" s="3" t="s">
        <v>1149</v>
      </c>
      <c r="C222" s="3" t="s">
        <v>840</v>
      </c>
      <c r="D222" s="3" t="s">
        <v>1219</v>
      </c>
      <c r="E222" t="s">
        <v>977</v>
      </c>
      <c r="F222" t="s">
        <v>985</v>
      </c>
      <c r="G222" t="s">
        <v>830</v>
      </c>
      <c r="H222" t="s">
        <v>808</v>
      </c>
      <c r="I222" s="12" t="s">
        <v>1107</v>
      </c>
      <c r="J222" s="12"/>
      <c r="K222" s="12" t="s">
        <v>1062</v>
      </c>
      <c r="L222" s="12" t="s">
        <v>1110</v>
      </c>
      <c r="M222" s="12" t="s">
        <v>838</v>
      </c>
      <c r="N222" s="14" t="s">
        <v>1003</v>
      </c>
      <c r="O222" t="s">
        <v>1007</v>
      </c>
      <c r="P222" s="16">
        <v>3.5971822656000003E-3</v>
      </c>
      <c r="Q222">
        <v>1</v>
      </c>
      <c r="R222" s="16">
        <v>2.6436282998422225E-3</v>
      </c>
    </row>
    <row r="223" spans="1:18" x14ac:dyDescent="0.45">
      <c r="A223" s="3">
        <v>393</v>
      </c>
      <c r="B223" s="3" t="s">
        <v>1203</v>
      </c>
      <c r="C223" s="3" t="s">
        <v>1151</v>
      </c>
      <c r="D223" s="3" t="s">
        <v>1220</v>
      </c>
      <c r="E223" t="s">
        <v>1154</v>
      </c>
      <c r="F223" t="s">
        <v>985</v>
      </c>
      <c r="G223" t="s">
        <v>830</v>
      </c>
      <c r="H223" t="s">
        <v>808</v>
      </c>
      <c r="I223" s="12" t="s">
        <v>1107</v>
      </c>
      <c r="J223" s="12"/>
      <c r="K223" s="12" t="s">
        <v>1062</v>
      </c>
      <c r="L223" s="12" t="s">
        <v>1110</v>
      </c>
      <c r="M223" s="12" t="s">
        <v>838</v>
      </c>
      <c r="N223" t="s">
        <v>1229</v>
      </c>
      <c r="O223" t="s">
        <v>1178</v>
      </c>
      <c r="P223" s="16">
        <v>3.5971822656000003E-3</v>
      </c>
      <c r="Q223">
        <v>1</v>
      </c>
      <c r="R223" s="16">
        <v>2.6436282998422225E-3</v>
      </c>
    </row>
    <row r="224" spans="1:18" x14ac:dyDescent="0.45">
      <c r="A224" s="3">
        <v>394</v>
      </c>
      <c r="B224" s="3" t="s">
        <v>1143</v>
      </c>
      <c r="C224" s="3" t="s">
        <v>975</v>
      </c>
      <c r="D224" s="3" t="s">
        <v>1221</v>
      </c>
      <c r="E224" t="s">
        <v>978</v>
      </c>
      <c r="F224" t="s">
        <v>985</v>
      </c>
      <c r="G224" t="s">
        <v>830</v>
      </c>
      <c r="H224" t="s">
        <v>808</v>
      </c>
      <c r="I224" s="12" t="s">
        <v>1107</v>
      </c>
      <c r="J224" s="12"/>
      <c r="K224" s="12" t="s">
        <v>1062</v>
      </c>
      <c r="L224" s="12" t="s">
        <v>1110</v>
      </c>
      <c r="M224" s="12" t="s">
        <v>838</v>
      </c>
      <c r="N224" t="s">
        <v>1230</v>
      </c>
      <c r="O224" t="s">
        <v>1006</v>
      </c>
      <c r="P224" s="16">
        <v>3.5971822656000003E-3</v>
      </c>
      <c r="Q224">
        <v>0.25</v>
      </c>
      <c r="R224" s="16">
        <v>6.6090707496055563E-4</v>
      </c>
    </row>
    <row r="225" spans="1:18" x14ac:dyDescent="0.45">
      <c r="A225" s="3">
        <v>395</v>
      </c>
      <c r="B225" s="3" t="s">
        <v>1144</v>
      </c>
      <c r="C225" s="3" t="s">
        <v>975</v>
      </c>
      <c r="D225" s="3" t="s">
        <v>1221</v>
      </c>
      <c r="E225" t="s">
        <v>1147</v>
      </c>
      <c r="F225" t="s">
        <v>985</v>
      </c>
      <c r="G225" t="s">
        <v>830</v>
      </c>
      <c r="H225" t="s">
        <v>808</v>
      </c>
      <c r="I225" s="12" t="s">
        <v>1107</v>
      </c>
      <c r="J225" s="12"/>
      <c r="K225" s="12" t="s">
        <v>1062</v>
      </c>
      <c r="L225" s="12" t="s">
        <v>1110</v>
      </c>
      <c r="M225" s="12" t="s">
        <v>838</v>
      </c>
      <c r="N225" t="s">
        <v>1230</v>
      </c>
      <c r="O225" t="s">
        <v>1006</v>
      </c>
      <c r="P225" s="16">
        <v>3.5971822656000003E-3</v>
      </c>
      <c r="Q225">
        <v>0.75</v>
      </c>
      <c r="R225" s="16">
        <v>1.9827212248816665E-3</v>
      </c>
    </row>
    <row r="226" spans="1:18" x14ac:dyDescent="0.45">
      <c r="A226" s="3">
        <v>396</v>
      </c>
      <c r="B226" s="3" t="s">
        <v>1150</v>
      </c>
      <c r="C226" s="3" t="s">
        <v>1140</v>
      </c>
      <c r="D226" s="3" t="s">
        <v>1222</v>
      </c>
      <c r="E226" t="s">
        <v>1132</v>
      </c>
      <c r="F226" t="s">
        <v>985</v>
      </c>
      <c r="G226" t="s">
        <v>830</v>
      </c>
      <c r="H226" t="s">
        <v>808</v>
      </c>
      <c r="I226" s="12" t="s">
        <v>1107</v>
      </c>
      <c r="J226" s="12"/>
      <c r="K226" s="12" t="s">
        <v>1062</v>
      </c>
      <c r="L226" s="12" t="s">
        <v>1110</v>
      </c>
      <c r="M226" s="12" t="s">
        <v>838</v>
      </c>
      <c r="N226" t="s">
        <v>1231</v>
      </c>
      <c r="O226" t="s">
        <v>1134</v>
      </c>
      <c r="P226" s="16">
        <v>3.5971822656000003E-3</v>
      </c>
      <c r="Q226">
        <v>1</v>
      </c>
      <c r="R226" s="16">
        <v>2.6436282998422225E-3</v>
      </c>
    </row>
    <row r="227" spans="1:18" x14ac:dyDescent="0.45">
      <c r="A227" s="3">
        <v>397</v>
      </c>
      <c r="B227" s="3" t="s">
        <v>1199</v>
      </c>
      <c r="C227" s="3" t="s">
        <v>1200</v>
      </c>
      <c r="D227" s="3" t="s">
        <v>1218</v>
      </c>
      <c r="E227" t="s">
        <v>1182</v>
      </c>
      <c r="F227" t="s">
        <v>1010</v>
      </c>
      <c r="G227" t="s">
        <v>830</v>
      </c>
      <c r="H227" t="s">
        <v>808</v>
      </c>
      <c r="I227" s="12" t="s">
        <v>1107</v>
      </c>
      <c r="J227" s="12"/>
      <c r="K227" s="12" t="s">
        <v>1062</v>
      </c>
      <c r="L227" s="12" t="s">
        <v>1110</v>
      </c>
      <c r="M227" s="12" t="s">
        <v>838</v>
      </c>
      <c r="N227" s="14" t="s">
        <v>1003</v>
      </c>
      <c r="O227" t="s">
        <v>1186</v>
      </c>
      <c r="P227" s="16">
        <v>2.7925493904000006E-3</v>
      </c>
      <c r="Q227">
        <v>1</v>
      </c>
      <c r="R227" s="16">
        <v>2.0522903906669888E-3</v>
      </c>
    </row>
    <row r="228" spans="1:18" x14ac:dyDescent="0.45">
      <c r="A228" s="3">
        <v>398</v>
      </c>
      <c r="B228" s="3" t="s">
        <v>1149</v>
      </c>
      <c r="C228" s="3" t="s">
        <v>840</v>
      </c>
      <c r="D228" s="3" t="s">
        <v>1219</v>
      </c>
      <c r="E228" t="s">
        <v>977</v>
      </c>
      <c r="F228" t="s">
        <v>1010</v>
      </c>
      <c r="G228" t="s">
        <v>830</v>
      </c>
      <c r="H228" t="s">
        <v>808</v>
      </c>
      <c r="I228" s="12" t="s">
        <v>1107</v>
      </c>
      <c r="J228" s="12"/>
      <c r="K228" s="12" t="s">
        <v>1062</v>
      </c>
      <c r="L228" s="12" t="s">
        <v>1110</v>
      </c>
      <c r="M228" s="12" t="s">
        <v>838</v>
      </c>
      <c r="N228" s="14" t="s">
        <v>1003</v>
      </c>
      <c r="O228" t="s">
        <v>1137</v>
      </c>
      <c r="P228" s="16">
        <v>2.7925493904000006E-3</v>
      </c>
      <c r="Q228">
        <v>1</v>
      </c>
      <c r="R228" s="16">
        <v>2.0522903906669888E-3</v>
      </c>
    </row>
    <row r="229" spans="1:18" x14ac:dyDescent="0.45">
      <c r="A229" s="3">
        <v>399</v>
      </c>
      <c r="B229" s="3" t="s">
        <v>1541</v>
      </c>
      <c r="C229" s="3" t="s">
        <v>1151</v>
      </c>
      <c r="D229" s="3" t="s">
        <v>1220</v>
      </c>
      <c r="E229" t="s">
        <v>1154</v>
      </c>
      <c r="F229" t="s">
        <v>1010</v>
      </c>
      <c r="G229" t="s">
        <v>830</v>
      </c>
      <c r="H229" t="s">
        <v>808</v>
      </c>
      <c r="I229" s="12" t="s">
        <v>1107</v>
      </c>
      <c r="J229" s="12"/>
      <c r="K229" s="12" t="s">
        <v>1062</v>
      </c>
      <c r="L229" s="12" t="s">
        <v>1110</v>
      </c>
      <c r="M229" s="12" t="s">
        <v>838</v>
      </c>
      <c r="N229" t="s">
        <v>1229</v>
      </c>
      <c r="O229" t="s">
        <v>1180</v>
      </c>
      <c r="P229" s="16">
        <v>2.7925493904000006E-3</v>
      </c>
      <c r="Q229">
        <v>1</v>
      </c>
      <c r="R229" s="16">
        <v>2.0522903906669888E-3</v>
      </c>
    </row>
    <row r="230" spans="1:18" x14ac:dyDescent="0.45">
      <c r="A230" s="3">
        <v>402</v>
      </c>
      <c r="B230" s="3" t="s">
        <v>1150</v>
      </c>
      <c r="C230" s="3" t="s">
        <v>1140</v>
      </c>
      <c r="D230" s="3" t="s">
        <v>1222</v>
      </c>
      <c r="E230" t="s">
        <v>1132</v>
      </c>
      <c r="F230" t="s">
        <v>1010</v>
      </c>
      <c r="G230" t="s">
        <v>830</v>
      </c>
      <c r="H230" t="s">
        <v>808</v>
      </c>
      <c r="I230" s="12" t="s">
        <v>1107</v>
      </c>
      <c r="J230" s="12"/>
      <c r="K230" s="12" t="s">
        <v>1062</v>
      </c>
      <c r="L230" s="12" t="s">
        <v>1110</v>
      </c>
      <c r="M230" s="12" t="s">
        <v>838</v>
      </c>
      <c r="N230" t="s">
        <v>1231</v>
      </c>
      <c r="O230" t="s">
        <v>1138</v>
      </c>
      <c r="P230" s="16">
        <v>2.7925493904000006E-3</v>
      </c>
      <c r="Q230">
        <v>1</v>
      </c>
      <c r="R230" s="16">
        <v>2.0522903906669888E-3</v>
      </c>
    </row>
    <row r="231" spans="1:18" x14ac:dyDescent="0.45">
      <c r="A231" s="3">
        <v>404</v>
      </c>
      <c r="B231" s="3" t="s">
        <v>1149</v>
      </c>
      <c r="C231" s="3" t="s">
        <v>840</v>
      </c>
      <c r="D231" s="3" t="s">
        <v>1219</v>
      </c>
      <c r="E231" t="s">
        <v>977</v>
      </c>
      <c r="F231" t="s">
        <v>971</v>
      </c>
      <c r="G231" t="s">
        <v>830</v>
      </c>
      <c r="H231" t="s">
        <v>808</v>
      </c>
      <c r="I231" s="12" t="s">
        <v>1107</v>
      </c>
      <c r="J231" s="12"/>
      <c r="K231" s="12" t="s">
        <v>1062</v>
      </c>
      <c r="L231" s="12" t="s">
        <v>1110</v>
      </c>
      <c r="M231" s="12" t="s">
        <v>838</v>
      </c>
      <c r="N231" s="14" t="s">
        <v>1003</v>
      </c>
      <c r="O231" t="s">
        <v>1005</v>
      </c>
      <c r="P231" s="16">
        <v>2.3429016072E-3</v>
      </c>
      <c r="Q231">
        <v>1</v>
      </c>
      <c r="R231" s="16">
        <v>1.7218368531867105E-3</v>
      </c>
    </row>
    <row r="232" spans="1:18" x14ac:dyDescent="0.45">
      <c r="A232" s="3">
        <v>405</v>
      </c>
      <c r="B232" s="3" t="s">
        <v>1203</v>
      </c>
      <c r="C232" s="3" t="s">
        <v>1151</v>
      </c>
      <c r="D232" s="3" t="s">
        <v>1220</v>
      </c>
      <c r="E232" t="s">
        <v>1154</v>
      </c>
      <c r="F232" t="s">
        <v>971</v>
      </c>
      <c r="G232" t="s">
        <v>830</v>
      </c>
      <c r="H232" t="s">
        <v>808</v>
      </c>
      <c r="I232" s="12" t="s">
        <v>1107</v>
      </c>
      <c r="J232" s="12"/>
      <c r="K232" s="12" t="s">
        <v>1062</v>
      </c>
      <c r="L232" s="12" t="s">
        <v>1110</v>
      </c>
      <c r="M232" s="12" t="s">
        <v>838</v>
      </c>
      <c r="N232" t="s">
        <v>1229</v>
      </c>
      <c r="O232" t="s">
        <v>1177</v>
      </c>
      <c r="P232" s="16">
        <v>2.3429016072E-3</v>
      </c>
      <c r="Q232">
        <v>1</v>
      </c>
      <c r="R232" s="16">
        <v>1.7218368531867105E-3</v>
      </c>
    </row>
    <row r="233" spans="1:18" x14ac:dyDescent="0.45">
      <c r="A233" s="3">
        <v>407</v>
      </c>
      <c r="B233" s="3" t="s">
        <v>1149</v>
      </c>
      <c r="C233" s="3" t="s">
        <v>840</v>
      </c>
      <c r="D233" s="3" t="s">
        <v>1219</v>
      </c>
      <c r="E233" t="s">
        <v>977</v>
      </c>
      <c r="F233" t="s">
        <v>986</v>
      </c>
      <c r="G233" t="s">
        <v>830</v>
      </c>
      <c r="H233" t="s">
        <v>808</v>
      </c>
      <c r="I233" s="12" t="s">
        <v>1107</v>
      </c>
      <c r="J233" s="12"/>
      <c r="K233" s="12" t="s">
        <v>1062</v>
      </c>
      <c r="L233" s="12" t="s">
        <v>1110</v>
      </c>
      <c r="M233" s="12" t="s">
        <v>838</v>
      </c>
      <c r="N233" s="14" t="s">
        <v>1003</v>
      </c>
      <c r="O233" t="s">
        <v>1008</v>
      </c>
      <c r="P233" s="16">
        <v>2.0234150244E-3</v>
      </c>
      <c r="Q233">
        <v>1</v>
      </c>
      <c r="R233" s="16">
        <v>1.48704091866125E-3</v>
      </c>
    </row>
    <row r="234" spans="1:18" x14ac:dyDescent="0.45">
      <c r="A234" s="3">
        <v>408</v>
      </c>
      <c r="B234" s="3" t="s">
        <v>1203</v>
      </c>
      <c r="C234" s="3" t="s">
        <v>1151</v>
      </c>
      <c r="D234" s="3" t="s">
        <v>1220</v>
      </c>
      <c r="E234" t="s">
        <v>1154</v>
      </c>
      <c r="F234" t="s">
        <v>986</v>
      </c>
      <c r="G234" t="s">
        <v>830</v>
      </c>
      <c r="H234" t="s">
        <v>808</v>
      </c>
      <c r="I234" s="12" t="s">
        <v>1107</v>
      </c>
      <c r="J234" s="12"/>
      <c r="K234" s="12" t="s">
        <v>1062</v>
      </c>
      <c r="L234" s="12" t="s">
        <v>1110</v>
      </c>
      <c r="M234" s="12" t="s">
        <v>838</v>
      </c>
      <c r="N234" t="s">
        <v>1229</v>
      </c>
      <c r="O234" t="s">
        <v>1179</v>
      </c>
      <c r="P234" s="16">
        <v>2.0234150244E-3</v>
      </c>
      <c r="Q234">
        <v>1</v>
      </c>
      <c r="R234" s="16">
        <v>1.48704091866125E-3</v>
      </c>
    </row>
    <row r="235" spans="1:18" x14ac:dyDescent="0.45">
      <c r="A235" s="3">
        <v>411</v>
      </c>
      <c r="B235" s="3" t="s">
        <v>1203</v>
      </c>
      <c r="C235" s="3" t="s">
        <v>1151</v>
      </c>
      <c r="D235" s="3" t="s">
        <v>1220</v>
      </c>
      <c r="E235" t="s">
        <v>1154</v>
      </c>
      <c r="F235" t="s">
        <v>987</v>
      </c>
      <c r="G235" t="s">
        <v>830</v>
      </c>
      <c r="H235" t="s">
        <v>808</v>
      </c>
      <c r="I235" s="12" t="s">
        <v>1107</v>
      </c>
      <c r="J235" s="12"/>
      <c r="K235" s="12" t="s">
        <v>1062</v>
      </c>
      <c r="L235" s="12" t="s">
        <v>1110</v>
      </c>
      <c r="M235" s="12" t="s">
        <v>838</v>
      </c>
      <c r="N235" t="s">
        <v>1229</v>
      </c>
      <c r="O235" t="s">
        <v>1181</v>
      </c>
      <c r="P235" s="16">
        <v>1.0472060213999998E-3</v>
      </c>
      <c r="Q235">
        <v>1</v>
      </c>
      <c r="R235" s="16">
        <v>7.6960889650012042E-4</v>
      </c>
    </row>
    <row r="236" spans="1:18" x14ac:dyDescent="0.45">
      <c r="A236" s="3">
        <v>412</v>
      </c>
      <c r="B236" s="3" t="s">
        <v>1018</v>
      </c>
      <c r="C236" s="3" t="s">
        <v>1234</v>
      </c>
      <c r="D236" s="3" t="s">
        <v>671</v>
      </c>
      <c r="E236" t="s">
        <v>523</v>
      </c>
      <c r="F236" t="s">
        <v>984</v>
      </c>
      <c r="G236" t="s">
        <v>831</v>
      </c>
      <c r="H236" t="s">
        <v>808</v>
      </c>
      <c r="I236" t="s">
        <v>806</v>
      </c>
      <c r="J236" s="12"/>
      <c r="K236" s="12" t="s">
        <v>1062</v>
      </c>
      <c r="L236" s="12" t="s">
        <v>1110</v>
      </c>
      <c r="M236" s="12" t="s">
        <v>838</v>
      </c>
      <c r="N236" s="14" t="s">
        <v>1236</v>
      </c>
      <c r="P236" s="16">
        <v>3.4709653440000003E-3</v>
      </c>
      <c r="Q236">
        <v>1</v>
      </c>
      <c r="R236" s="16">
        <v>2.5508694121284601E-3</v>
      </c>
    </row>
    <row r="237" spans="1:18" x14ac:dyDescent="0.45">
      <c r="A237" s="3">
        <v>413</v>
      </c>
      <c r="B237" s="3" t="s">
        <v>1018</v>
      </c>
      <c r="C237" s="3" t="s">
        <v>1235</v>
      </c>
      <c r="D237" s="3" t="s">
        <v>671</v>
      </c>
      <c r="E237" t="s">
        <v>523</v>
      </c>
      <c r="F237" t="s">
        <v>985</v>
      </c>
      <c r="G237" t="s">
        <v>831</v>
      </c>
      <c r="H237" t="s">
        <v>808</v>
      </c>
      <c r="I237" t="s">
        <v>806</v>
      </c>
      <c r="J237" s="12"/>
      <c r="K237" s="12" t="s">
        <v>1062</v>
      </c>
      <c r="L237" s="12" t="s">
        <v>1110</v>
      </c>
      <c r="M237" s="12" t="s">
        <v>838</v>
      </c>
      <c r="N237" s="14" t="s">
        <v>1236</v>
      </c>
      <c r="P237" s="16">
        <v>2.9976518880000004E-3</v>
      </c>
      <c r="Q237">
        <v>1</v>
      </c>
      <c r="R237" s="16">
        <v>2.203023583201852E-3</v>
      </c>
    </row>
    <row r="238" spans="1:18" x14ac:dyDescent="0.45">
      <c r="A238" s="3">
        <v>414</v>
      </c>
      <c r="B238" s="3" t="s">
        <v>1018</v>
      </c>
      <c r="C238" s="3" t="s">
        <v>1237</v>
      </c>
      <c r="D238" s="3" t="s">
        <v>671</v>
      </c>
      <c r="E238" t="s">
        <v>523</v>
      </c>
      <c r="F238" t="s">
        <v>1010</v>
      </c>
      <c r="G238" t="s">
        <v>831</v>
      </c>
      <c r="H238" t="s">
        <v>808</v>
      </c>
      <c r="I238" t="s">
        <v>806</v>
      </c>
      <c r="J238" s="12"/>
      <c r="K238" s="12" t="s">
        <v>1062</v>
      </c>
      <c r="L238" s="12" t="s">
        <v>1110</v>
      </c>
      <c r="M238" s="12" t="s">
        <v>838</v>
      </c>
      <c r="N238" s="14" t="s">
        <v>1236</v>
      </c>
      <c r="O238" t="s">
        <v>1233</v>
      </c>
      <c r="P238" s="16">
        <v>2.3271244920000001E-3</v>
      </c>
      <c r="Q238">
        <v>1</v>
      </c>
      <c r="R238" s="16">
        <v>1.7102419922224903E-3</v>
      </c>
    </row>
    <row r="239" spans="1:18" x14ac:dyDescent="0.45">
      <c r="A239" s="3">
        <v>415</v>
      </c>
      <c r="B239" s="3" t="s">
        <v>1018</v>
      </c>
      <c r="C239" s="3" t="s">
        <v>1238</v>
      </c>
      <c r="D239" s="3" t="s">
        <v>671</v>
      </c>
      <c r="E239" t="s">
        <v>523</v>
      </c>
      <c r="F239" t="s">
        <v>971</v>
      </c>
      <c r="G239" t="s">
        <v>831</v>
      </c>
      <c r="H239" t="s">
        <v>808</v>
      </c>
      <c r="I239" t="s">
        <v>806</v>
      </c>
      <c r="J239" s="12"/>
      <c r="K239" s="12" t="s">
        <v>1062</v>
      </c>
      <c r="L239" s="12" t="s">
        <v>1110</v>
      </c>
      <c r="M239" s="12" t="s">
        <v>838</v>
      </c>
      <c r="N239" s="14" t="s">
        <v>1236</v>
      </c>
      <c r="P239" s="16">
        <v>1.952418006E-3</v>
      </c>
      <c r="Q239">
        <v>1</v>
      </c>
      <c r="R239" s="16">
        <v>1.4348640443222586E-3</v>
      </c>
    </row>
    <row r="240" spans="1:18" x14ac:dyDescent="0.45">
      <c r="A240" s="3">
        <v>416</v>
      </c>
      <c r="B240" s="3" t="s">
        <v>1018</v>
      </c>
      <c r="C240" s="3" t="s">
        <v>1235</v>
      </c>
      <c r="D240" s="3" t="s">
        <v>671</v>
      </c>
      <c r="E240" t="s">
        <v>523</v>
      </c>
      <c r="F240" t="s">
        <v>986</v>
      </c>
      <c r="G240" t="s">
        <v>831</v>
      </c>
      <c r="H240" t="s">
        <v>808</v>
      </c>
      <c r="I240" t="s">
        <v>806</v>
      </c>
      <c r="J240" s="12"/>
      <c r="K240" s="12" t="s">
        <v>1062</v>
      </c>
      <c r="L240" s="12" t="s">
        <v>1110</v>
      </c>
      <c r="M240" s="12" t="s">
        <v>838</v>
      </c>
      <c r="N240" s="14" t="s">
        <v>1236</v>
      </c>
      <c r="P240" s="16">
        <v>1.6861791870000002E-3</v>
      </c>
      <c r="Q240">
        <v>1</v>
      </c>
      <c r="R240" s="16">
        <v>1.2392007655510418E-3</v>
      </c>
    </row>
    <row r="241" spans="1:18" x14ac:dyDescent="0.45">
      <c r="A241" s="3">
        <v>417</v>
      </c>
      <c r="B241" s="3" t="s">
        <v>1018</v>
      </c>
      <c r="C241" s="3" t="s">
        <v>1239</v>
      </c>
      <c r="D241" s="3" t="s">
        <v>671</v>
      </c>
      <c r="E241" t="s">
        <v>523</v>
      </c>
      <c r="F241" t="s">
        <v>987</v>
      </c>
      <c r="G241" t="s">
        <v>831</v>
      </c>
      <c r="H241" t="s">
        <v>808</v>
      </c>
      <c r="I241" t="s">
        <v>806</v>
      </c>
      <c r="J241" s="12"/>
      <c r="K241" s="12" t="s">
        <v>1062</v>
      </c>
      <c r="L241" s="12" t="s">
        <v>1110</v>
      </c>
      <c r="M241" s="12" t="s">
        <v>838</v>
      </c>
      <c r="N241" s="14" t="s">
        <v>1236</v>
      </c>
      <c r="P241" s="16">
        <v>8.7267168449999986E-4</v>
      </c>
      <c r="Q241">
        <v>1</v>
      </c>
      <c r="R241" s="16">
        <v>6.4134074708343375E-4</v>
      </c>
    </row>
    <row r="242" spans="1:18" x14ac:dyDescent="0.45">
      <c r="A242" s="3">
        <v>418</v>
      </c>
      <c r="B242" s="3" t="s">
        <v>688</v>
      </c>
      <c r="C242" s="3" t="s">
        <v>1240</v>
      </c>
      <c r="D242" s="3" t="s">
        <v>1163</v>
      </c>
      <c r="E242" t="s">
        <v>979</v>
      </c>
      <c r="F242" t="s">
        <v>984</v>
      </c>
      <c r="G242" t="s">
        <v>831</v>
      </c>
      <c r="H242" t="s">
        <v>808</v>
      </c>
      <c r="I242" t="s">
        <v>806</v>
      </c>
      <c r="J242" s="12"/>
      <c r="K242" s="12" t="s">
        <v>1062</v>
      </c>
      <c r="L242" t="s">
        <v>1111</v>
      </c>
      <c r="M242" s="12" t="s">
        <v>838</v>
      </c>
      <c r="N242" s="14" t="s">
        <v>1236</v>
      </c>
      <c r="P242" s="16">
        <v>6.1252329599999992E-4</v>
      </c>
      <c r="Q242">
        <v>1</v>
      </c>
      <c r="R242" s="16">
        <v>4.5015342566972816E-4</v>
      </c>
    </row>
    <row r="243" spans="1:18" x14ac:dyDescent="0.45">
      <c r="A243" s="3">
        <v>419</v>
      </c>
      <c r="B243" s="3" t="s">
        <v>688</v>
      </c>
      <c r="C243" s="3" t="s">
        <v>1241</v>
      </c>
      <c r="D243" s="3" t="s">
        <v>1163</v>
      </c>
      <c r="E243" t="s">
        <v>979</v>
      </c>
      <c r="F243" t="s">
        <v>985</v>
      </c>
      <c r="G243" t="s">
        <v>831</v>
      </c>
      <c r="H243" t="s">
        <v>808</v>
      </c>
      <c r="I243" t="s">
        <v>806</v>
      </c>
      <c r="J243" s="12"/>
      <c r="K243" s="12" t="s">
        <v>1062</v>
      </c>
      <c r="L243" t="s">
        <v>1111</v>
      </c>
      <c r="M243" s="12" t="s">
        <v>838</v>
      </c>
      <c r="N243" s="14" t="s">
        <v>1236</v>
      </c>
      <c r="P243" s="16">
        <v>5.2899739200000008E-4</v>
      </c>
      <c r="Q243">
        <v>1</v>
      </c>
      <c r="R243" s="16">
        <v>3.8876886762385628E-4</v>
      </c>
    </row>
    <row r="244" spans="1:18" x14ac:dyDescent="0.45">
      <c r="A244" s="3">
        <v>420</v>
      </c>
      <c r="B244" s="3" t="s">
        <v>688</v>
      </c>
      <c r="C244" s="3" t="s">
        <v>1242</v>
      </c>
      <c r="D244" s="3" t="s">
        <v>1163</v>
      </c>
      <c r="E244" t="s">
        <v>979</v>
      </c>
      <c r="F244" t="s">
        <v>1010</v>
      </c>
      <c r="G244" t="s">
        <v>831</v>
      </c>
      <c r="H244" t="s">
        <v>808</v>
      </c>
      <c r="I244" t="s">
        <v>806</v>
      </c>
      <c r="J244" s="12"/>
      <c r="K244" s="12" t="s">
        <v>1062</v>
      </c>
      <c r="L244" t="s">
        <v>1111</v>
      </c>
      <c r="M244" s="12" t="s">
        <v>838</v>
      </c>
      <c r="N244" s="14" t="s">
        <v>1236</v>
      </c>
      <c r="O244" t="s">
        <v>607</v>
      </c>
      <c r="P244" s="16">
        <v>4.1066902799999995E-4</v>
      </c>
      <c r="Q244">
        <v>1</v>
      </c>
      <c r="R244" s="16">
        <v>3.0180741039220413E-4</v>
      </c>
    </row>
    <row r="245" spans="1:18" x14ac:dyDescent="0.45">
      <c r="A245" s="3">
        <v>421</v>
      </c>
      <c r="B245" s="3" t="s">
        <v>688</v>
      </c>
      <c r="C245" s="3" t="s">
        <v>1243</v>
      </c>
      <c r="D245" s="3" t="s">
        <v>1163</v>
      </c>
      <c r="E245" t="s">
        <v>979</v>
      </c>
      <c r="F245" t="s">
        <v>971</v>
      </c>
      <c r="G245" t="s">
        <v>831</v>
      </c>
      <c r="H245" t="s">
        <v>808</v>
      </c>
      <c r="I245" t="s">
        <v>806</v>
      </c>
      <c r="J245" s="12"/>
      <c r="K245" s="12" t="s">
        <v>1062</v>
      </c>
      <c r="L245" t="s">
        <v>1111</v>
      </c>
      <c r="M245" s="12" t="s">
        <v>838</v>
      </c>
      <c r="N245" s="14" t="s">
        <v>1236</v>
      </c>
      <c r="P245" s="16">
        <v>3.4454435399999995E-4</v>
      </c>
      <c r="Q245">
        <v>1</v>
      </c>
      <c r="R245" s="16">
        <v>2.5321130193922209E-4</v>
      </c>
    </row>
    <row r="246" spans="1:18" x14ac:dyDescent="0.45">
      <c r="A246" s="3">
        <v>422</v>
      </c>
      <c r="B246" s="3" t="s">
        <v>688</v>
      </c>
      <c r="C246" s="3" t="s">
        <v>1241</v>
      </c>
      <c r="D246" s="3" t="s">
        <v>1163</v>
      </c>
      <c r="E246" t="s">
        <v>979</v>
      </c>
      <c r="F246" t="s">
        <v>986</v>
      </c>
      <c r="G246" t="s">
        <v>831</v>
      </c>
      <c r="H246" t="s">
        <v>808</v>
      </c>
      <c r="I246" t="s">
        <v>806</v>
      </c>
      <c r="J246" s="12"/>
      <c r="K246" s="12" t="s">
        <v>1062</v>
      </c>
      <c r="L246" t="s">
        <v>1111</v>
      </c>
      <c r="M246" s="12" t="s">
        <v>838</v>
      </c>
      <c r="N246" s="14" t="s">
        <v>1236</v>
      </c>
      <c r="P246" s="16">
        <v>2.9756103300000004E-4</v>
      </c>
      <c r="Q246">
        <v>1</v>
      </c>
      <c r="R246" s="16">
        <v>2.1868248803841913E-4</v>
      </c>
    </row>
    <row r="247" spans="1:18" x14ac:dyDescent="0.45">
      <c r="A247" s="3">
        <v>423</v>
      </c>
      <c r="B247" s="3" t="s">
        <v>688</v>
      </c>
      <c r="C247" s="3" t="s">
        <v>996</v>
      </c>
      <c r="D247" s="3" t="s">
        <v>1163</v>
      </c>
      <c r="E247" t="s">
        <v>979</v>
      </c>
      <c r="F247" t="s">
        <v>987</v>
      </c>
      <c r="G247" t="s">
        <v>831</v>
      </c>
      <c r="H247" t="s">
        <v>808</v>
      </c>
      <c r="I247" t="s">
        <v>806</v>
      </c>
      <c r="J247" s="12"/>
      <c r="K247" s="12" t="s">
        <v>1062</v>
      </c>
      <c r="L247" t="s">
        <v>1111</v>
      </c>
      <c r="M247" s="12" t="s">
        <v>838</v>
      </c>
      <c r="N247" s="14" t="s">
        <v>1003</v>
      </c>
      <c r="P247" s="16">
        <v>1.5400088549999996E-4</v>
      </c>
      <c r="Q247">
        <v>1</v>
      </c>
      <c r="R247" s="16">
        <v>1.1317777889707653E-4</v>
      </c>
    </row>
    <row r="248" spans="1:18" x14ac:dyDescent="0.45">
      <c r="A248" s="3">
        <v>424</v>
      </c>
      <c r="B248" s="3" t="s">
        <v>688</v>
      </c>
      <c r="C248" s="3" t="s">
        <v>1244</v>
      </c>
      <c r="D248" s="3" t="s">
        <v>1163</v>
      </c>
      <c r="E248" t="s">
        <v>154</v>
      </c>
      <c r="F248" t="s">
        <v>987</v>
      </c>
      <c r="G248" t="s">
        <v>831</v>
      </c>
      <c r="H248" t="s">
        <v>808</v>
      </c>
      <c r="I248" t="s">
        <v>806</v>
      </c>
      <c r="J248" s="12"/>
      <c r="K248" s="12" t="s">
        <v>1062</v>
      </c>
      <c r="L248" t="s">
        <v>1111</v>
      </c>
      <c r="M248" s="12" t="s">
        <v>838</v>
      </c>
      <c r="N248" s="14" t="s">
        <v>1003</v>
      </c>
      <c r="P248" s="16">
        <v>1.5400088549999996E-4</v>
      </c>
      <c r="Q248">
        <v>1</v>
      </c>
      <c r="R248" s="16">
        <v>1.1317777889707653E-4</v>
      </c>
    </row>
    <row r="249" spans="1:18" x14ac:dyDescent="0.45">
      <c r="A249" s="3">
        <v>425</v>
      </c>
      <c r="B249" s="3" t="s">
        <v>660</v>
      </c>
      <c r="C249" s="3" t="s">
        <v>750</v>
      </c>
      <c r="D249" s="3" t="s">
        <v>558</v>
      </c>
      <c r="E249" t="s">
        <v>105</v>
      </c>
      <c r="F249" t="s">
        <v>984</v>
      </c>
      <c r="G249" t="s">
        <v>831</v>
      </c>
      <c r="H249" t="s">
        <v>768</v>
      </c>
      <c r="I249" s="12" t="s">
        <v>1107</v>
      </c>
      <c r="J249" s="12"/>
      <c r="K249" s="12" t="s">
        <v>1062</v>
      </c>
      <c r="L249" s="12" t="s">
        <v>1110</v>
      </c>
      <c r="M249" s="12" t="s">
        <v>838</v>
      </c>
      <c r="N249" s="14" t="s">
        <v>1003</v>
      </c>
      <c r="P249" s="16">
        <v>2.9450615039999994E-3</v>
      </c>
      <c r="Q249">
        <v>1</v>
      </c>
      <c r="R249" s="16">
        <v>2.1643740466544504E-3</v>
      </c>
    </row>
    <row r="250" spans="1:18" x14ac:dyDescent="0.45">
      <c r="A250" s="3">
        <v>426</v>
      </c>
      <c r="B250" s="3" t="s">
        <v>190</v>
      </c>
      <c r="C250" s="3" t="s">
        <v>759</v>
      </c>
      <c r="D250" s="3" t="s">
        <v>619</v>
      </c>
      <c r="E250" t="s">
        <v>154</v>
      </c>
      <c r="F250" t="s">
        <v>984</v>
      </c>
      <c r="G250" t="s">
        <v>831</v>
      </c>
      <c r="H250" t="s">
        <v>768</v>
      </c>
      <c r="I250" s="12" t="s">
        <v>1107</v>
      </c>
      <c r="J250" s="12"/>
      <c r="K250" s="12" t="s">
        <v>1062</v>
      </c>
      <c r="L250" s="12" t="s">
        <v>1110</v>
      </c>
      <c r="M250" s="12" t="s">
        <v>838</v>
      </c>
      <c r="N250" t="s">
        <v>1232</v>
      </c>
      <c r="P250" s="16">
        <v>2.9450615039999994E-3</v>
      </c>
      <c r="Q250">
        <v>1</v>
      </c>
      <c r="R250" s="16">
        <v>2.1643740466544504E-3</v>
      </c>
    </row>
    <row r="251" spans="1:18" x14ac:dyDescent="0.45">
      <c r="A251" s="3">
        <v>427</v>
      </c>
      <c r="B251" s="3" t="s">
        <v>660</v>
      </c>
      <c r="C251" s="3" t="s">
        <v>750</v>
      </c>
      <c r="D251" s="3" t="s">
        <v>558</v>
      </c>
      <c r="E251" t="s">
        <v>105</v>
      </c>
      <c r="F251" t="s">
        <v>985</v>
      </c>
      <c r="G251" t="s">
        <v>831</v>
      </c>
      <c r="H251" t="s">
        <v>768</v>
      </c>
      <c r="I251" s="12" t="s">
        <v>1107</v>
      </c>
      <c r="J251" s="12"/>
      <c r="K251" s="12" t="s">
        <v>1062</v>
      </c>
      <c r="L251" s="12" t="s">
        <v>1110</v>
      </c>
      <c r="M251" s="12" t="s">
        <v>838</v>
      </c>
      <c r="N251" s="14" t="s">
        <v>1003</v>
      </c>
      <c r="P251" s="16">
        <v>2.5434622079999998E-3</v>
      </c>
      <c r="Q251">
        <v>1</v>
      </c>
      <c r="R251" s="16">
        <v>1.8692321312015711E-3</v>
      </c>
    </row>
    <row r="252" spans="1:18" x14ac:dyDescent="0.45">
      <c r="A252" s="3">
        <v>428</v>
      </c>
      <c r="B252" s="3" t="s">
        <v>190</v>
      </c>
      <c r="C252" s="3" t="s">
        <v>759</v>
      </c>
      <c r="D252" s="3" t="s">
        <v>619</v>
      </c>
      <c r="E252" t="s">
        <v>154</v>
      </c>
      <c r="F252" t="s">
        <v>985</v>
      </c>
      <c r="G252" t="s">
        <v>831</v>
      </c>
      <c r="H252" t="s">
        <v>768</v>
      </c>
      <c r="I252" s="12" t="s">
        <v>1107</v>
      </c>
      <c r="J252" s="12"/>
      <c r="K252" s="12" t="s">
        <v>1062</v>
      </c>
      <c r="L252" s="12" t="s">
        <v>1110</v>
      </c>
      <c r="M252" s="12" t="s">
        <v>838</v>
      </c>
      <c r="N252" t="s">
        <v>1232</v>
      </c>
      <c r="P252" s="16">
        <v>2.5434622079999998E-3</v>
      </c>
      <c r="Q252">
        <v>1</v>
      </c>
      <c r="R252" s="16">
        <v>1.8692321312015711E-3</v>
      </c>
    </row>
    <row r="253" spans="1:18" x14ac:dyDescent="0.45">
      <c r="A253" s="3">
        <v>429</v>
      </c>
      <c r="B253" s="3" t="s">
        <v>660</v>
      </c>
      <c r="C253" s="3" t="s">
        <v>1249</v>
      </c>
      <c r="D253" s="3" t="s">
        <v>558</v>
      </c>
      <c r="E253" t="s">
        <v>105</v>
      </c>
      <c r="F253" t="s">
        <v>1010</v>
      </c>
      <c r="G253" t="s">
        <v>831</v>
      </c>
      <c r="H253" t="s">
        <v>768</v>
      </c>
      <c r="I253" s="12" t="s">
        <v>1107</v>
      </c>
      <c r="J253" s="12"/>
      <c r="K253" s="12" t="s">
        <v>1062</v>
      </c>
      <c r="L253" s="12" t="s">
        <v>1110</v>
      </c>
      <c r="M253" s="12" t="s">
        <v>838</v>
      </c>
      <c r="N253" s="14" t="s">
        <v>1250</v>
      </c>
      <c r="O253" t="s">
        <v>1251</v>
      </c>
      <c r="P253" s="16">
        <v>1.974529872E-3</v>
      </c>
      <c r="Q253">
        <v>1</v>
      </c>
      <c r="R253" s="16">
        <v>1.451114417643325E-3</v>
      </c>
    </row>
    <row r="254" spans="1:18" x14ac:dyDescent="0.45">
      <c r="A254" s="3">
        <v>430</v>
      </c>
      <c r="B254" s="3" t="s">
        <v>190</v>
      </c>
      <c r="C254" s="3" t="s">
        <v>1255</v>
      </c>
      <c r="D254" s="3" t="s">
        <v>619</v>
      </c>
      <c r="E254" t="s">
        <v>154</v>
      </c>
      <c r="F254" t="s">
        <v>1010</v>
      </c>
      <c r="G254" t="s">
        <v>831</v>
      </c>
      <c r="H254" t="s">
        <v>768</v>
      </c>
      <c r="I254" s="12" t="s">
        <v>1107</v>
      </c>
      <c r="J254" s="12"/>
      <c r="K254" s="12" t="s">
        <v>1062</v>
      </c>
      <c r="L254" s="12" t="s">
        <v>1110</v>
      </c>
      <c r="M254" s="12" t="s">
        <v>838</v>
      </c>
      <c r="N254" s="14" t="s">
        <v>1278</v>
      </c>
      <c r="O254" t="s">
        <v>1254</v>
      </c>
      <c r="P254" s="16">
        <v>1.974529872E-3</v>
      </c>
      <c r="Q254">
        <v>1</v>
      </c>
      <c r="R254" s="16">
        <v>1.451114417643325E-3</v>
      </c>
    </row>
    <row r="255" spans="1:18" x14ac:dyDescent="0.45">
      <c r="A255" s="3">
        <v>431</v>
      </c>
      <c r="B255" s="3" t="s">
        <v>660</v>
      </c>
      <c r="C255" s="3" t="s">
        <v>750</v>
      </c>
      <c r="D255" s="3" t="s">
        <v>558</v>
      </c>
      <c r="E255" t="s">
        <v>105</v>
      </c>
      <c r="F255" t="s">
        <v>971</v>
      </c>
      <c r="G255" t="s">
        <v>831</v>
      </c>
      <c r="H255" t="s">
        <v>768</v>
      </c>
      <c r="I255" s="12" t="s">
        <v>1107</v>
      </c>
      <c r="J255" s="12"/>
      <c r="K255" s="12" t="s">
        <v>1062</v>
      </c>
      <c r="L255" s="12" t="s">
        <v>1110</v>
      </c>
      <c r="M255" s="12" t="s">
        <v>838</v>
      </c>
      <c r="N255" s="14" t="s">
        <v>1003</v>
      </c>
      <c r="P255" s="16">
        <v>1.6565970959999999E-3</v>
      </c>
      <c r="Q255">
        <v>1</v>
      </c>
      <c r="R255" s="16">
        <v>1.2174604012431286E-3</v>
      </c>
    </row>
    <row r="256" spans="1:18" x14ac:dyDescent="0.45">
      <c r="A256" s="3">
        <v>432</v>
      </c>
      <c r="B256" s="3" t="s">
        <v>190</v>
      </c>
      <c r="C256" s="3" t="s">
        <v>759</v>
      </c>
      <c r="D256" s="3" t="s">
        <v>619</v>
      </c>
      <c r="E256" t="s">
        <v>154</v>
      </c>
      <c r="F256" t="s">
        <v>971</v>
      </c>
      <c r="G256" t="s">
        <v>831</v>
      </c>
      <c r="H256" t="s">
        <v>768</v>
      </c>
      <c r="I256" s="12" t="s">
        <v>1107</v>
      </c>
      <c r="J256" s="12"/>
      <c r="K256" s="12" t="s">
        <v>1062</v>
      </c>
      <c r="L256" s="12" t="s">
        <v>1110</v>
      </c>
      <c r="M256" s="12" t="s">
        <v>838</v>
      </c>
      <c r="N256" t="s">
        <v>1232</v>
      </c>
      <c r="P256" s="16">
        <v>1.6565970959999999E-3</v>
      </c>
      <c r="Q256">
        <v>1</v>
      </c>
      <c r="R256" s="16">
        <v>1.2174604012431286E-3</v>
      </c>
    </row>
    <row r="257" spans="1:18" x14ac:dyDescent="0.45">
      <c r="A257" s="3">
        <v>433</v>
      </c>
      <c r="B257" s="3" t="s">
        <v>660</v>
      </c>
      <c r="C257" s="3" t="s">
        <v>750</v>
      </c>
      <c r="D257" s="3" t="s">
        <v>558</v>
      </c>
      <c r="E257" t="s">
        <v>105</v>
      </c>
      <c r="F257" t="s">
        <v>986</v>
      </c>
      <c r="G257" t="s">
        <v>831</v>
      </c>
      <c r="H257" t="s">
        <v>768</v>
      </c>
      <c r="I257" s="12" t="s">
        <v>1107</v>
      </c>
      <c r="J257" s="12"/>
      <c r="K257" s="12" t="s">
        <v>1062</v>
      </c>
      <c r="L257" s="12" t="s">
        <v>1110</v>
      </c>
      <c r="M257" s="12" t="s">
        <v>838</v>
      </c>
      <c r="N257" s="14" t="s">
        <v>1003</v>
      </c>
      <c r="O257" t="s">
        <v>1256</v>
      </c>
      <c r="P257" s="16">
        <v>1.4306974919999999E-3</v>
      </c>
      <c r="Q257">
        <v>1</v>
      </c>
      <c r="R257" s="16">
        <v>1.0514430738008838E-3</v>
      </c>
    </row>
    <row r="258" spans="1:18" x14ac:dyDescent="0.45">
      <c r="A258" s="3">
        <v>434</v>
      </c>
      <c r="B258" s="3" t="s">
        <v>190</v>
      </c>
      <c r="C258" s="3" t="s">
        <v>759</v>
      </c>
      <c r="D258" s="3" t="s">
        <v>619</v>
      </c>
      <c r="E258" t="s">
        <v>154</v>
      </c>
      <c r="F258" t="s">
        <v>986</v>
      </c>
      <c r="G258" t="s">
        <v>831</v>
      </c>
      <c r="H258" t="s">
        <v>768</v>
      </c>
      <c r="I258" s="12" t="s">
        <v>1107</v>
      </c>
      <c r="J258" s="12"/>
      <c r="K258" s="12" t="s">
        <v>1062</v>
      </c>
      <c r="L258" s="12" t="s">
        <v>1110</v>
      </c>
      <c r="M258" s="12" t="s">
        <v>838</v>
      </c>
      <c r="N258" t="s">
        <v>1232</v>
      </c>
      <c r="P258" s="16">
        <v>1.4306974919999999E-3</v>
      </c>
      <c r="Q258">
        <v>1</v>
      </c>
      <c r="R258" s="16">
        <v>1.0514430738008838E-3</v>
      </c>
    </row>
    <row r="259" spans="1:18" x14ac:dyDescent="0.45">
      <c r="A259" s="3">
        <v>435</v>
      </c>
      <c r="B259" s="3" t="s">
        <v>660</v>
      </c>
      <c r="C259" s="3" t="s">
        <v>750</v>
      </c>
      <c r="D259" s="3" t="s">
        <v>558</v>
      </c>
      <c r="E259" t="s">
        <v>105</v>
      </c>
      <c r="F259" t="s">
        <v>987</v>
      </c>
      <c r="G259" t="s">
        <v>831</v>
      </c>
      <c r="H259" t="s">
        <v>768</v>
      </c>
      <c r="I259" s="12" t="s">
        <v>1107</v>
      </c>
      <c r="J259" s="12"/>
      <c r="K259" s="12" t="s">
        <v>1062</v>
      </c>
      <c r="L259" s="12" t="s">
        <v>1110</v>
      </c>
      <c r="M259" s="12" t="s">
        <v>838</v>
      </c>
      <c r="N259" s="14" t="s">
        <v>1003</v>
      </c>
      <c r="P259" s="16">
        <v>7.4044870199999979E-4</v>
      </c>
      <c r="Q259">
        <v>1</v>
      </c>
      <c r="R259" s="16">
        <v>5.4416790661624673E-4</v>
      </c>
    </row>
    <row r="260" spans="1:18" x14ac:dyDescent="0.45">
      <c r="A260" s="3">
        <v>436</v>
      </c>
      <c r="B260" s="3" t="s">
        <v>190</v>
      </c>
      <c r="C260" s="3" t="s">
        <v>759</v>
      </c>
      <c r="D260" s="3" t="s">
        <v>619</v>
      </c>
      <c r="E260" t="s">
        <v>154</v>
      </c>
      <c r="F260" t="s">
        <v>987</v>
      </c>
      <c r="G260" t="s">
        <v>831</v>
      </c>
      <c r="H260" t="s">
        <v>768</v>
      </c>
      <c r="I260" s="12" t="s">
        <v>1107</v>
      </c>
      <c r="J260" s="12"/>
      <c r="K260" s="12" t="s">
        <v>1062</v>
      </c>
      <c r="L260" s="12" t="s">
        <v>1110</v>
      </c>
      <c r="M260" s="12" t="s">
        <v>838</v>
      </c>
      <c r="N260" t="s">
        <v>1232</v>
      </c>
      <c r="P260" s="16">
        <v>7.4044870199999979E-4</v>
      </c>
      <c r="Q260">
        <v>1</v>
      </c>
      <c r="R260" s="16">
        <v>5.4416790661624673E-4</v>
      </c>
    </row>
    <row r="261" spans="1:18" x14ac:dyDescent="0.45">
      <c r="A261" s="3">
        <v>437</v>
      </c>
      <c r="B261" s="3" t="s">
        <v>1150</v>
      </c>
      <c r="C261" s="3" t="s">
        <v>1140</v>
      </c>
      <c r="D261" s="3" t="s">
        <v>1145</v>
      </c>
      <c r="E261" t="s">
        <v>1132</v>
      </c>
      <c r="F261" t="s">
        <v>1010</v>
      </c>
      <c r="G261" t="s">
        <v>830</v>
      </c>
      <c r="H261" t="s">
        <v>808</v>
      </c>
      <c r="I261" s="12" t="s">
        <v>1107</v>
      </c>
      <c r="K261" s="12" t="s">
        <v>1062</v>
      </c>
      <c r="L261" s="12" t="s">
        <v>1110</v>
      </c>
      <c r="M261" s="12" t="s">
        <v>838</v>
      </c>
      <c r="N261" s="14" t="s">
        <v>1129</v>
      </c>
      <c r="O261" s="14" t="s">
        <v>1138</v>
      </c>
      <c r="P261" s="16">
        <v>2.7925493904000006E-3</v>
      </c>
      <c r="Q261" s="22">
        <v>1</v>
      </c>
      <c r="R261" s="16">
        <v>2.0522903906669888E-3</v>
      </c>
    </row>
    <row r="262" spans="1:18" x14ac:dyDescent="0.45">
      <c r="A262" s="3">
        <v>444</v>
      </c>
      <c r="B262" s="3" t="s">
        <v>663</v>
      </c>
      <c r="C262" s="3" t="s">
        <v>617</v>
      </c>
      <c r="D262" s="3" t="s">
        <v>561</v>
      </c>
      <c r="E262" t="s">
        <v>982</v>
      </c>
      <c r="F262" t="s">
        <v>985</v>
      </c>
      <c r="G262" t="s">
        <v>831</v>
      </c>
      <c r="H262" t="s">
        <v>808</v>
      </c>
      <c r="I262" s="12" t="s">
        <v>1107</v>
      </c>
      <c r="J262" s="12"/>
      <c r="K262" s="12" t="s">
        <v>1062</v>
      </c>
      <c r="L262" s="12" t="s">
        <v>1111</v>
      </c>
      <c r="M262" s="12" t="s">
        <v>838</v>
      </c>
      <c r="N262" s="14" t="s">
        <v>1003</v>
      </c>
      <c r="O262" t="s">
        <v>1260</v>
      </c>
      <c r="P262" s="16">
        <v>1.234327248E-3</v>
      </c>
      <c r="Q262">
        <v>1</v>
      </c>
      <c r="R262" s="16">
        <v>9.0712735778899784E-4</v>
      </c>
    </row>
    <row r="263" spans="1:18" x14ac:dyDescent="0.45">
      <c r="A263" s="3">
        <v>445</v>
      </c>
      <c r="B263" s="3" t="s">
        <v>663</v>
      </c>
      <c r="C263" s="3" t="s">
        <v>617</v>
      </c>
      <c r="D263" s="3" t="s">
        <v>561</v>
      </c>
      <c r="E263" t="s">
        <v>982</v>
      </c>
      <c r="F263" t="s">
        <v>1010</v>
      </c>
      <c r="G263" t="s">
        <v>831</v>
      </c>
      <c r="H263" t="s">
        <v>808</v>
      </c>
      <c r="I263" s="12" t="s">
        <v>1107</v>
      </c>
      <c r="J263" s="12"/>
      <c r="K263" s="12" t="s">
        <v>1062</v>
      </c>
      <c r="L263" s="12" t="s">
        <v>1111</v>
      </c>
      <c r="M263" s="12" t="s">
        <v>838</v>
      </c>
      <c r="N263" s="14" t="s">
        <v>1003</v>
      </c>
      <c r="O263" t="s">
        <v>1262</v>
      </c>
      <c r="P263" s="16">
        <v>9.5822773199999997E-4</v>
      </c>
      <c r="Q263">
        <v>1</v>
      </c>
      <c r="R263" s="16">
        <v>7.0421729091514303E-4</v>
      </c>
    </row>
    <row r="264" spans="1:18" x14ac:dyDescent="0.45">
      <c r="A264" s="3">
        <v>446</v>
      </c>
      <c r="B264" s="3" t="s">
        <v>663</v>
      </c>
      <c r="C264" s="3" t="s">
        <v>617</v>
      </c>
      <c r="D264" s="3" t="s">
        <v>561</v>
      </c>
      <c r="E264" t="s">
        <v>982</v>
      </c>
      <c r="F264" t="s">
        <v>971</v>
      </c>
      <c r="G264" t="s">
        <v>831</v>
      </c>
      <c r="H264" t="s">
        <v>808</v>
      </c>
      <c r="I264" s="12" t="s">
        <v>1107</v>
      </c>
      <c r="J264" s="12"/>
      <c r="K264" s="12" t="s">
        <v>1062</v>
      </c>
      <c r="L264" s="12" t="s">
        <v>1111</v>
      </c>
      <c r="M264" s="12" t="s">
        <v>838</v>
      </c>
      <c r="N264" s="14" t="s">
        <v>1003</v>
      </c>
      <c r="P264" s="16">
        <v>8.0393682599999995E-4</v>
      </c>
      <c r="Q264">
        <v>1</v>
      </c>
      <c r="R264" s="16">
        <v>5.908263711915183E-4</v>
      </c>
    </row>
    <row r="265" spans="1:18" x14ac:dyDescent="0.45">
      <c r="A265" s="3">
        <v>447</v>
      </c>
      <c r="B265" s="3" t="s">
        <v>663</v>
      </c>
      <c r="C265" s="3" t="s">
        <v>617</v>
      </c>
      <c r="D265" s="3" t="s">
        <v>561</v>
      </c>
      <c r="E265" t="s">
        <v>982</v>
      </c>
      <c r="F265" t="s">
        <v>986</v>
      </c>
      <c r="G265" t="s">
        <v>831</v>
      </c>
      <c r="H265" t="s">
        <v>808</v>
      </c>
      <c r="I265" s="12" t="s">
        <v>1107</v>
      </c>
      <c r="J265" s="12"/>
      <c r="K265" s="12" t="s">
        <v>1062</v>
      </c>
      <c r="L265" s="12" t="s">
        <v>1111</v>
      </c>
      <c r="M265" s="12" t="s">
        <v>838</v>
      </c>
      <c r="N265" s="14" t="s">
        <v>1003</v>
      </c>
      <c r="P265" s="16">
        <v>6.9430907699999996E-4</v>
      </c>
      <c r="Q265">
        <v>1</v>
      </c>
      <c r="R265" s="16">
        <v>5.1025913875631123E-4</v>
      </c>
    </row>
    <row r="266" spans="1:18" x14ac:dyDescent="0.45">
      <c r="A266" s="3">
        <v>448</v>
      </c>
      <c r="B266" s="3" t="s">
        <v>663</v>
      </c>
      <c r="C266" s="3" t="s">
        <v>617</v>
      </c>
      <c r="D266" s="3" t="s">
        <v>561</v>
      </c>
      <c r="E266" t="s">
        <v>982</v>
      </c>
      <c r="F266" t="s">
        <v>987</v>
      </c>
      <c r="G266" t="s">
        <v>831</v>
      </c>
      <c r="H266" t="s">
        <v>808</v>
      </c>
      <c r="I266" s="12" t="s">
        <v>1107</v>
      </c>
      <c r="J266" s="12"/>
      <c r="K266" s="12" t="s">
        <v>1062</v>
      </c>
      <c r="L266" s="12" t="s">
        <v>1111</v>
      </c>
      <c r="M266" s="12" t="s">
        <v>838</v>
      </c>
      <c r="N266" s="14" t="s">
        <v>1003</v>
      </c>
      <c r="P266" s="16">
        <v>3.5933539949999988E-4</v>
      </c>
      <c r="Q266">
        <v>1</v>
      </c>
      <c r="R266" s="16">
        <v>2.6408148409317857E-4</v>
      </c>
    </row>
    <row r="267" spans="1:18" x14ac:dyDescent="0.45">
      <c r="A267" s="3">
        <v>449</v>
      </c>
      <c r="B267" s="3" t="s">
        <v>662</v>
      </c>
      <c r="C267" s="3" t="s">
        <v>550</v>
      </c>
      <c r="D267" s="3" t="s">
        <v>560</v>
      </c>
      <c r="E267" t="s">
        <v>107</v>
      </c>
      <c r="F267" t="s">
        <v>984</v>
      </c>
      <c r="G267" t="s">
        <v>831</v>
      </c>
      <c r="H267" t="s">
        <v>783</v>
      </c>
      <c r="I267" s="12" t="s">
        <v>1107</v>
      </c>
      <c r="J267" s="12"/>
      <c r="K267" s="12" t="s">
        <v>1062</v>
      </c>
      <c r="L267" s="12" t="s">
        <v>1110</v>
      </c>
      <c r="M267" s="12" t="s">
        <v>838</v>
      </c>
      <c r="N267" s="14" t="s">
        <v>1003</v>
      </c>
      <c r="O267" t="s">
        <v>128</v>
      </c>
      <c r="P267" s="16">
        <v>2.9450615039999994E-3</v>
      </c>
      <c r="Q267">
        <v>1</v>
      </c>
      <c r="R267" s="16">
        <v>2.1643740466544504E-3</v>
      </c>
    </row>
    <row r="268" spans="1:18" x14ac:dyDescent="0.45">
      <c r="A268" s="3">
        <v>450</v>
      </c>
      <c r="B268" s="3" t="s">
        <v>189</v>
      </c>
      <c r="C268" s="3" t="s">
        <v>551</v>
      </c>
      <c r="D268" s="3" t="s">
        <v>618</v>
      </c>
      <c r="E268" t="s">
        <v>156</v>
      </c>
      <c r="F268" t="s">
        <v>984</v>
      </c>
      <c r="G268" t="s">
        <v>831</v>
      </c>
      <c r="H268" t="s">
        <v>783</v>
      </c>
      <c r="I268" s="12" t="s">
        <v>1107</v>
      </c>
      <c r="J268" s="12"/>
      <c r="K268" s="12" t="s">
        <v>1062</v>
      </c>
      <c r="L268" s="12" t="s">
        <v>1110</v>
      </c>
      <c r="M268" s="12" t="s">
        <v>838</v>
      </c>
      <c r="N268" t="s">
        <v>1232</v>
      </c>
      <c r="O268" t="s">
        <v>155</v>
      </c>
      <c r="P268" s="16">
        <v>2.9450615039999994E-3</v>
      </c>
      <c r="Q268">
        <v>1</v>
      </c>
      <c r="R268" s="16">
        <v>2.1643740466544504E-3</v>
      </c>
    </row>
    <row r="269" spans="1:18" x14ac:dyDescent="0.45">
      <c r="A269" s="3">
        <v>451</v>
      </c>
      <c r="B269" s="3" t="s">
        <v>662</v>
      </c>
      <c r="C269" s="3" t="s">
        <v>550</v>
      </c>
      <c r="D269" s="3" t="s">
        <v>560</v>
      </c>
      <c r="E269" t="s">
        <v>107</v>
      </c>
      <c r="F269" t="s">
        <v>985</v>
      </c>
      <c r="G269" t="s">
        <v>831</v>
      </c>
      <c r="H269" t="s">
        <v>783</v>
      </c>
      <c r="I269" s="12" t="s">
        <v>1107</v>
      </c>
      <c r="J269" s="12"/>
      <c r="K269" s="12" t="s">
        <v>1062</v>
      </c>
      <c r="L269" s="12" t="s">
        <v>1110</v>
      </c>
      <c r="M269" s="12" t="s">
        <v>838</v>
      </c>
      <c r="N269" s="14" t="s">
        <v>1003</v>
      </c>
      <c r="P269" s="16">
        <v>2.5434622079999998E-3</v>
      </c>
      <c r="Q269">
        <v>1</v>
      </c>
      <c r="R269" s="16">
        <v>1.8692321312015711E-3</v>
      </c>
    </row>
    <row r="270" spans="1:18" x14ac:dyDescent="0.45">
      <c r="A270" s="3">
        <v>452</v>
      </c>
      <c r="B270" s="3" t="s">
        <v>189</v>
      </c>
      <c r="C270" s="3" t="s">
        <v>551</v>
      </c>
      <c r="D270" s="3" t="s">
        <v>618</v>
      </c>
      <c r="E270" t="s">
        <v>156</v>
      </c>
      <c r="F270" t="s">
        <v>985</v>
      </c>
      <c r="G270" t="s">
        <v>831</v>
      </c>
      <c r="H270" t="s">
        <v>783</v>
      </c>
      <c r="I270" s="12" t="s">
        <v>1107</v>
      </c>
      <c r="J270" s="12"/>
      <c r="K270" s="12" t="s">
        <v>1062</v>
      </c>
      <c r="L270" s="12" t="s">
        <v>1110</v>
      </c>
      <c r="M270" s="12" t="s">
        <v>838</v>
      </c>
      <c r="N270" t="s">
        <v>1232</v>
      </c>
      <c r="P270" s="16">
        <v>2.5434622079999998E-3</v>
      </c>
      <c r="Q270">
        <v>1</v>
      </c>
      <c r="R270" s="16">
        <v>1.8692321312015711E-3</v>
      </c>
    </row>
    <row r="271" spans="1:18" x14ac:dyDescent="0.45">
      <c r="A271" s="3">
        <v>453</v>
      </c>
      <c r="B271" s="3" t="s">
        <v>662</v>
      </c>
      <c r="C271" s="3" t="s">
        <v>550</v>
      </c>
      <c r="D271" s="3" t="s">
        <v>560</v>
      </c>
      <c r="E271" t="s">
        <v>107</v>
      </c>
      <c r="F271" t="s">
        <v>1010</v>
      </c>
      <c r="G271" t="s">
        <v>831</v>
      </c>
      <c r="H271" t="s">
        <v>783</v>
      </c>
      <c r="I271" s="12" t="s">
        <v>1107</v>
      </c>
      <c r="J271" s="12"/>
      <c r="K271" s="12" t="s">
        <v>1062</v>
      </c>
      <c r="L271" s="12" t="s">
        <v>1110</v>
      </c>
      <c r="M271" s="12" t="s">
        <v>838</v>
      </c>
      <c r="N271" s="14" t="s">
        <v>1003</v>
      </c>
      <c r="P271" s="16">
        <v>1.974529872E-3</v>
      </c>
      <c r="Q271">
        <v>1</v>
      </c>
      <c r="R271" s="16">
        <v>1.451114417643325E-3</v>
      </c>
    </row>
    <row r="272" spans="1:18" x14ac:dyDescent="0.45">
      <c r="A272" s="3">
        <v>454</v>
      </c>
      <c r="B272" s="3" t="s">
        <v>189</v>
      </c>
      <c r="C272" s="3" t="s">
        <v>551</v>
      </c>
      <c r="D272" s="3" t="s">
        <v>618</v>
      </c>
      <c r="E272" t="s">
        <v>156</v>
      </c>
      <c r="F272" t="s">
        <v>1010</v>
      </c>
      <c r="G272" t="s">
        <v>831</v>
      </c>
      <c r="H272" t="s">
        <v>783</v>
      </c>
      <c r="I272" s="12" t="s">
        <v>1107</v>
      </c>
      <c r="J272" s="12"/>
      <c r="K272" s="12" t="s">
        <v>1062</v>
      </c>
      <c r="L272" s="12" t="s">
        <v>1110</v>
      </c>
      <c r="M272" s="12" t="s">
        <v>838</v>
      </c>
      <c r="N272" t="s">
        <v>1232</v>
      </c>
      <c r="P272" s="16">
        <v>1.974529872E-3</v>
      </c>
      <c r="Q272">
        <v>1</v>
      </c>
      <c r="R272" s="16">
        <v>1.451114417643325E-3</v>
      </c>
    </row>
    <row r="273" spans="1:18" x14ac:dyDescent="0.45">
      <c r="A273" s="3">
        <v>457</v>
      </c>
      <c r="B273" s="3" t="s">
        <v>662</v>
      </c>
      <c r="C273" s="3" t="s">
        <v>550</v>
      </c>
      <c r="D273" s="3" t="s">
        <v>560</v>
      </c>
      <c r="E273" t="s">
        <v>107</v>
      </c>
      <c r="F273" t="s">
        <v>986</v>
      </c>
      <c r="G273" t="s">
        <v>831</v>
      </c>
      <c r="H273" t="s">
        <v>783</v>
      </c>
      <c r="I273" s="12" t="s">
        <v>1107</v>
      </c>
      <c r="J273" s="12"/>
      <c r="K273" s="12" t="s">
        <v>1062</v>
      </c>
      <c r="L273" s="12" t="s">
        <v>1110</v>
      </c>
      <c r="M273" s="12" t="s">
        <v>838</v>
      </c>
      <c r="N273" s="14" t="s">
        <v>1003</v>
      </c>
      <c r="P273" s="16">
        <v>1.4306974919999999E-3</v>
      </c>
      <c r="Q273">
        <v>1</v>
      </c>
      <c r="R273" s="16">
        <v>1.0514430738008838E-3</v>
      </c>
    </row>
    <row r="274" spans="1:18" x14ac:dyDescent="0.45">
      <c r="A274" s="3">
        <v>458</v>
      </c>
      <c r="B274" s="3" t="s">
        <v>189</v>
      </c>
      <c r="C274" s="3" t="s">
        <v>551</v>
      </c>
      <c r="D274" s="3" t="s">
        <v>618</v>
      </c>
      <c r="E274" t="s">
        <v>156</v>
      </c>
      <c r="F274" t="s">
        <v>986</v>
      </c>
      <c r="G274" t="s">
        <v>831</v>
      </c>
      <c r="H274" t="s">
        <v>783</v>
      </c>
      <c r="I274" s="12" t="s">
        <v>1107</v>
      </c>
      <c r="J274" s="12"/>
      <c r="K274" s="12" t="s">
        <v>1062</v>
      </c>
      <c r="L274" s="12" t="s">
        <v>1110</v>
      </c>
      <c r="M274" s="12" t="s">
        <v>838</v>
      </c>
      <c r="N274" t="s">
        <v>1232</v>
      </c>
      <c r="P274" s="16">
        <v>1.4306974919999999E-3</v>
      </c>
      <c r="Q274">
        <v>1</v>
      </c>
      <c r="R274" s="16">
        <v>1.0514430738008838E-3</v>
      </c>
    </row>
    <row r="275" spans="1:18" x14ac:dyDescent="0.45">
      <c r="A275" s="3">
        <v>459</v>
      </c>
      <c r="B275" s="3" t="s">
        <v>662</v>
      </c>
      <c r="C275" s="3" t="s">
        <v>550</v>
      </c>
      <c r="D275" s="3" t="s">
        <v>560</v>
      </c>
      <c r="E275" t="s">
        <v>107</v>
      </c>
      <c r="F275" t="s">
        <v>987</v>
      </c>
      <c r="G275" t="s">
        <v>831</v>
      </c>
      <c r="H275" t="s">
        <v>783</v>
      </c>
      <c r="I275" s="12" t="s">
        <v>1107</v>
      </c>
      <c r="J275" s="12"/>
      <c r="K275" s="12" t="s">
        <v>1062</v>
      </c>
      <c r="L275" s="12" t="s">
        <v>1110</v>
      </c>
      <c r="M275" s="12" t="s">
        <v>838</v>
      </c>
      <c r="N275" s="14" t="s">
        <v>1003</v>
      </c>
      <c r="P275" s="16">
        <v>7.4044870199999979E-4</v>
      </c>
      <c r="Q275">
        <v>1</v>
      </c>
      <c r="R275" s="16">
        <v>5.4416790661624673E-4</v>
      </c>
    </row>
    <row r="276" spans="1:18" x14ac:dyDescent="0.45">
      <c r="A276" s="3">
        <v>460</v>
      </c>
      <c r="B276" s="3" t="s">
        <v>189</v>
      </c>
      <c r="C276" s="3" t="s">
        <v>551</v>
      </c>
      <c r="D276" s="3" t="s">
        <v>618</v>
      </c>
      <c r="E276" t="s">
        <v>156</v>
      </c>
      <c r="F276" t="s">
        <v>987</v>
      </c>
      <c r="G276" t="s">
        <v>831</v>
      </c>
      <c r="H276" t="s">
        <v>783</v>
      </c>
      <c r="I276" s="12" t="s">
        <v>1107</v>
      </c>
      <c r="J276" s="12"/>
      <c r="K276" s="12" t="s">
        <v>1062</v>
      </c>
      <c r="L276" s="12" t="s">
        <v>1110</v>
      </c>
      <c r="M276" s="12" t="s">
        <v>838</v>
      </c>
      <c r="N276" t="s">
        <v>1232</v>
      </c>
      <c r="P276" s="16">
        <v>7.4044870199999979E-4</v>
      </c>
      <c r="Q276">
        <v>1</v>
      </c>
      <c r="R276" s="16">
        <v>5.4416790661624673E-4</v>
      </c>
    </row>
    <row r="277" spans="1:18" x14ac:dyDescent="0.45">
      <c r="A277" s="3">
        <v>461</v>
      </c>
      <c r="B277" s="3" t="s">
        <v>664</v>
      </c>
      <c r="C277" s="3" t="s">
        <v>745</v>
      </c>
      <c r="D277" s="3" t="s">
        <v>562</v>
      </c>
      <c r="E277" t="s">
        <v>983</v>
      </c>
      <c r="F277" t="s">
        <v>984</v>
      </c>
      <c r="G277" t="s">
        <v>831</v>
      </c>
      <c r="H277" t="s">
        <v>783</v>
      </c>
      <c r="I277" s="12" t="s">
        <v>1107</v>
      </c>
      <c r="J277" s="12"/>
      <c r="K277" s="12" t="s">
        <v>1062</v>
      </c>
      <c r="L277" s="12" t="s">
        <v>1111</v>
      </c>
      <c r="M277" s="12" t="s">
        <v>838</v>
      </c>
      <c r="N277" s="14" t="s">
        <v>1003</v>
      </c>
      <c r="O277" t="s">
        <v>111</v>
      </c>
      <c r="P277" s="16">
        <v>5.1971673599999991E-4</v>
      </c>
      <c r="Q277">
        <v>1</v>
      </c>
      <c r="R277" s="16">
        <v>3.819483611743148E-4</v>
      </c>
    </row>
    <row r="278" spans="1:18" x14ac:dyDescent="0.45">
      <c r="A278" s="3">
        <v>462</v>
      </c>
      <c r="B278" s="3" t="s">
        <v>664</v>
      </c>
      <c r="C278" s="3" t="s">
        <v>745</v>
      </c>
      <c r="D278" s="3" t="s">
        <v>562</v>
      </c>
      <c r="E278" t="s">
        <v>983</v>
      </c>
      <c r="F278" t="s">
        <v>985</v>
      </c>
      <c r="G278" t="s">
        <v>831</v>
      </c>
      <c r="H278" t="s">
        <v>783</v>
      </c>
      <c r="I278" s="12" t="s">
        <v>1107</v>
      </c>
      <c r="J278" s="12"/>
      <c r="K278" s="12" t="s">
        <v>1062</v>
      </c>
      <c r="L278" s="12" t="s">
        <v>1111</v>
      </c>
      <c r="M278" s="12" t="s">
        <v>838</v>
      </c>
      <c r="N278" s="14" t="s">
        <v>1003</v>
      </c>
      <c r="P278" s="16">
        <v>4.4884627200000003E-4</v>
      </c>
      <c r="Q278">
        <v>1</v>
      </c>
      <c r="R278" s="16">
        <v>3.2986449374145378E-4</v>
      </c>
    </row>
    <row r="279" spans="1:18" x14ac:dyDescent="0.45">
      <c r="A279" s="3">
        <v>463</v>
      </c>
      <c r="B279" s="3" t="s">
        <v>664</v>
      </c>
      <c r="C279" s="3" t="s">
        <v>745</v>
      </c>
      <c r="D279" s="3" t="s">
        <v>562</v>
      </c>
      <c r="E279" t="s">
        <v>983</v>
      </c>
      <c r="F279" t="s">
        <v>1010</v>
      </c>
      <c r="G279" t="s">
        <v>831</v>
      </c>
      <c r="H279" t="s">
        <v>783</v>
      </c>
      <c r="I279" s="12" t="s">
        <v>1107</v>
      </c>
      <c r="J279" s="12"/>
      <c r="K279" s="12" t="s">
        <v>1062</v>
      </c>
      <c r="L279" s="12" t="s">
        <v>1111</v>
      </c>
      <c r="M279" s="12" t="s">
        <v>838</v>
      </c>
      <c r="N279" s="14" t="s">
        <v>1003</v>
      </c>
      <c r="P279" s="16">
        <v>3.4844644799999998E-4</v>
      </c>
      <c r="Q279">
        <v>1</v>
      </c>
      <c r="R279" s="16">
        <v>2.5607901487823383E-4</v>
      </c>
    </row>
    <row r="280" spans="1:18" x14ac:dyDescent="0.45">
      <c r="A280" s="3">
        <v>466</v>
      </c>
      <c r="B280" s="3" t="s">
        <v>664</v>
      </c>
      <c r="C280" s="3" t="s">
        <v>745</v>
      </c>
      <c r="D280" s="3" t="s">
        <v>562</v>
      </c>
      <c r="E280" t="s">
        <v>983</v>
      </c>
      <c r="F280" t="s">
        <v>987</v>
      </c>
      <c r="G280" t="s">
        <v>831</v>
      </c>
      <c r="H280" t="s">
        <v>783</v>
      </c>
      <c r="I280" s="12" t="s">
        <v>1107</v>
      </c>
      <c r="J280" s="12"/>
      <c r="K280" s="12" t="s">
        <v>1062</v>
      </c>
      <c r="L280" s="12" t="s">
        <v>1111</v>
      </c>
      <c r="M280" s="12" t="s">
        <v>838</v>
      </c>
      <c r="N280" s="14" t="s">
        <v>1003</v>
      </c>
      <c r="P280" s="16">
        <v>1.3066741799999996E-4</v>
      </c>
      <c r="Q280">
        <v>1</v>
      </c>
      <c r="R280" s="16">
        <v>9.6029630579337659E-5</v>
      </c>
    </row>
    <row r="281" spans="1:18" x14ac:dyDescent="0.45">
      <c r="A281" s="3">
        <v>524</v>
      </c>
      <c r="B281" s="3" t="s">
        <v>1265</v>
      </c>
      <c r="C281" s="3" t="s">
        <v>1266</v>
      </c>
      <c r="D281" s="3" t="s">
        <v>1267</v>
      </c>
      <c r="E281" t="s">
        <v>1273</v>
      </c>
      <c r="F281" t="s">
        <v>971</v>
      </c>
      <c r="G281" t="s">
        <v>830</v>
      </c>
      <c r="H281" t="s">
        <v>768</v>
      </c>
      <c r="I281" s="12" t="s">
        <v>1107</v>
      </c>
      <c r="J281" s="12"/>
      <c r="K281" s="12" t="s">
        <v>1062</v>
      </c>
      <c r="L281" s="12" t="s">
        <v>1110</v>
      </c>
      <c r="M281" s="12" t="s">
        <v>838</v>
      </c>
      <c r="N281" s="14" t="s">
        <v>1003</v>
      </c>
      <c r="P281" s="16">
        <v>8.519642208E-4</v>
      </c>
      <c r="Q281" s="22">
        <v>0.75</v>
      </c>
      <c r="R281" s="16">
        <v>4.6959186905092107E-4</v>
      </c>
    </row>
    <row r="282" spans="1:18" x14ac:dyDescent="0.45">
      <c r="A282" s="3">
        <v>539</v>
      </c>
      <c r="B282" s="3" t="s">
        <v>1265</v>
      </c>
      <c r="C282" s="3" t="s">
        <v>1266</v>
      </c>
      <c r="D282" s="3" t="s">
        <v>1272</v>
      </c>
      <c r="E282" t="s">
        <v>1268</v>
      </c>
      <c r="F282" t="s">
        <v>984</v>
      </c>
      <c r="G282" t="s">
        <v>830</v>
      </c>
      <c r="H282" t="s">
        <v>768</v>
      </c>
      <c r="I282" s="12" t="s">
        <v>1107</v>
      </c>
      <c r="J282" s="12"/>
      <c r="K282" s="12" t="s">
        <v>1062</v>
      </c>
      <c r="L282" s="12" t="s">
        <v>1110</v>
      </c>
      <c r="M282" s="12" t="s">
        <v>838</v>
      </c>
      <c r="N282" s="14"/>
      <c r="P282" s="16">
        <v>1.5146030592000004E-3</v>
      </c>
      <c r="Q282" s="22">
        <v>0.25</v>
      </c>
      <c r="R282" s="16">
        <v>2.7827666314128661E-4</v>
      </c>
    </row>
    <row r="283" spans="1:18" x14ac:dyDescent="0.45">
      <c r="A283" s="3">
        <v>540</v>
      </c>
      <c r="B283" s="3" t="s">
        <v>1265</v>
      </c>
      <c r="C283" s="3" t="s">
        <v>1266</v>
      </c>
      <c r="D283" s="3" t="s">
        <v>1272</v>
      </c>
      <c r="E283" t="s">
        <v>1268</v>
      </c>
      <c r="F283" t="s">
        <v>985</v>
      </c>
      <c r="G283" t="s">
        <v>830</v>
      </c>
      <c r="H283" t="s">
        <v>768</v>
      </c>
      <c r="I283" s="12" t="s">
        <v>1107</v>
      </c>
      <c r="J283" s="12"/>
      <c r="K283" s="12" t="s">
        <v>1062</v>
      </c>
      <c r="L283" s="12" t="s">
        <v>1110</v>
      </c>
      <c r="M283" s="12" t="s">
        <v>838</v>
      </c>
      <c r="N283" s="14"/>
      <c r="P283" s="16">
        <v>1.3080662784E-3</v>
      </c>
      <c r="Q283" s="22">
        <v>0.25</v>
      </c>
      <c r="R283" s="16">
        <v>2.4032984544020201E-4</v>
      </c>
    </row>
    <row r="284" spans="1:18" x14ac:dyDescent="0.45">
      <c r="A284" s="3">
        <v>541</v>
      </c>
      <c r="B284" s="3" t="s">
        <v>1265</v>
      </c>
      <c r="C284" s="3" t="s">
        <v>1266</v>
      </c>
      <c r="D284" s="3" t="s">
        <v>1272</v>
      </c>
      <c r="E284" t="s">
        <v>1268</v>
      </c>
      <c r="F284" t="s">
        <v>1010</v>
      </c>
      <c r="G284" t="s">
        <v>830</v>
      </c>
      <c r="H284" t="s">
        <v>768</v>
      </c>
      <c r="I284" s="12" t="s">
        <v>1107</v>
      </c>
      <c r="J284" s="12"/>
      <c r="K284" s="12" t="s">
        <v>1062</v>
      </c>
      <c r="L284" s="12" t="s">
        <v>1110</v>
      </c>
      <c r="M284" s="12" t="s">
        <v>838</v>
      </c>
      <c r="N284" s="14"/>
      <c r="P284" s="16">
        <v>1.0154725055999999E-3</v>
      </c>
      <c r="Q284" s="22">
        <v>0.25</v>
      </c>
      <c r="R284" s="16">
        <v>1.8657185369699893E-4</v>
      </c>
    </row>
    <row r="285" spans="1:18" x14ac:dyDescent="0.45">
      <c r="A285" s="3">
        <v>542</v>
      </c>
      <c r="B285" s="3" t="s">
        <v>1265</v>
      </c>
      <c r="C285" s="3" t="s">
        <v>1266</v>
      </c>
      <c r="D285" s="3" t="s">
        <v>1272</v>
      </c>
      <c r="E285" t="s">
        <v>1268</v>
      </c>
      <c r="F285" t="s">
        <v>971</v>
      </c>
      <c r="G285" t="s">
        <v>830</v>
      </c>
      <c r="H285" t="s">
        <v>768</v>
      </c>
      <c r="I285" s="12" t="s">
        <v>1107</v>
      </c>
      <c r="J285" s="12"/>
      <c r="K285" s="12" t="s">
        <v>1062</v>
      </c>
      <c r="L285" s="12" t="s">
        <v>1110</v>
      </c>
      <c r="M285" s="12" t="s">
        <v>838</v>
      </c>
      <c r="N285" s="14"/>
      <c r="P285" s="16">
        <v>8.519642208E-4</v>
      </c>
      <c r="Q285" s="22">
        <v>0.25</v>
      </c>
      <c r="R285" s="16">
        <v>1.5653062301697367E-4</v>
      </c>
    </row>
    <row r="286" spans="1:18" x14ac:dyDescent="0.45">
      <c r="A286" s="3">
        <v>543</v>
      </c>
      <c r="B286" s="3" t="s">
        <v>1265</v>
      </c>
      <c r="C286" s="3" t="s">
        <v>1266</v>
      </c>
      <c r="D286" s="3" t="s">
        <v>1272</v>
      </c>
      <c r="E286" t="s">
        <v>1268</v>
      </c>
      <c r="F286" t="s">
        <v>986</v>
      </c>
      <c r="G286" t="s">
        <v>830</v>
      </c>
      <c r="H286" t="s">
        <v>768</v>
      </c>
      <c r="I286" s="12" t="s">
        <v>1107</v>
      </c>
      <c r="J286" s="12"/>
      <c r="K286" s="12" t="s">
        <v>1062</v>
      </c>
      <c r="L286" s="12" t="s">
        <v>1110</v>
      </c>
      <c r="M286" s="12" t="s">
        <v>838</v>
      </c>
      <c r="N286" s="14"/>
      <c r="P286" s="16">
        <v>7.3578728159999984E-4</v>
      </c>
      <c r="Q286" s="22">
        <v>0.25</v>
      </c>
      <c r="R286" s="16">
        <v>1.351855380601136E-4</v>
      </c>
    </row>
    <row r="287" spans="1:18" x14ac:dyDescent="0.45">
      <c r="A287" s="3">
        <v>545</v>
      </c>
      <c r="B287" s="3" t="s">
        <v>1279</v>
      </c>
      <c r="C287" s="3" t="s">
        <v>1280</v>
      </c>
      <c r="D287" s="3" t="s">
        <v>1281</v>
      </c>
      <c r="E287" t="s">
        <v>147</v>
      </c>
      <c r="F287" t="s">
        <v>1010</v>
      </c>
      <c r="G287" t="s">
        <v>831</v>
      </c>
      <c r="H287" t="s">
        <v>768</v>
      </c>
      <c r="I287" s="12" t="s">
        <v>1107</v>
      </c>
      <c r="K287" s="12" t="s">
        <v>1062</v>
      </c>
      <c r="L287" t="s">
        <v>1111</v>
      </c>
      <c r="M287" s="12" t="s">
        <v>838</v>
      </c>
      <c r="N287" s="12" t="s">
        <v>1190</v>
      </c>
      <c r="O287" s="14" t="s">
        <v>1284</v>
      </c>
      <c r="P287" s="16">
        <v>3.4844644799999998E-4</v>
      </c>
      <c r="Q287" s="22">
        <v>1</v>
      </c>
      <c r="R287" s="16">
        <v>2.5607901487823383E-4</v>
      </c>
    </row>
    <row r="288" spans="1:18" x14ac:dyDescent="0.45">
      <c r="A288" s="3">
        <v>546</v>
      </c>
      <c r="B288" s="3" t="s">
        <v>1279</v>
      </c>
      <c r="C288" s="3" t="s">
        <v>1280</v>
      </c>
      <c r="D288" s="3" t="s">
        <v>1281</v>
      </c>
      <c r="E288" t="s">
        <v>147</v>
      </c>
      <c r="F288" t="s">
        <v>971</v>
      </c>
      <c r="G288" t="s">
        <v>831</v>
      </c>
      <c r="H288" t="s">
        <v>768</v>
      </c>
      <c r="I288" s="12" t="s">
        <v>1107</v>
      </c>
      <c r="K288" s="12" t="s">
        <v>1062</v>
      </c>
      <c r="L288" t="s">
        <v>1111</v>
      </c>
      <c r="M288" s="12" t="s">
        <v>838</v>
      </c>
      <c r="N288" s="12" t="s">
        <v>1190</v>
      </c>
      <c r="O288" s="14" t="s">
        <v>1285</v>
      </c>
      <c r="P288" s="16">
        <v>2.9234066399999993E-4</v>
      </c>
      <c r="Q288" s="22">
        <v>1</v>
      </c>
      <c r="R288" s="16">
        <v>2.1484595316055205E-4</v>
      </c>
    </row>
    <row r="289" spans="1:18" x14ac:dyDescent="0.45">
      <c r="A289" s="3">
        <v>547</v>
      </c>
      <c r="B289" s="3" t="s">
        <v>1279</v>
      </c>
      <c r="C289" s="3" t="s">
        <v>1280</v>
      </c>
      <c r="D289" s="3" t="s">
        <v>1281</v>
      </c>
      <c r="E289" t="s">
        <v>147</v>
      </c>
      <c r="F289" t="s">
        <v>986</v>
      </c>
      <c r="G289" t="s">
        <v>831</v>
      </c>
      <c r="H289" t="s">
        <v>768</v>
      </c>
      <c r="I289" s="12" t="s">
        <v>1107</v>
      </c>
      <c r="K289" s="12" t="s">
        <v>1062</v>
      </c>
      <c r="L289" t="s">
        <v>1111</v>
      </c>
      <c r="M289" s="12" t="s">
        <v>838</v>
      </c>
      <c r="N289" s="12" t="s">
        <v>1190</v>
      </c>
      <c r="O289" s="14" t="s">
        <v>1286</v>
      </c>
      <c r="P289" s="16">
        <v>2.5247602799999996E-4</v>
      </c>
      <c r="Q289" s="22">
        <v>1</v>
      </c>
      <c r="R289" s="16">
        <v>1.8554877772956771E-4</v>
      </c>
    </row>
    <row r="290" spans="1:18" x14ac:dyDescent="0.45">
      <c r="A290" s="3">
        <v>548</v>
      </c>
      <c r="B290" s="3" t="s">
        <v>1279</v>
      </c>
      <c r="C290" s="3" t="s">
        <v>1280</v>
      </c>
      <c r="D290" s="3" t="s">
        <v>1281</v>
      </c>
      <c r="E290" t="s">
        <v>147</v>
      </c>
      <c r="F290" t="s">
        <v>987</v>
      </c>
      <c r="G290" t="s">
        <v>831</v>
      </c>
      <c r="H290" t="s">
        <v>768</v>
      </c>
      <c r="I290" s="12" t="s">
        <v>1107</v>
      </c>
      <c r="K290" s="12" t="s">
        <v>1062</v>
      </c>
      <c r="L290" t="s">
        <v>1111</v>
      </c>
      <c r="M290" s="12" t="s">
        <v>838</v>
      </c>
      <c r="N290" s="12" t="s">
        <v>1190</v>
      </c>
      <c r="O290" s="14" t="s">
        <v>1287</v>
      </c>
      <c r="P290" s="16">
        <v>1.3066741799999996E-4</v>
      </c>
      <c r="Q290" s="22">
        <v>1</v>
      </c>
      <c r="R290" s="16">
        <v>9.6029630579337659E-5</v>
      </c>
    </row>
    <row r="291" spans="1:18" x14ac:dyDescent="0.45">
      <c r="A291" s="30">
        <v>551</v>
      </c>
      <c r="B291" s="3" t="s">
        <v>1419</v>
      </c>
      <c r="C291" s="3" t="s">
        <v>1369</v>
      </c>
      <c r="D291" s="3" t="s">
        <v>1407</v>
      </c>
      <c r="E291" t="s">
        <v>1405</v>
      </c>
      <c r="F291" t="s">
        <v>990</v>
      </c>
      <c r="G291" t="s">
        <v>830</v>
      </c>
      <c r="H291" t="s">
        <v>808</v>
      </c>
      <c r="I291" s="12" t="s">
        <v>1107</v>
      </c>
      <c r="J291" t="s">
        <v>1292</v>
      </c>
      <c r="K291" s="12" t="s">
        <v>1062</v>
      </c>
      <c r="L291" s="12" t="s">
        <v>1110</v>
      </c>
      <c r="M291" s="12" t="s">
        <v>838</v>
      </c>
      <c r="N291" t="s">
        <v>1403</v>
      </c>
      <c r="O291" t="s">
        <v>1406</v>
      </c>
      <c r="P291" s="31">
        <v>0.01</v>
      </c>
      <c r="Q291" s="22">
        <v>1</v>
      </c>
      <c r="R291" s="16">
        <v>7.3491641641941444E-3</v>
      </c>
    </row>
    <row r="292" spans="1:18" x14ac:dyDescent="0.45">
      <c r="A292" s="3">
        <v>552</v>
      </c>
      <c r="B292" s="3" t="s">
        <v>1404</v>
      </c>
      <c r="C292" s="3" t="s">
        <v>1369</v>
      </c>
      <c r="D292" s="3" t="s">
        <v>1407</v>
      </c>
      <c r="E292" t="s">
        <v>1420</v>
      </c>
      <c r="F292" t="s">
        <v>990</v>
      </c>
      <c r="G292" t="s">
        <v>830</v>
      </c>
      <c r="H292" t="s">
        <v>808</v>
      </c>
      <c r="I292" s="12" t="s">
        <v>1107</v>
      </c>
      <c r="J292" t="s">
        <v>1292</v>
      </c>
      <c r="K292" s="12" t="s">
        <v>1062</v>
      </c>
      <c r="L292" s="12" t="s">
        <v>1110</v>
      </c>
      <c r="M292" s="12" t="s">
        <v>838</v>
      </c>
      <c r="N292" t="s">
        <v>1421</v>
      </c>
      <c r="O292" t="s">
        <v>1406</v>
      </c>
      <c r="P292" s="31">
        <v>0.01</v>
      </c>
      <c r="Q292" s="22">
        <v>1</v>
      </c>
      <c r="R292" s="16">
        <v>7.3491641641941444E-3</v>
      </c>
    </row>
    <row r="293" spans="1:18" x14ac:dyDescent="0.45">
      <c r="A293" s="30">
        <v>553</v>
      </c>
      <c r="B293" s="3" t="s">
        <v>1536</v>
      </c>
      <c r="C293" s="3" t="s">
        <v>1408</v>
      </c>
      <c r="D293" s="3" t="s">
        <v>1409</v>
      </c>
      <c r="E293" t="s">
        <v>1410</v>
      </c>
      <c r="F293" t="s">
        <v>990</v>
      </c>
      <c r="G293" t="s">
        <v>830</v>
      </c>
      <c r="H293" t="s">
        <v>808</v>
      </c>
      <c r="I293" s="12" t="s">
        <v>1107</v>
      </c>
      <c r="J293" t="s">
        <v>1292</v>
      </c>
      <c r="K293" s="12" t="s">
        <v>1062</v>
      </c>
      <c r="L293" s="12" t="s">
        <v>1110</v>
      </c>
      <c r="M293" s="12" t="s">
        <v>838</v>
      </c>
      <c r="N293" t="s">
        <v>1403</v>
      </c>
      <c r="O293" t="s">
        <v>1411</v>
      </c>
      <c r="P293" s="31">
        <v>0.01</v>
      </c>
      <c r="Q293" s="22">
        <v>1</v>
      </c>
      <c r="R293" s="16">
        <v>7.3491641641941444E-3</v>
      </c>
    </row>
    <row r="294" spans="1:18" x14ac:dyDescent="0.45">
      <c r="A294" s="3">
        <v>554</v>
      </c>
      <c r="B294" s="3" t="s">
        <v>1531</v>
      </c>
      <c r="C294" s="3" t="s">
        <v>1364</v>
      </c>
      <c r="D294" s="3" t="s">
        <v>1412</v>
      </c>
      <c r="F294" t="s">
        <v>984</v>
      </c>
      <c r="G294" t="s">
        <v>830</v>
      </c>
      <c r="H294" t="s">
        <v>808</v>
      </c>
      <c r="I294" s="12" t="s">
        <v>1107</v>
      </c>
      <c r="J294" t="s">
        <v>1292</v>
      </c>
      <c r="K294" s="12" t="s">
        <v>1062</v>
      </c>
      <c r="L294" s="12" t="s">
        <v>1110</v>
      </c>
      <c r="M294" s="12" t="s">
        <v>838</v>
      </c>
      <c r="N294" t="s">
        <v>1403</v>
      </c>
      <c r="P294">
        <v>1E-4</v>
      </c>
      <c r="Q294" s="22">
        <v>1</v>
      </c>
      <c r="R294" s="16">
        <v>7.3491641641941448E-5</v>
      </c>
    </row>
    <row r="295" spans="1:18" x14ac:dyDescent="0.45">
      <c r="A295" s="30">
        <v>555</v>
      </c>
      <c r="B295" s="3" t="s">
        <v>1531</v>
      </c>
      <c r="C295" s="3" t="s">
        <v>1364</v>
      </c>
      <c r="D295" s="3" t="s">
        <v>1412</v>
      </c>
      <c r="F295" t="s">
        <v>985</v>
      </c>
      <c r="G295" t="s">
        <v>830</v>
      </c>
      <c r="H295" t="s">
        <v>808</v>
      </c>
      <c r="I295" s="12" t="s">
        <v>1107</v>
      </c>
      <c r="J295" t="s">
        <v>1292</v>
      </c>
      <c r="K295" s="12" t="s">
        <v>1062</v>
      </c>
      <c r="L295" s="12" t="s">
        <v>1110</v>
      </c>
      <c r="M295" s="12" t="s">
        <v>838</v>
      </c>
      <c r="N295" t="s">
        <v>1403</v>
      </c>
      <c r="P295" s="31">
        <v>0.01</v>
      </c>
      <c r="Q295" s="22">
        <v>1</v>
      </c>
      <c r="R295" s="16">
        <v>7.3491641641941444E-3</v>
      </c>
    </row>
    <row r="296" spans="1:18" x14ac:dyDescent="0.45">
      <c r="A296" s="3">
        <v>556</v>
      </c>
      <c r="B296" s="3" t="s">
        <v>1531</v>
      </c>
      <c r="C296" s="3" t="s">
        <v>1364</v>
      </c>
      <c r="D296" s="3" t="s">
        <v>1412</v>
      </c>
      <c r="F296" t="s">
        <v>1010</v>
      </c>
      <c r="G296" t="s">
        <v>830</v>
      </c>
      <c r="H296" t="s">
        <v>808</v>
      </c>
      <c r="I296" s="12" t="s">
        <v>1107</v>
      </c>
      <c r="J296" t="s">
        <v>1292</v>
      </c>
      <c r="K296" s="12" t="s">
        <v>1062</v>
      </c>
      <c r="L296" s="12" t="s">
        <v>1110</v>
      </c>
      <c r="M296" s="12" t="s">
        <v>838</v>
      </c>
      <c r="N296" t="s">
        <v>1403</v>
      </c>
      <c r="P296" s="31">
        <v>0.01</v>
      </c>
      <c r="Q296" s="22">
        <v>1</v>
      </c>
      <c r="R296" s="16">
        <v>7.3491641641941444E-3</v>
      </c>
    </row>
    <row r="297" spans="1:18" x14ac:dyDescent="0.45">
      <c r="A297" s="30">
        <v>557</v>
      </c>
      <c r="B297" s="3" t="s">
        <v>1531</v>
      </c>
      <c r="C297" s="3" t="s">
        <v>1364</v>
      </c>
      <c r="D297" s="3" t="s">
        <v>1413</v>
      </c>
      <c r="F297" t="s">
        <v>984</v>
      </c>
      <c r="G297" t="s">
        <v>830</v>
      </c>
      <c r="H297" t="s">
        <v>808</v>
      </c>
      <c r="I297" s="12" t="s">
        <v>1107</v>
      </c>
      <c r="J297" t="s">
        <v>1292</v>
      </c>
      <c r="K297" s="12" t="s">
        <v>1062</v>
      </c>
      <c r="L297" s="12" t="s">
        <v>1110</v>
      </c>
      <c r="M297" s="12" t="s">
        <v>838</v>
      </c>
      <c r="N297" t="s">
        <v>1422</v>
      </c>
      <c r="P297" s="31">
        <v>0.01</v>
      </c>
      <c r="Q297" s="22">
        <v>1</v>
      </c>
      <c r="R297" s="16">
        <v>7.3491641641941444E-3</v>
      </c>
    </row>
    <row r="298" spans="1:18" x14ac:dyDescent="0.45">
      <c r="A298" s="3">
        <v>558</v>
      </c>
      <c r="B298" s="3" t="s">
        <v>1531</v>
      </c>
      <c r="C298" s="3" t="s">
        <v>1364</v>
      </c>
      <c r="D298" s="3" t="s">
        <v>1413</v>
      </c>
      <c r="F298" t="s">
        <v>985</v>
      </c>
      <c r="G298" t="s">
        <v>830</v>
      </c>
      <c r="H298" t="s">
        <v>808</v>
      </c>
      <c r="I298" s="12" t="s">
        <v>1107</v>
      </c>
      <c r="J298" t="s">
        <v>1292</v>
      </c>
      <c r="K298" s="12" t="s">
        <v>1062</v>
      </c>
      <c r="L298" s="12" t="s">
        <v>1110</v>
      </c>
      <c r="M298" s="12" t="s">
        <v>838</v>
      </c>
      <c r="N298" t="s">
        <v>1422</v>
      </c>
      <c r="P298" s="31">
        <v>0.01</v>
      </c>
      <c r="Q298" s="22">
        <v>1</v>
      </c>
      <c r="R298" s="16">
        <v>7.3491641641941444E-3</v>
      </c>
    </row>
    <row r="299" spans="1:18" x14ac:dyDescent="0.45">
      <c r="A299" s="30">
        <v>559</v>
      </c>
      <c r="B299" s="3" t="s">
        <v>1531</v>
      </c>
      <c r="C299" s="3" t="s">
        <v>1364</v>
      </c>
      <c r="D299" s="3" t="s">
        <v>1413</v>
      </c>
      <c r="F299" t="s">
        <v>1010</v>
      </c>
      <c r="G299" t="s">
        <v>830</v>
      </c>
      <c r="H299" t="s">
        <v>808</v>
      </c>
      <c r="I299" s="12" t="s">
        <v>1107</v>
      </c>
      <c r="J299" t="s">
        <v>1292</v>
      </c>
      <c r="K299" s="12" t="s">
        <v>1062</v>
      </c>
      <c r="L299" s="12" t="s">
        <v>1110</v>
      </c>
      <c r="M299" s="12" t="s">
        <v>838</v>
      </c>
      <c r="N299" t="s">
        <v>1422</v>
      </c>
      <c r="P299" s="31">
        <v>0.01</v>
      </c>
      <c r="Q299" s="22">
        <v>1</v>
      </c>
      <c r="R299" s="16">
        <v>7.3491641641941444E-3</v>
      </c>
    </row>
    <row r="300" spans="1:18" x14ac:dyDescent="0.45">
      <c r="A300" s="3">
        <v>560</v>
      </c>
      <c r="B300" s="3" t="s">
        <v>1424</v>
      </c>
      <c r="C300" s="3" t="s">
        <v>1364</v>
      </c>
      <c r="D300" s="3" t="s">
        <v>1413</v>
      </c>
      <c r="F300" t="s">
        <v>984</v>
      </c>
      <c r="G300" t="s">
        <v>830</v>
      </c>
      <c r="H300" t="s">
        <v>808</v>
      </c>
      <c r="I300" s="12" t="s">
        <v>1107</v>
      </c>
      <c r="J300" t="s">
        <v>1292</v>
      </c>
      <c r="K300" s="12" t="s">
        <v>1062</v>
      </c>
      <c r="L300" s="12" t="s">
        <v>1110</v>
      </c>
      <c r="M300" s="12" t="s">
        <v>838</v>
      </c>
      <c r="N300" t="s">
        <v>1423</v>
      </c>
      <c r="P300" s="31">
        <v>0.01</v>
      </c>
      <c r="Q300" s="22">
        <v>1</v>
      </c>
      <c r="R300" s="16">
        <v>7.3491641641941444E-3</v>
      </c>
    </row>
    <row r="301" spans="1:18" x14ac:dyDescent="0.45">
      <c r="A301" s="30">
        <v>561</v>
      </c>
      <c r="B301" s="3" t="s">
        <v>1424</v>
      </c>
      <c r="C301" s="3" t="s">
        <v>1364</v>
      </c>
      <c r="D301" s="3" t="s">
        <v>1413</v>
      </c>
      <c r="F301" t="s">
        <v>985</v>
      </c>
      <c r="G301" t="s">
        <v>830</v>
      </c>
      <c r="H301" t="s">
        <v>808</v>
      </c>
      <c r="I301" s="12" t="s">
        <v>1107</v>
      </c>
      <c r="J301" t="s">
        <v>1292</v>
      </c>
      <c r="K301" s="12" t="s">
        <v>1062</v>
      </c>
      <c r="L301" s="12" t="s">
        <v>1110</v>
      </c>
      <c r="M301" s="12" t="s">
        <v>838</v>
      </c>
      <c r="N301" t="s">
        <v>1423</v>
      </c>
      <c r="P301" s="31">
        <v>0.01</v>
      </c>
      <c r="Q301" s="22">
        <v>1</v>
      </c>
      <c r="R301" s="16">
        <v>7.3491641641941444E-3</v>
      </c>
    </row>
    <row r="302" spans="1:18" x14ac:dyDescent="0.45">
      <c r="A302" s="3">
        <v>562</v>
      </c>
      <c r="B302" s="3" t="s">
        <v>1424</v>
      </c>
      <c r="C302" s="3" t="s">
        <v>1364</v>
      </c>
      <c r="D302" s="3" t="s">
        <v>1413</v>
      </c>
      <c r="F302" t="s">
        <v>1010</v>
      </c>
      <c r="G302" t="s">
        <v>830</v>
      </c>
      <c r="H302" t="s">
        <v>808</v>
      </c>
      <c r="I302" s="12" t="s">
        <v>1107</v>
      </c>
      <c r="J302" t="s">
        <v>1292</v>
      </c>
      <c r="K302" s="12" t="s">
        <v>1062</v>
      </c>
      <c r="L302" s="12" t="s">
        <v>1110</v>
      </c>
      <c r="M302" s="12" t="s">
        <v>838</v>
      </c>
      <c r="N302" t="s">
        <v>1423</v>
      </c>
      <c r="P302" s="31">
        <v>0.01</v>
      </c>
      <c r="Q302" s="22">
        <v>1</v>
      </c>
      <c r="R302" s="16">
        <v>7.3491641641941444E-3</v>
      </c>
    </row>
    <row r="303" spans="1:18" x14ac:dyDescent="0.45">
      <c r="A303" s="30">
        <v>563</v>
      </c>
      <c r="B303" s="3" t="s">
        <v>1530</v>
      </c>
      <c r="C303" s="3" t="s">
        <v>1289</v>
      </c>
      <c r="D303" s="3" t="s">
        <v>1290</v>
      </c>
      <c r="E303" t="s">
        <v>1291</v>
      </c>
      <c r="F303" t="s">
        <v>984</v>
      </c>
      <c r="G303" t="s">
        <v>830</v>
      </c>
      <c r="H303" t="s">
        <v>808</v>
      </c>
      <c r="I303" s="12" t="s">
        <v>1107</v>
      </c>
      <c r="J303" t="s">
        <v>1292</v>
      </c>
      <c r="K303" s="12" t="s">
        <v>1062</v>
      </c>
      <c r="L303" s="12" t="s">
        <v>1110</v>
      </c>
      <c r="M303" s="12" t="s">
        <v>838</v>
      </c>
      <c r="N303" s="14" t="s">
        <v>1414</v>
      </c>
      <c r="P303">
        <v>1E-4</v>
      </c>
      <c r="Q303" s="22">
        <v>1</v>
      </c>
      <c r="R303" s="16">
        <v>7.3491641641941448E-5</v>
      </c>
    </row>
    <row r="304" spans="1:18" x14ac:dyDescent="0.45">
      <c r="A304" s="3">
        <v>564</v>
      </c>
      <c r="B304" s="3" t="s">
        <v>1530</v>
      </c>
      <c r="C304" s="3" t="s">
        <v>1289</v>
      </c>
      <c r="D304" s="3" t="s">
        <v>1290</v>
      </c>
      <c r="E304" t="s">
        <v>1291</v>
      </c>
      <c r="F304" t="s">
        <v>985</v>
      </c>
      <c r="G304" t="s">
        <v>830</v>
      </c>
      <c r="H304" t="s">
        <v>808</v>
      </c>
      <c r="I304" s="12" t="s">
        <v>1107</v>
      </c>
      <c r="J304" t="s">
        <v>1292</v>
      </c>
      <c r="K304" s="12" t="s">
        <v>1062</v>
      </c>
      <c r="L304" s="12" t="s">
        <v>1110</v>
      </c>
      <c r="M304" s="12" t="s">
        <v>838</v>
      </c>
      <c r="N304" s="14" t="s">
        <v>1414</v>
      </c>
      <c r="P304" s="31">
        <v>0.01</v>
      </c>
      <c r="Q304" s="22">
        <v>1</v>
      </c>
      <c r="R304" s="16">
        <v>7.3491641641941444E-3</v>
      </c>
    </row>
    <row r="305" spans="1:19" x14ac:dyDescent="0.45">
      <c r="A305" s="30">
        <v>565</v>
      </c>
      <c r="B305" s="3" t="s">
        <v>1530</v>
      </c>
      <c r="C305" s="3" t="s">
        <v>1289</v>
      </c>
      <c r="D305" s="3" t="s">
        <v>1290</v>
      </c>
      <c r="E305" t="s">
        <v>1291</v>
      </c>
      <c r="F305" t="s">
        <v>1010</v>
      </c>
      <c r="G305" t="s">
        <v>830</v>
      </c>
      <c r="H305" t="s">
        <v>808</v>
      </c>
      <c r="I305" s="12" t="s">
        <v>1107</v>
      </c>
      <c r="J305" t="s">
        <v>1292</v>
      </c>
      <c r="K305" s="12" t="s">
        <v>1062</v>
      </c>
      <c r="L305" s="12" t="s">
        <v>1110</v>
      </c>
      <c r="M305" s="12" t="s">
        <v>838</v>
      </c>
      <c r="N305" s="14" t="s">
        <v>1414</v>
      </c>
      <c r="P305" s="31">
        <v>0.01</v>
      </c>
      <c r="Q305" s="22">
        <v>1</v>
      </c>
      <c r="R305" s="16">
        <v>7.3491641641941444E-3</v>
      </c>
    </row>
    <row r="306" spans="1:19" x14ac:dyDescent="0.45">
      <c r="A306" s="3">
        <v>566</v>
      </c>
      <c r="B306" s="3" t="s">
        <v>1415</v>
      </c>
      <c r="C306" s="3" t="s">
        <v>1294</v>
      </c>
      <c r="D306" s="3" t="s">
        <v>1295</v>
      </c>
      <c r="E306" t="s">
        <v>1296</v>
      </c>
      <c r="F306" t="s">
        <v>984</v>
      </c>
      <c r="G306" t="s">
        <v>830</v>
      </c>
      <c r="H306" t="s">
        <v>808</v>
      </c>
      <c r="I306" s="12" t="s">
        <v>1107</v>
      </c>
      <c r="K306" s="12" t="s">
        <v>1062</v>
      </c>
      <c r="L306" s="12" t="s">
        <v>1110</v>
      </c>
      <c r="M306" s="12" t="s">
        <v>838</v>
      </c>
      <c r="N306" s="14" t="s">
        <v>1414</v>
      </c>
      <c r="P306" s="16">
        <v>4.1651584128000003E-3</v>
      </c>
      <c r="Q306" s="22">
        <v>1</v>
      </c>
      <c r="R306" s="16">
        <v>3.0610432945541522E-3</v>
      </c>
    </row>
    <row r="307" spans="1:19" x14ac:dyDescent="0.45">
      <c r="A307" s="30">
        <v>567</v>
      </c>
      <c r="B307" s="3" t="s">
        <v>1415</v>
      </c>
      <c r="C307" s="3" t="s">
        <v>1294</v>
      </c>
      <c r="D307" s="3" t="s">
        <v>1295</v>
      </c>
      <c r="E307" t="s">
        <v>1296</v>
      </c>
      <c r="F307" t="s">
        <v>985</v>
      </c>
      <c r="G307" t="s">
        <v>830</v>
      </c>
      <c r="H307" t="s">
        <v>808</v>
      </c>
      <c r="I307" s="12" t="s">
        <v>1107</v>
      </c>
      <c r="K307" s="12" t="s">
        <v>1062</v>
      </c>
      <c r="L307" s="12" t="s">
        <v>1110</v>
      </c>
      <c r="M307" s="12" t="s">
        <v>838</v>
      </c>
      <c r="N307" s="14" t="s">
        <v>1414</v>
      </c>
      <c r="P307" s="16">
        <v>3.5971822656000003E-3</v>
      </c>
      <c r="Q307" s="22">
        <v>1</v>
      </c>
      <c r="R307" s="16">
        <v>2.6436282998422225E-3</v>
      </c>
    </row>
    <row r="308" spans="1:19" x14ac:dyDescent="0.45">
      <c r="A308" s="30">
        <v>569</v>
      </c>
      <c r="B308" s="3" t="s">
        <v>1537</v>
      </c>
      <c r="C308" s="3" t="s">
        <v>1297</v>
      </c>
      <c r="D308" s="3" t="s">
        <v>1298</v>
      </c>
      <c r="E308" t="s">
        <v>1299</v>
      </c>
      <c r="F308" t="s">
        <v>984</v>
      </c>
      <c r="G308" t="s">
        <v>830</v>
      </c>
      <c r="H308" t="s">
        <v>808</v>
      </c>
      <c r="I308" s="12" t="s">
        <v>1107</v>
      </c>
      <c r="K308" s="12" t="s">
        <v>1062</v>
      </c>
      <c r="L308" s="12" t="s">
        <v>1110</v>
      </c>
      <c r="M308" s="12" t="s">
        <v>838</v>
      </c>
      <c r="N308" s="14" t="s">
        <v>1414</v>
      </c>
      <c r="P308" s="16">
        <v>4.1651584128000003E-3</v>
      </c>
      <c r="Q308" s="22">
        <v>1</v>
      </c>
      <c r="R308" s="16">
        <v>3.0610432945541522E-3</v>
      </c>
    </row>
    <row r="309" spans="1:19" x14ac:dyDescent="0.45">
      <c r="A309" s="3">
        <v>570</v>
      </c>
      <c r="B309" s="3" t="s">
        <v>1537</v>
      </c>
      <c r="C309" s="3" t="s">
        <v>1297</v>
      </c>
      <c r="D309" s="3" t="s">
        <v>1298</v>
      </c>
      <c r="E309" t="s">
        <v>1299</v>
      </c>
      <c r="F309" t="s">
        <v>985</v>
      </c>
      <c r="G309" t="s">
        <v>830</v>
      </c>
      <c r="H309" t="s">
        <v>808</v>
      </c>
      <c r="I309" s="12" t="s">
        <v>1107</v>
      </c>
      <c r="K309" s="12" t="s">
        <v>1062</v>
      </c>
      <c r="L309" s="12" t="s">
        <v>1110</v>
      </c>
      <c r="M309" s="12" t="s">
        <v>838</v>
      </c>
      <c r="N309" s="14" t="s">
        <v>1414</v>
      </c>
      <c r="P309" s="16">
        <v>3.5971822656000003E-3</v>
      </c>
      <c r="Q309" s="22">
        <v>1</v>
      </c>
      <c r="R309" s="16">
        <v>2.6436282998422225E-3</v>
      </c>
    </row>
    <row r="310" spans="1:19" x14ac:dyDescent="0.45">
      <c r="A310" s="30">
        <v>571</v>
      </c>
      <c r="B310" s="3" t="s">
        <v>1537</v>
      </c>
      <c r="C310" s="3" t="s">
        <v>1297</v>
      </c>
      <c r="D310" s="3" t="s">
        <v>1298</v>
      </c>
      <c r="E310" t="s">
        <v>1299</v>
      </c>
      <c r="F310" t="s">
        <v>1010</v>
      </c>
      <c r="G310" t="s">
        <v>830</v>
      </c>
      <c r="H310" t="s">
        <v>808</v>
      </c>
      <c r="I310" s="12" t="s">
        <v>1107</v>
      </c>
      <c r="K310" s="12" t="s">
        <v>1062</v>
      </c>
      <c r="L310" s="12" t="s">
        <v>1110</v>
      </c>
      <c r="M310" s="12" t="s">
        <v>838</v>
      </c>
      <c r="N310" s="14" t="s">
        <v>1414</v>
      </c>
      <c r="P310" s="26">
        <v>1E-3</v>
      </c>
      <c r="Q310" s="22">
        <v>1</v>
      </c>
      <c r="R310" s="16">
        <v>7.3491641641941442E-4</v>
      </c>
    </row>
    <row r="311" spans="1:19" x14ac:dyDescent="0.45">
      <c r="A311" s="3">
        <v>572</v>
      </c>
      <c r="B311" s="3" t="s">
        <v>1538</v>
      </c>
      <c r="C311" s="3" t="s">
        <v>1300</v>
      </c>
      <c r="D311" s="3" t="s">
        <v>1301</v>
      </c>
      <c r="E311" t="s">
        <v>1302</v>
      </c>
      <c r="F311" t="s">
        <v>984</v>
      </c>
      <c r="G311" t="s">
        <v>830</v>
      </c>
      <c r="H311" t="s">
        <v>808</v>
      </c>
      <c r="I311" s="12" t="s">
        <v>1107</v>
      </c>
      <c r="K311" s="12" t="s">
        <v>1062</v>
      </c>
      <c r="L311" s="12" t="s">
        <v>1110</v>
      </c>
      <c r="M311" s="12" t="s">
        <v>838</v>
      </c>
      <c r="N311" s="14" t="s">
        <v>1414</v>
      </c>
      <c r="P311" s="16">
        <v>4.1651584128000003E-3</v>
      </c>
      <c r="Q311" s="22">
        <v>1</v>
      </c>
      <c r="R311" s="16">
        <v>3.0610432945541522E-3</v>
      </c>
    </row>
    <row r="312" spans="1:19" x14ac:dyDescent="0.45">
      <c r="A312" s="30">
        <v>573</v>
      </c>
      <c r="B312" s="3" t="s">
        <v>1538</v>
      </c>
      <c r="C312" s="3" t="s">
        <v>1300</v>
      </c>
      <c r="D312" s="3" t="s">
        <v>1301</v>
      </c>
      <c r="E312" t="s">
        <v>1302</v>
      </c>
      <c r="F312" t="s">
        <v>985</v>
      </c>
      <c r="G312" t="s">
        <v>830</v>
      </c>
      <c r="H312" t="s">
        <v>783</v>
      </c>
      <c r="I312" s="12" t="s">
        <v>1107</v>
      </c>
      <c r="K312" s="12" t="s">
        <v>1062</v>
      </c>
      <c r="L312" s="12" t="s">
        <v>1110</v>
      </c>
      <c r="M312" s="12" t="s">
        <v>838</v>
      </c>
      <c r="N312" s="14" t="s">
        <v>1414</v>
      </c>
      <c r="P312" s="26">
        <v>1E-3</v>
      </c>
      <c r="Q312" s="22">
        <v>1</v>
      </c>
      <c r="R312" s="16">
        <v>7.3491641641941442E-4</v>
      </c>
    </row>
    <row r="313" spans="1:19" x14ac:dyDescent="0.45">
      <c r="A313" s="3">
        <v>175</v>
      </c>
      <c r="B313" s="3" t="s">
        <v>890</v>
      </c>
      <c r="C313" s="3" t="s">
        <v>1195</v>
      </c>
      <c r="D313" s="3" t="s">
        <v>1196</v>
      </c>
      <c r="E313" t="s">
        <v>936</v>
      </c>
      <c r="F313" t="s">
        <v>995</v>
      </c>
      <c r="G313" t="s">
        <v>831</v>
      </c>
      <c r="H313" t="s">
        <v>783</v>
      </c>
      <c r="I313" s="12" t="s">
        <v>1107</v>
      </c>
      <c r="K313" s="12" t="s">
        <v>1062</v>
      </c>
      <c r="L313" s="12" t="s">
        <v>1110</v>
      </c>
      <c r="M313" s="12" t="s">
        <v>838</v>
      </c>
      <c r="N313" s="14" t="s">
        <v>997</v>
      </c>
      <c r="O313" t="s">
        <v>937</v>
      </c>
      <c r="P313" s="16">
        <v>7.4044870199999979E-4</v>
      </c>
      <c r="Q313" s="22">
        <v>1</v>
      </c>
      <c r="R313" s="16">
        <v>5.4416790661624673E-4</v>
      </c>
    </row>
    <row r="314" spans="1:19" x14ac:dyDescent="0.45">
      <c r="A314" s="3">
        <v>204</v>
      </c>
      <c r="B314" s="3" t="s">
        <v>685</v>
      </c>
      <c r="C314" s="3" t="s">
        <v>1618</v>
      </c>
      <c r="D314" s="3" t="s">
        <v>1619</v>
      </c>
      <c r="E314" t="s">
        <v>546</v>
      </c>
      <c r="F314" t="s">
        <v>990</v>
      </c>
      <c r="G314" t="s">
        <v>832</v>
      </c>
      <c r="H314" t="s">
        <v>808</v>
      </c>
      <c r="I314" t="s">
        <v>806</v>
      </c>
      <c r="K314" s="12" t="s">
        <v>1062</v>
      </c>
      <c r="L314" s="12" t="s">
        <v>1110</v>
      </c>
      <c r="M314" t="s">
        <v>836</v>
      </c>
      <c r="N314" s="12" t="s">
        <v>1190</v>
      </c>
      <c r="O314" t="s">
        <v>547</v>
      </c>
      <c r="P314" s="16">
        <v>4.4880258060000014E-4</v>
      </c>
      <c r="Q314" s="22">
        <v>1</v>
      </c>
      <c r="R314" s="16">
        <v>3.2983238421433749E-4</v>
      </c>
    </row>
    <row r="315" spans="1:19" x14ac:dyDescent="0.45">
      <c r="A315" s="7">
        <v>207</v>
      </c>
      <c r="B315" s="3" t="s">
        <v>488</v>
      </c>
      <c r="C315" s="7" t="s">
        <v>1620</v>
      </c>
      <c r="D315" s="7" t="s">
        <v>1141</v>
      </c>
      <c r="E315" t="s">
        <v>176</v>
      </c>
      <c r="F315" t="s">
        <v>988</v>
      </c>
      <c r="G315" t="s">
        <v>832</v>
      </c>
      <c r="H315" t="s">
        <v>768</v>
      </c>
      <c r="I315" s="12" t="s">
        <v>1107</v>
      </c>
      <c r="K315" s="12" t="s">
        <v>1062</v>
      </c>
      <c r="L315" s="12" t="s">
        <v>1110</v>
      </c>
      <c r="M315" s="12" t="s">
        <v>838</v>
      </c>
      <c r="N315" s="14" t="s">
        <v>997</v>
      </c>
      <c r="O315" t="s">
        <v>175</v>
      </c>
      <c r="P315" s="16">
        <v>1.5232087584000002E-3</v>
      </c>
      <c r="Q315" s="22">
        <v>1</v>
      </c>
      <c r="R315" s="16">
        <v>1.1194311221819938E-3</v>
      </c>
    </row>
    <row r="316" spans="1:19" x14ac:dyDescent="0.45">
      <c r="A316" s="3">
        <v>372</v>
      </c>
      <c r="B316" s="3" t="s">
        <v>1170</v>
      </c>
      <c r="C316" s="7" t="s">
        <v>1172</v>
      </c>
      <c r="D316" s="7" t="s">
        <v>1175</v>
      </c>
      <c r="E316" t="s">
        <v>1167</v>
      </c>
      <c r="F316" t="s">
        <v>989</v>
      </c>
      <c r="G316" t="s">
        <v>831</v>
      </c>
      <c r="H316" t="s">
        <v>808</v>
      </c>
      <c r="I316" t="s">
        <v>806</v>
      </c>
      <c r="K316" s="12" t="s">
        <v>1062</v>
      </c>
      <c r="L316" t="s">
        <v>1111</v>
      </c>
      <c r="M316" s="12" t="s">
        <v>838</v>
      </c>
      <c r="N316" s="12" t="s">
        <v>1190</v>
      </c>
      <c r="P316" s="16">
        <v>4.1066902799999995E-4</v>
      </c>
      <c r="Q316" s="22">
        <v>1</v>
      </c>
      <c r="R316" s="16">
        <v>3.0180741039220413E-4</v>
      </c>
    </row>
    <row r="317" spans="1:19" x14ac:dyDescent="0.45">
      <c r="A317" s="3">
        <v>456</v>
      </c>
      <c r="B317" s="3" t="s">
        <v>189</v>
      </c>
      <c r="C317" s="7" t="s">
        <v>551</v>
      </c>
      <c r="D317" s="7" t="s">
        <v>618</v>
      </c>
      <c r="E317" t="s">
        <v>156</v>
      </c>
      <c r="F317" t="s">
        <v>971</v>
      </c>
      <c r="G317" t="s">
        <v>831</v>
      </c>
      <c r="H317" t="s">
        <v>783</v>
      </c>
      <c r="I317" s="12" t="s">
        <v>1107</v>
      </c>
      <c r="J317" s="12"/>
      <c r="K317" s="12" t="s">
        <v>1062</v>
      </c>
      <c r="L317" s="12" t="s">
        <v>1110</v>
      </c>
      <c r="M317" s="12" t="s">
        <v>838</v>
      </c>
      <c r="N317" t="s">
        <v>1232</v>
      </c>
      <c r="P317" s="16">
        <v>1.6565970959999999E-3</v>
      </c>
      <c r="Q317">
        <v>1</v>
      </c>
      <c r="R317" s="16">
        <v>1.2174604012431286E-3</v>
      </c>
      <c r="S317" t="s">
        <v>1288</v>
      </c>
    </row>
    <row r="318" spans="1:19" x14ac:dyDescent="0.45">
      <c r="A318" s="7">
        <v>464</v>
      </c>
      <c r="B318" s="3" t="s">
        <v>664</v>
      </c>
      <c r="C318" s="7" t="s">
        <v>745</v>
      </c>
      <c r="D318" s="7" t="s">
        <v>562</v>
      </c>
      <c r="E318" t="s">
        <v>983</v>
      </c>
      <c r="F318" t="s">
        <v>971</v>
      </c>
      <c r="G318" t="s">
        <v>831</v>
      </c>
      <c r="H318" t="s">
        <v>783</v>
      </c>
      <c r="I318" s="12" t="s">
        <v>1107</v>
      </c>
      <c r="J318" s="12"/>
      <c r="K318" s="12" t="s">
        <v>1062</v>
      </c>
      <c r="L318" s="12" t="s">
        <v>1111</v>
      </c>
      <c r="M318" s="12" t="s">
        <v>838</v>
      </c>
      <c r="N318" s="14" t="s">
        <v>1003</v>
      </c>
      <c r="P318" s="16">
        <v>2.9234066399999993E-4</v>
      </c>
      <c r="Q318">
        <v>1</v>
      </c>
      <c r="R318" s="16">
        <v>2.1484595316055205E-4</v>
      </c>
      <c r="S318" t="s">
        <v>1288</v>
      </c>
    </row>
    <row r="319" spans="1:19" x14ac:dyDescent="0.45">
      <c r="A319" s="7">
        <v>465</v>
      </c>
      <c r="B319" s="3" t="s">
        <v>664</v>
      </c>
      <c r="C319" s="7" t="s">
        <v>745</v>
      </c>
      <c r="D319" s="7" t="s">
        <v>562</v>
      </c>
      <c r="E319" t="s">
        <v>983</v>
      </c>
      <c r="F319" t="s">
        <v>986</v>
      </c>
      <c r="G319" t="s">
        <v>831</v>
      </c>
      <c r="H319" t="s">
        <v>783</v>
      </c>
      <c r="I319" s="12" t="s">
        <v>1107</v>
      </c>
      <c r="J319" s="12"/>
      <c r="K319" s="12" t="s">
        <v>1062</v>
      </c>
      <c r="L319" s="12" t="s">
        <v>1111</v>
      </c>
      <c r="M319" s="12" t="s">
        <v>838</v>
      </c>
      <c r="N319" s="14" t="s">
        <v>1003</v>
      </c>
      <c r="P319" s="16">
        <v>2.5247602799999996E-4</v>
      </c>
      <c r="Q319">
        <v>1</v>
      </c>
      <c r="R319" s="16">
        <v>1.8554877772956771E-4</v>
      </c>
      <c r="S319" t="s">
        <v>1288</v>
      </c>
    </row>
    <row r="320" spans="1:19" x14ac:dyDescent="0.45">
      <c r="A320" s="7">
        <v>497</v>
      </c>
      <c r="B320" s="3" t="s">
        <v>1559</v>
      </c>
      <c r="C320" s="7" t="s">
        <v>1633</v>
      </c>
      <c r="D320" s="3" t="s">
        <v>1558</v>
      </c>
      <c r="F320" t="s">
        <v>984</v>
      </c>
      <c r="G320" t="s">
        <v>833</v>
      </c>
      <c r="H320" t="s">
        <v>808</v>
      </c>
      <c r="I320" s="12" t="s">
        <v>1107</v>
      </c>
      <c r="J320" s="12"/>
      <c r="K320" s="12" t="s">
        <v>1062</v>
      </c>
      <c r="L320" s="12" t="s">
        <v>1111</v>
      </c>
      <c r="M320" s="12" t="s">
        <v>838</v>
      </c>
      <c r="N320" s="14" t="s">
        <v>1003</v>
      </c>
      <c r="P320" s="16">
        <v>2.8584420480000009E-4</v>
      </c>
      <c r="Q320">
        <v>1</v>
      </c>
      <c r="R320" s="16">
        <v>2.1007159864587323E-4</v>
      </c>
      <c r="S320" t="s">
        <v>1288</v>
      </c>
    </row>
    <row r="321" spans="1:19" x14ac:dyDescent="0.45">
      <c r="A321" s="7">
        <v>499</v>
      </c>
      <c r="B321" s="3" t="s">
        <v>1559</v>
      </c>
      <c r="C321" s="7" t="s">
        <v>1633</v>
      </c>
      <c r="D321" s="3" t="s">
        <v>1558</v>
      </c>
      <c r="F321" t="s">
        <v>1010</v>
      </c>
      <c r="G321" t="s">
        <v>833</v>
      </c>
      <c r="H321" t="s">
        <v>808</v>
      </c>
      <c r="I321" s="12" t="s">
        <v>1107</v>
      </c>
      <c r="J321" s="12"/>
      <c r="K321" s="12" t="s">
        <v>1062</v>
      </c>
      <c r="L321" s="12" t="s">
        <v>1111</v>
      </c>
      <c r="M321" s="12" t="s">
        <v>838</v>
      </c>
      <c r="N321" s="14" t="s">
        <v>1003</v>
      </c>
      <c r="O321" t="s">
        <v>641</v>
      </c>
      <c r="P321" s="16">
        <v>1.9164554640000006E-4</v>
      </c>
      <c r="Q321">
        <v>1</v>
      </c>
      <c r="R321" s="16">
        <v>1.4084345818302866E-4</v>
      </c>
      <c r="S321" t="s">
        <v>1288</v>
      </c>
    </row>
    <row r="322" spans="1:19" x14ac:dyDescent="0.45">
      <c r="A322" s="7">
        <v>500</v>
      </c>
      <c r="B322" s="3" t="s">
        <v>1559</v>
      </c>
      <c r="C322" s="7" t="s">
        <v>1633</v>
      </c>
      <c r="D322" s="3" t="s">
        <v>1558</v>
      </c>
      <c r="F322" t="s">
        <v>971</v>
      </c>
      <c r="G322" t="s">
        <v>833</v>
      </c>
      <c r="H322" t="s">
        <v>808</v>
      </c>
      <c r="I322" s="12" t="s">
        <v>1107</v>
      </c>
      <c r="J322" s="12"/>
      <c r="K322" s="12" t="s">
        <v>1062</v>
      </c>
      <c r="L322" s="12" t="s">
        <v>1111</v>
      </c>
      <c r="M322" s="12" t="s">
        <v>838</v>
      </c>
      <c r="N322" s="14" t="s">
        <v>1003</v>
      </c>
      <c r="P322" s="16">
        <v>1.6078736520000003E-4</v>
      </c>
      <c r="Q322">
        <v>1</v>
      </c>
      <c r="R322" s="16">
        <v>1.1816527423830369E-4</v>
      </c>
      <c r="S322" t="s">
        <v>1288</v>
      </c>
    </row>
    <row r="323" spans="1:19" x14ac:dyDescent="0.45">
      <c r="A323" s="7">
        <v>501</v>
      </c>
      <c r="B323" s="3" t="s">
        <v>1559</v>
      </c>
      <c r="C323" s="7" t="s">
        <v>1633</v>
      </c>
      <c r="D323" s="3" t="s">
        <v>1558</v>
      </c>
      <c r="F323" t="s">
        <v>986</v>
      </c>
      <c r="G323" t="s">
        <v>833</v>
      </c>
      <c r="H323" t="s">
        <v>808</v>
      </c>
      <c r="I323" s="12" t="s">
        <v>1107</v>
      </c>
      <c r="J323" s="12"/>
      <c r="K323" s="12" t="s">
        <v>1062</v>
      </c>
      <c r="L323" s="12" t="s">
        <v>1111</v>
      </c>
      <c r="M323" s="12" t="s">
        <v>838</v>
      </c>
      <c r="N323" s="14" t="s">
        <v>1003</v>
      </c>
      <c r="P323" s="16">
        <v>1.3886181540000004E-4</v>
      </c>
      <c r="Q323">
        <v>1</v>
      </c>
      <c r="R323" s="16">
        <v>1.0205182775126228E-4</v>
      </c>
      <c r="S323" t="s">
        <v>1288</v>
      </c>
    </row>
    <row r="324" spans="1:19" x14ac:dyDescent="0.45">
      <c r="A324" s="7">
        <v>544</v>
      </c>
      <c r="B324" s="3" t="s">
        <v>1279</v>
      </c>
      <c r="C324" s="7" t="s">
        <v>1280</v>
      </c>
      <c r="D324" s="7" t="s">
        <v>1281</v>
      </c>
      <c r="E324" t="s">
        <v>147</v>
      </c>
      <c r="F324" t="s">
        <v>985</v>
      </c>
      <c r="G324" t="s">
        <v>831</v>
      </c>
      <c r="H324" t="s">
        <v>768</v>
      </c>
      <c r="I324" s="12" t="s">
        <v>1107</v>
      </c>
      <c r="K324" s="12" t="s">
        <v>1062</v>
      </c>
      <c r="L324" t="s">
        <v>1111</v>
      </c>
      <c r="M324" s="12" t="s">
        <v>838</v>
      </c>
      <c r="N324" s="12" t="s">
        <v>1190</v>
      </c>
      <c r="O324" s="14" t="s">
        <v>1283</v>
      </c>
      <c r="P324" s="16">
        <v>4.4884627200000003E-4</v>
      </c>
      <c r="Q324" s="22">
        <v>1</v>
      </c>
      <c r="R324" s="16">
        <v>3.2986449374145378E-4</v>
      </c>
    </row>
    <row r="325" spans="1:19" x14ac:dyDescent="0.45">
      <c r="A325" s="7">
        <v>607</v>
      </c>
      <c r="B325" s="3" t="s">
        <v>1623</v>
      </c>
      <c r="C325" s="7" t="s">
        <v>1504</v>
      </c>
      <c r="D325" s="7" t="s">
        <v>1505</v>
      </c>
      <c r="E325" t="s">
        <v>1506</v>
      </c>
      <c r="F325" t="s">
        <v>985</v>
      </c>
      <c r="G325" t="s">
        <v>832</v>
      </c>
      <c r="H325" t="s">
        <v>808</v>
      </c>
      <c r="I325" s="12" t="s">
        <v>1107</v>
      </c>
      <c r="J325" t="s">
        <v>784</v>
      </c>
      <c r="K325" t="s">
        <v>1062</v>
      </c>
      <c r="L325" t="s">
        <v>1111</v>
      </c>
      <c r="M325" t="s">
        <v>972</v>
      </c>
      <c r="O325" t="s">
        <v>1507</v>
      </c>
      <c r="P325">
        <v>1E-4</v>
      </c>
      <c r="Q325">
        <v>1</v>
      </c>
      <c r="R325">
        <v>1.2E-4</v>
      </c>
    </row>
    <row r="326" spans="1:19" x14ac:dyDescent="0.45">
      <c r="A326" s="7">
        <v>122</v>
      </c>
      <c r="B326" s="7" t="s">
        <v>237</v>
      </c>
      <c r="C326" s="3" t="s">
        <v>1193</v>
      </c>
      <c r="D326" s="3" t="s">
        <v>1194</v>
      </c>
      <c r="E326" t="s">
        <v>788</v>
      </c>
      <c r="F326" t="s">
        <v>991</v>
      </c>
      <c r="G326" t="s">
        <v>831</v>
      </c>
      <c r="H326" t="s">
        <v>808</v>
      </c>
      <c r="I326" s="12" t="s">
        <v>1107</v>
      </c>
      <c r="K326" s="12" t="s">
        <v>1062</v>
      </c>
      <c r="L326" s="12" t="s">
        <v>1110</v>
      </c>
      <c r="M326" s="12" t="s">
        <v>838</v>
      </c>
      <c r="N326" s="14" t="s">
        <v>997</v>
      </c>
      <c r="O326" t="s">
        <v>238</v>
      </c>
      <c r="P326" s="16">
        <v>2.0362339304999997E-3</v>
      </c>
      <c r="Q326" s="22">
        <v>0.5</v>
      </c>
      <c r="R326" s="16">
        <v>7.4823087159733934E-4</v>
      </c>
    </row>
    <row r="327" spans="1:19" x14ac:dyDescent="0.45">
      <c r="A327" s="7">
        <v>123</v>
      </c>
      <c r="B327" s="7" t="s">
        <v>239</v>
      </c>
      <c r="C327" s="3" t="s">
        <v>1193</v>
      </c>
      <c r="D327" s="3" t="s">
        <v>1194</v>
      </c>
      <c r="E327" t="s">
        <v>789</v>
      </c>
      <c r="F327" t="s">
        <v>991</v>
      </c>
      <c r="G327" t="s">
        <v>831</v>
      </c>
      <c r="H327" t="s">
        <v>808</v>
      </c>
      <c r="I327" s="12" t="s">
        <v>1107</v>
      </c>
      <c r="K327" s="12" t="s">
        <v>1062</v>
      </c>
      <c r="L327" s="12" t="s">
        <v>1110</v>
      </c>
      <c r="M327" s="12" t="s">
        <v>838</v>
      </c>
      <c r="N327" s="14" t="s">
        <v>997</v>
      </c>
      <c r="O327" t="s">
        <v>238</v>
      </c>
      <c r="P327" s="16">
        <v>2.0362339304999997E-3</v>
      </c>
      <c r="Q327" s="22">
        <v>0.5</v>
      </c>
      <c r="R327" s="16">
        <v>7.4823087159733934E-4</v>
      </c>
    </row>
    <row r="328" spans="1:19" x14ac:dyDescent="0.45">
      <c r="A328" s="7">
        <v>124</v>
      </c>
      <c r="B328" s="7" t="s">
        <v>221</v>
      </c>
      <c r="C328" s="3" t="s">
        <v>222</v>
      </c>
      <c r="D328" s="3" t="s">
        <v>263</v>
      </c>
      <c r="E328" t="s">
        <v>794</v>
      </c>
      <c r="F328" t="s">
        <v>991</v>
      </c>
      <c r="G328" t="s">
        <v>831</v>
      </c>
      <c r="H328" t="s">
        <v>808</v>
      </c>
      <c r="I328" s="12" t="s">
        <v>1107</v>
      </c>
      <c r="K328" s="12" t="s">
        <v>1062</v>
      </c>
      <c r="L328" s="12" t="s">
        <v>1110</v>
      </c>
      <c r="M328" s="12" t="s">
        <v>838</v>
      </c>
      <c r="N328" s="12" t="s">
        <v>1190</v>
      </c>
      <c r="O328" t="s">
        <v>223</v>
      </c>
      <c r="P328" s="16">
        <v>2.0362339304999997E-3</v>
      </c>
      <c r="Q328" s="22">
        <v>1</v>
      </c>
      <c r="R328" s="16">
        <v>1.4964617431946787E-3</v>
      </c>
    </row>
    <row r="329" spans="1:19" x14ac:dyDescent="0.45">
      <c r="A329" s="7">
        <v>125</v>
      </c>
      <c r="B329" s="7" t="s">
        <v>224</v>
      </c>
      <c r="C329" s="3" t="s">
        <v>222</v>
      </c>
      <c r="D329" s="3" t="s">
        <v>263</v>
      </c>
      <c r="E329" t="s">
        <v>12</v>
      </c>
      <c r="F329" t="s">
        <v>991</v>
      </c>
      <c r="G329" t="s">
        <v>831</v>
      </c>
      <c r="H329" t="s">
        <v>808</v>
      </c>
      <c r="I329" s="12" t="s">
        <v>1107</v>
      </c>
      <c r="K329" s="12" t="s">
        <v>1062</v>
      </c>
      <c r="L329" s="12" t="s">
        <v>1110</v>
      </c>
      <c r="M329" s="12" t="s">
        <v>838</v>
      </c>
      <c r="N329" s="12" t="s">
        <v>1190</v>
      </c>
      <c r="O329" t="s">
        <v>223</v>
      </c>
      <c r="P329" s="16">
        <v>2.0362339304999997E-3</v>
      </c>
      <c r="Q329" s="22">
        <v>1</v>
      </c>
      <c r="R329" s="16">
        <v>1.4964617431946787E-3</v>
      </c>
    </row>
    <row r="330" spans="1:19" x14ac:dyDescent="0.45">
      <c r="A330" s="7">
        <v>126</v>
      </c>
      <c r="B330" s="7" t="s">
        <v>930</v>
      </c>
      <c r="C330" s="3" t="s">
        <v>1195</v>
      </c>
      <c r="D330" s="3" t="s">
        <v>1196</v>
      </c>
      <c r="E330" t="s">
        <v>891</v>
      </c>
      <c r="F330" t="s">
        <v>995</v>
      </c>
      <c r="G330" t="s">
        <v>831</v>
      </c>
      <c r="H330" t="s">
        <v>808</v>
      </c>
      <c r="I330" s="12" t="s">
        <v>1107</v>
      </c>
      <c r="K330" s="12" t="s">
        <v>1062</v>
      </c>
      <c r="L330" s="12" t="s">
        <v>1110</v>
      </c>
      <c r="M330" s="12" t="s">
        <v>838</v>
      </c>
      <c r="N330" s="14" t="s">
        <v>997</v>
      </c>
      <c r="O330" t="s">
        <v>892</v>
      </c>
      <c r="P330" s="16">
        <v>2.0362339304999997E-3</v>
      </c>
      <c r="Q330" s="22">
        <v>1</v>
      </c>
      <c r="R330" s="16">
        <v>1.4964617431946787E-3</v>
      </c>
    </row>
    <row r="331" spans="1:19" x14ac:dyDescent="0.45">
      <c r="A331" s="7">
        <v>128</v>
      </c>
      <c r="B331" s="7" t="s">
        <v>87</v>
      </c>
      <c r="C331" s="3" t="s">
        <v>11</v>
      </c>
      <c r="D331" s="3" t="s">
        <v>252</v>
      </c>
      <c r="E331" t="s">
        <v>12</v>
      </c>
      <c r="F331" t="s">
        <v>989</v>
      </c>
      <c r="G331" t="s">
        <v>831</v>
      </c>
      <c r="H331" t="s">
        <v>808</v>
      </c>
      <c r="I331" s="12" t="s">
        <v>1107</v>
      </c>
      <c r="K331" s="12" t="s">
        <v>1062</v>
      </c>
      <c r="L331" s="12" t="s">
        <v>1110</v>
      </c>
      <c r="M331" s="12" t="s">
        <v>838</v>
      </c>
      <c r="N331" s="12" t="s">
        <v>1190</v>
      </c>
      <c r="O331" t="s">
        <v>13</v>
      </c>
      <c r="P331" s="16">
        <v>5.4299571479999994E-3</v>
      </c>
      <c r="Q331" s="22">
        <v>1</v>
      </c>
      <c r="R331" s="16">
        <v>3.9905646485191432E-3</v>
      </c>
    </row>
    <row r="332" spans="1:19" x14ac:dyDescent="0.45">
      <c r="A332" s="7">
        <v>129</v>
      </c>
      <c r="B332" s="7" t="s">
        <v>1527</v>
      </c>
      <c r="C332" s="3" t="s">
        <v>1525</v>
      </c>
      <c r="D332" s="3" t="s">
        <v>966</v>
      </c>
      <c r="E332" t="s">
        <v>946</v>
      </c>
      <c r="F332" t="s">
        <v>995</v>
      </c>
      <c r="G332" t="s">
        <v>831</v>
      </c>
      <c r="H332" t="s">
        <v>808</v>
      </c>
      <c r="I332" s="12" t="s">
        <v>1107</v>
      </c>
      <c r="K332" s="12" t="s">
        <v>1062</v>
      </c>
      <c r="L332" s="12" t="s">
        <v>1110</v>
      </c>
      <c r="M332" s="14" t="s">
        <v>837</v>
      </c>
      <c r="N332" s="12" t="s">
        <v>1190</v>
      </c>
      <c r="O332" t="s">
        <v>947</v>
      </c>
      <c r="P332" s="16">
        <v>1.6968616087499998E-4</v>
      </c>
      <c r="Q332" s="22">
        <v>1</v>
      </c>
      <c r="R332" s="16">
        <v>1.2470514526622322E-4</v>
      </c>
    </row>
    <row r="333" spans="1:19" x14ac:dyDescent="0.45">
      <c r="A333" s="7">
        <v>130</v>
      </c>
      <c r="B333" s="7" t="s">
        <v>1217</v>
      </c>
      <c r="C333" s="3" t="s">
        <v>967</v>
      </c>
      <c r="D333" s="3" t="s">
        <v>968</v>
      </c>
      <c r="E333" t="s">
        <v>948</v>
      </c>
      <c r="F333" t="s">
        <v>995</v>
      </c>
      <c r="G333" t="s">
        <v>831</v>
      </c>
      <c r="H333" t="s">
        <v>808</v>
      </c>
      <c r="I333" s="12" t="s">
        <v>1107</v>
      </c>
      <c r="K333" s="12" t="s">
        <v>1062</v>
      </c>
      <c r="L333" s="12" t="s">
        <v>1110</v>
      </c>
      <c r="M333" s="14" t="s">
        <v>835</v>
      </c>
      <c r="N333" s="12" t="s">
        <v>1190</v>
      </c>
      <c r="O333" t="s">
        <v>949</v>
      </c>
      <c r="P333" s="16">
        <v>1.6968616087499998E-4</v>
      </c>
      <c r="Q333" s="22">
        <v>1</v>
      </c>
      <c r="R333" s="16">
        <v>1.2470514526622322E-4</v>
      </c>
    </row>
    <row r="334" spans="1:19" x14ac:dyDescent="0.45">
      <c r="A334" s="7">
        <v>131</v>
      </c>
      <c r="B334" s="7" t="s">
        <v>1217</v>
      </c>
      <c r="C334" s="3" t="s">
        <v>967</v>
      </c>
      <c r="D334" s="3" t="s">
        <v>968</v>
      </c>
      <c r="E334" t="s">
        <v>896</v>
      </c>
      <c r="F334" t="s">
        <v>995</v>
      </c>
      <c r="G334" t="s">
        <v>831</v>
      </c>
      <c r="H334" t="s">
        <v>808</v>
      </c>
      <c r="I334" s="12" t="s">
        <v>1107</v>
      </c>
      <c r="K334" s="12" t="s">
        <v>1062</v>
      </c>
      <c r="L334" s="12" t="s">
        <v>1110</v>
      </c>
      <c r="M334" t="s">
        <v>837</v>
      </c>
      <c r="N334" s="12" t="s">
        <v>1190</v>
      </c>
      <c r="O334" t="s">
        <v>897</v>
      </c>
      <c r="P334" s="16">
        <v>1.6968616087499998E-4</v>
      </c>
      <c r="Q334" s="22">
        <v>1</v>
      </c>
      <c r="R334" s="16">
        <v>1.2470514526622322E-4</v>
      </c>
    </row>
    <row r="335" spans="1:19" x14ac:dyDescent="0.45">
      <c r="A335" s="7">
        <v>135</v>
      </c>
      <c r="B335" s="7" t="s">
        <v>234</v>
      </c>
      <c r="C335" s="7" t="s">
        <v>1211</v>
      </c>
      <c r="D335" s="7" t="s">
        <v>1212</v>
      </c>
      <c r="E335" t="s">
        <v>19</v>
      </c>
      <c r="F335" t="s">
        <v>992</v>
      </c>
      <c r="G335" t="s">
        <v>831</v>
      </c>
      <c r="H335" t="s">
        <v>808</v>
      </c>
      <c r="I335" s="12" t="s">
        <v>1107</v>
      </c>
      <c r="K335" s="12" t="s">
        <v>1062</v>
      </c>
      <c r="L335" s="12" t="s">
        <v>1110</v>
      </c>
      <c r="M335" t="s">
        <v>836</v>
      </c>
      <c r="N335" s="12" t="s">
        <v>1190</v>
      </c>
      <c r="O335" t="s">
        <v>236</v>
      </c>
      <c r="P335" s="16">
        <v>5.0905848262499992E-4</v>
      </c>
      <c r="Q335" s="22">
        <v>1</v>
      </c>
      <c r="R335" s="16">
        <v>3.7411543579866967E-4</v>
      </c>
    </row>
    <row r="336" spans="1:19" x14ac:dyDescent="0.45">
      <c r="A336" s="7">
        <v>136</v>
      </c>
      <c r="B336" s="7" t="s">
        <v>1214</v>
      </c>
      <c r="C336" s="3" t="s">
        <v>740</v>
      </c>
      <c r="D336" s="3" t="s">
        <v>282</v>
      </c>
      <c r="E336" t="s">
        <v>67</v>
      </c>
      <c r="F336" t="s">
        <v>991</v>
      </c>
      <c r="G336" t="s">
        <v>831</v>
      </c>
      <c r="H336" t="s">
        <v>808</v>
      </c>
      <c r="I336" s="12" t="s">
        <v>1107</v>
      </c>
      <c r="K336" s="12" t="s">
        <v>1062</v>
      </c>
      <c r="L336" s="12" t="s">
        <v>1110</v>
      </c>
      <c r="M336" t="s">
        <v>836</v>
      </c>
      <c r="N336" s="12" t="s">
        <v>1190</v>
      </c>
      <c r="O336" t="s">
        <v>240</v>
      </c>
      <c r="P336" s="16">
        <v>5.0905848262499992E-4</v>
      </c>
      <c r="Q336" s="22">
        <v>1</v>
      </c>
      <c r="R336" s="16">
        <v>3.7411543579866967E-4</v>
      </c>
    </row>
    <row r="337" spans="1:18" x14ac:dyDescent="0.45">
      <c r="A337" s="7">
        <v>137</v>
      </c>
      <c r="B337" s="7" t="s">
        <v>1215</v>
      </c>
      <c r="C337" s="3" t="s">
        <v>740</v>
      </c>
      <c r="D337" s="3" t="s">
        <v>282</v>
      </c>
      <c r="E337" t="s">
        <v>799</v>
      </c>
      <c r="F337" t="s">
        <v>991</v>
      </c>
      <c r="G337" t="s">
        <v>831</v>
      </c>
      <c r="H337" t="s">
        <v>808</v>
      </c>
      <c r="I337" s="12" t="s">
        <v>1107</v>
      </c>
      <c r="K337" s="12" t="s">
        <v>1062</v>
      </c>
      <c r="L337" s="12" t="s">
        <v>1110</v>
      </c>
      <c r="M337" t="s">
        <v>836</v>
      </c>
      <c r="N337" s="12" t="s">
        <v>1190</v>
      </c>
      <c r="O337" t="s">
        <v>240</v>
      </c>
      <c r="P337" s="16">
        <v>5.0905848262499992E-4</v>
      </c>
      <c r="Q337" s="22">
        <v>1</v>
      </c>
      <c r="R337" s="16">
        <v>3.7411543579866967E-4</v>
      </c>
    </row>
    <row r="338" spans="1:18" x14ac:dyDescent="0.45">
      <c r="A338" s="7">
        <v>138</v>
      </c>
      <c r="B338" s="7" t="s">
        <v>1216</v>
      </c>
      <c r="C338" s="3" t="s">
        <v>1526</v>
      </c>
      <c r="D338" s="3" t="s">
        <v>893</v>
      </c>
      <c r="E338" t="s">
        <v>894</v>
      </c>
      <c r="F338" t="s">
        <v>995</v>
      </c>
      <c r="G338" t="s">
        <v>831</v>
      </c>
      <c r="H338" t="s">
        <v>808</v>
      </c>
      <c r="I338" s="12" t="s">
        <v>1107</v>
      </c>
      <c r="K338" s="12" t="s">
        <v>1062</v>
      </c>
      <c r="L338" s="12" t="s">
        <v>1110</v>
      </c>
      <c r="M338" t="s">
        <v>836</v>
      </c>
      <c r="N338" s="12" t="s">
        <v>1190</v>
      </c>
      <c r="O338" t="s">
        <v>895</v>
      </c>
      <c r="P338" s="16">
        <v>5.0905848262499992E-4</v>
      </c>
      <c r="Q338" s="22">
        <v>1</v>
      </c>
      <c r="R338" s="16">
        <v>3.7411543579866967E-4</v>
      </c>
    </row>
    <row r="339" spans="1:18" x14ac:dyDescent="0.45">
      <c r="A339" s="7">
        <v>139</v>
      </c>
      <c r="B339" s="7" t="s">
        <v>18</v>
      </c>
      <c r="C339" s="3" t="s">
        <v>626</v>
      </c>
      <c r="D339" s="3" t="s">
        <v>502</v>
      </c>
      <c r="E339" t="s">
        <v>67</v>
      </c>
      <c r="F339" t="s">
        <v>989</v>
      </c>
      <c r="G339" t="s">
        <v>831</v>
      </c>
      <c r="H339" t="s">
        <v>808</v>
      </c>
      <c r="I339" s="12" t="s">
        <v>1107</v>
      </c>
      <c r="K339" s="12" t="s">
        <v>1062</v>
      </c>
      <c r="L339" s="12" t="s">
        <v>1110</v>
      </c>
      <c r="M339" t="s">
        <v>836</v>
      </c>
      <c r="N339" s="12" t="s">
        <v>1190</v>
      </c>
      <c r="O339" t="s">
        <v>20</v>
      </c>
      <c r="P339" s="16">
        <v>1.3574892869999999E-3</v>
      </c>
      <c r="Q339" s="22">
        <v>1</v>
      </c>
      <c r="R339" s="16">
        <v>9.9764116212978579E-4</v>
      </c>
    </row>
    <row r="340" spans="1:18" x14ac:dyDescent="0.45">
      <c r="A340" s="7">
        <v>150</v>
      </c>
      <c r="B340" s="7" t="s">
        <v>225</v>
      </c>
      <c r="C340" s="7" t="s">
        <v>1127</v>
      </c>
      <c r="D340" s="7" t="s">
        <v>1128</v>
      </c>
      <c r="E340" t="s">
        <v>42</v>
      </c>
      <c r="F340" t="s">
        <v>992</v>
      </c>
      <c r="G340" t="s">
        <v>831</v>
      </c>
      <c r="H340" t="s">
        <v>808</v>
      </c>
      <c r="I340" s="12" t="s">
        <v>1107</v>
      </c>
      <c r="K340" s="12" t="s">
        <v>1062</v>
      </c>
      <c r="L340" t="s">
        <v>1111</v>
      </c>
      <c r="M340" s="12" t="s">
        <v>838</v>
      </c>
      <c r="N340" s="12" t="s">
        <v>1190</v>
      </c>
      <c r="O340" t="s">
        <v>227</v>
      </c>
      <c r="P340" s="16">
        <v>3.5933539949999988E-4</v>
      </c>
      <c r="Q340" s="22">
        <v>1</v>
      </c>
      <c r="R340" s="16">
        <v>2.6408148409317857E-4</v>
      </c>
    </row>
    <row r="341" spans="1:18" x14ac:dyDescent="0.45">
      <c r="A341" s="7">
        <v>152</v>
      </c>
      <c r="B341" s="7" t="s">
        <v>228</v>
      </c>
      <c r="C341" s="3" t="s">
        <v>742</v>
      </c>
      <c r="D341" s="3" t="s">
        <v>274</v>
      </c>
      <c r="E341" t="s">
        <v>795</v>
      </c>
      <c r="F341" t="s">
        <v>991</v>
      </c>
      <c r="G341" t="s">
        <v>831</v>
      </c>
      <c r="H341" t="s">
        <v>808</v>
      </c>
      <c r="I341" s="12" t="s">
        <v>1107</v>
      </c>
      <c r="K341" s="12" t="s">
        <v>1062</v>
      </c>
      <c r="L341" t="s">
        <v>1111</v>
      </c>
      <c r="M341" s="12" t="s">
        <v>838</v>
      </c>
      <c r="N341" s="12" t="s">
        <v>1190</v>
      </c>
      <c r="O341" t="s">
        <v>229</v>
      </c>
      <c r="P341" s="16">
        <v>3.5933539949999988E-4</v>
      </c>
      <c r="Q341" s="22">
        <v>1</v>
      </c>
      <c r="R341" s="16">
        <v>2.6408148409317857E-4</v>
      </c>
    </row>
    <row r="342" spans="1:18" x14ac:dyDescent="0.45">
      <c r="A342" s="7">
        <v>153</v>
      </c>
      <c r="B342" s="7" t="s">
        <v>230</v>
      </c>
      <c r="C342" s="3" t="s">
        <v>742</v>
      </c>
      <c r="D342" s="3" t="s">
        <v>274</v>
      </c>
      <c r="E342" t="s">
        <v>798</v>
      </c>
      <c r="F342" t="s">
        <v>991</v>
      </c>
      <c r="G342" t="s">
        <v>831</v>
      </c>
      <c r="H342" t="s">
        <v>808</v>
      </c>
      <c r="I342" s="12" t="s">
        <v>1107</v>
      </c>
      <c r="K342" s="12" t="s">
        <v>1062</v>
      </c>
      <c r="L342" t="s">
        <v>1111</v>
      </c>
      <c r="M342" s="12" t="s">
        <v>838</v>
      </c>
      <c r="N342" s="12" t="s">
        <v>1190</v>
      </c>
      <c r="O342" t="s">
        <v>229</v>
      </c>
      <c r="P342" s="16">
        <v>3.5933539949999988E-4</v>
      </c>
      <c r="Q342" s="22">
        <v>1</v>
      </c>
      <c r="R342" s="16">
        <v>2.6408148409317857E-4</v>
      </c>
    </row>
    <row r="343" spans="1:18" x14ac:dyDescent="0.45">
      <c r="A343" s="7">
        <v>190</v>
      </c>
      <c r="B343" s="7" t="s">
        <v>579</v>
      </c>
      <c r="C343" s="3" t="s">
        <v>580</v>
      </c>
      <c r="D343" s="3" t="s">
        <v>581</v>
      </c>
      <c r="F343" t="s">
        <v>985</v>
      </c>
      <c r="G343" t="s">
        <v>832</v>
      </c>
      <c r="H343" t="s">
        <v>808</v>
      </c>
      <c r="I343" s="12" t="s">
        <v>1107</v>
      </c>
      <c r="J343" t="s">
        <v>784</v>
      </c>
      <c r="K343" s="12" t="s">
        <v>1062</v>
      </c>
      <c r="L343" s="12" t="s">
        <v>1110</v>
      </c>
      <c r="M343" s="12" t="s">
        <v>972</v>
      </c>
      <c r="N343" s="12" t="s">
        <v>1190</v>
      </c>
      <c r="O343" t="s">
        <v>642</v>
      </c>
      <c r="P343" s="16">
        <v>1.498825944E-4</v>
      </c>
      <c r="Q343" s="22">
        <v>1</v>
      </c>
      <c r="R343" s="16">
        <v>1.1015117916009259E-4</v>
      </c>
    </row>
    <row r="344" spans="1:18" x14ac:dyDescent="0.45">
      <c r="A344" s="7">
        <v>191</v>
      </c>
      <c r="B344" s="7" t="s">
        <v>898</v>
      </c>
      <c r="C344" s="3" t="s">
        <v>899</v>
      </c>
      <c r="D344" s="3" t="s">
        <v>900</v>
      </c>
      <c r="E344" t="s">
        <v>901</v>
      </c>
      <c r="F344" t="s">
        <v>985</v>
      </c>
      <c r="G344" t="s">
        <v>832</v>
      </c>
      <c r="H344" t="s">
        <v>808</v>
      </c>
      <c r="I344" s="12" t="s">
        <v>1107</v>
      </c>
      <c r="J344" t="s">
        <v>784</v>
      </c>
      <c r="K344" s="12" t="s">
        <v>1062</v>
      </c>
      <c r="L344" s="12" t="s">
        <v>1110</v>
      </c>
      <c r="M344" s="12" t="s">
        <v>972</v>
      </c>
      <c r="N344" s="12" t="s">
        <v>1190</v>
      </c>
      <c r="O344" t="s">
        <v>902</v>
      </c>
      <c r="P344" s="16">
        <v>1.498825944E-4</v>
      </c>
      <c r="Q344" s="22">
        <v>1</v>
      </c>
      <c r="R344" s="16">
        <v>1.1015117916009259E-4</v>
      </c>
    </row>
    <row r="345" spans="1:18" x14ac:dyDescent="0.45">
      <c r="A345" s="7">
        <v>192</v>
      </c>
      <c r="B345" s="7" t="s">
        <v>658</v>
      </c>
      <c r="C345" s="3" t="s">
        <v>580</v>
      </c>
      <c r="D345" s="3" t="s">
        <v>692</v>
      </c>
      <c r="F345" t="s">
        <v>986</v>
      </c>
      <c r="G345" t="s">
        <v>832</v>
      </c>
      <c r="H345" t="s">
        <v>808</v>
      </c>
      <c r="I345" s="12" t="s">
        <v>1107</v>
      </c>
      <c r="J345" t="s">
        <v>784</v>
      </c>
      <c r="K345" s="12" t="s">
        <v>1062</v>
      </c>
      <c r="L345" s="12" t="s">
        <v>1110</v>
      </c>
      <c r="M345" s="12" t="s">
        <v>972</v>
      </c>
      <c r="N345" s="12" t="s">
        <v>1190</v>
      </c>
      <c r="O345" t="s">
        <v>814</v>
      </c>
      <c r="P345" s="16">
        <v>8.4308959350000028E-5</v>
      </c>
      <c r="Q345" s="22">
        <v>1</v>
      </c>
      <c r="R345" s="16">
        <v>6.1960038277552104E-5</v>
      </c>
    </row>
    <row r="346" spans="1:18" x14ac:dyDescent="0.45">
      <c r="A346" s="7">
        <v>218</v>
      </c>
      <c r="B346" s="7" t="s">
        <v>999</v>
      </c>
      <c r="C346" s="7" t="s">
        <v>1086</v>
      </c>
      <c r="D346" s="7" t="s">
        <v>1093</v>
      </c>
      <c r="E346" t="s">
        <v>859</v>
      </c>
      <c r="F346" t="s">
        <v>984</v>
      </c>
      <c r="G346" t="s">
        <v>832</v>
      </c>
      <c r="H346" t="s">
        <v>808</v>
      </c>
      <c r="I346" s="12" t="s">
        <v>1107</v>
      </c>
      <c r="K346" s="12" t="s">
        <v>1062</v>
      </c>
      <c r="L346" s="12" t="s">
        <v>1110</v>
      </c>
      <c r="M346" s="12" t="s">
        <v>838</v>
      </c>
      <c r="N346" s="12" t="s">
        <v>1190</v>
      </c>
      <c r="P346" s="16">
        <v>6.2477376192000018E-3</v>
      </c>
      <c r="Q346" s="22">
        <v>1</v>
      </c>
      <c r="R346" s="16">
        <v>4.5915649418312296E-3</v>
      </c>
    </row>
    <row r="347" spans="1:18" x14ac:dyDescent="0.45">
      <c r="A347" s="7">
        <v>222</v>
      </c>
      <c r="B347" s="7" t="s">
        <v>999</v>
      </c>
      <c r="C347" s="7" t="s">
        <v>1086</v>
      </c>
      <c r="D347" s="7" t="s">
        <v>1093</v>
      </c>
      <c r="E347" t="s">
        <v>859</v>
      </c>
      <c r="F347" t="s">
        <v>985</v>
      </c>
      <c r="G347" t="s">
        <v>832</v>
      </c>
      <c r="H347" t="s">
        <v>808</v>
      </c>
      <c r="I347" s="12" t="s">
        <v>1107</v>
      </c>
      <c r="K347" s="12" t="s">
        <v>1062</v>
      </c>
      <c r="L347" s="12" t="s">
        <v>1110</v>
      </c>
      <c r="M347" s="12" t="s">
        <v>838</v>
      </c>
      <c r="N347" s="12" t="s">
        <v>1190</v>
      </c>
      <c r="P347" s="16">
        <v>5.3957733984000009E-3</v>
      </c>
      <c r="Q347" s="22">
        <v>1</v>
      </c>
      <c r="R347" s="16">
        <v>3.9654424497633338E-3</v>
      </c>
    </row>
    <row r="348" spans="1:18" x14ac:dyDescent="0.45">
      <c r="A348" s="7">
        <v>226</v>
      </c>
      <c r="B348" s="7" t="s">
        <v>1083</v>
      </c>
      <c r="C348" s="7" t="s">
        <v>1086</v>
      </c>
      <c r="D348" s="7" t="s">
        <v>1093</v>
      </c>
      <c r="E348" t="s">
        <v>859</v>
      </c>
      <c r="F348" t="s">
        <v>1010</v>
      </c>
      <c r="G348" t="s">
        <v>832</v>
      </c>
      <c r="H348" t="s">
        <v>808</v>
      </c>
      <c r="I348" s="12" t="s">
        <v>1107</v>
      </c>
      <c r="K348" s="12" t="s">
        <v>1062</v>
      </c>
      <c r="L348" s="12" t="s">
        <v>1110</v>
      </c>
      <c r="M348" s="12" t="s">
        <v>838</v>
      </c>
      <c r="N348" s="12" t="s">
        <v>1190</v>
      </c>
      <c r="O348" t="s">
        <v>860</v>
      </c>
      <c r="P348" s="16">
        <v>4.1888240856E-3</v>
      </c>
      <c r="Q348" s="22">
        <v>1</v>
      </c>
      <c r="R348" s="16">
        <v>3.0784355860004825E-3</v>
      </c>
    </row>
    <row r="349" spans="1:18" x14ac:dyDescent="0.45">
      <c r="A349" s="7">
        <v>227</v>
      </c>
      <c r="B349" s="8" t="s">
        <v>511</v>
      </c>
      <c r="C349" s="10" t="s">
        <v>574</v>
      </c>
      <c r="D349" s="10" t="s">
        <v>577</v>
      </c>
      <c r="E349" s="2" t="s">
        <v>512</v>
      </c>
      <c r="F349" t="s">
        <v>990</v>
      </c>
      <c r="G349" t="s">
        <v>832</v>
      </c>
      <c r="H349" s="2" t="s">
        <v>808</v>
      </c>
      <c r="I349" s="12" t="s">
        <v>1107</v>
      </c>
      <c r="J349" s="2"/>
      <c r="K349" s="12" t="s">
        <v>1062</v>
      </c>
      <c r="L349" s="12" t="s">
        <v>1110</v>
      </c>
      <c r="M349" s="12" t="s">
        <v>838</v>
      </c>
      <c r="N349" s="14" t="s">
        <v>997</v>
      </c>
      <c r="O349" s="2" t="s">
        <v>513</v>
      </c>
      <c r="P349" s="16">
        <v>4.1888240856E-3</v>
      </c>
      <c r="Q349" s="22">
        <v>1</v>
      </c>
      <c r="R349" s="16">
        <v>3.0784355860004825E-3</v>
      </c>
    </row>
    <row r="350" spans="1:18" x14ac:dyDescent="0.45">
      <c r="A350" s="7">
        <v>228</v>
      </c>
      <c r="B350" s="8" t="s">
        <v>505</v>
      </c>
      <c r="C350" s="11" t="s">
        <v>573</v>
      </c>
      <c r="D350" s="11" t="s">
        <v>575</v>
      </c>
      <c r="E350" s="2" t="s">
        <v>506</v>
      </c>
      <c r="F350" t="s">
        <v>990</v>
      </c>
      <c r="G350" t="s">
        <v>832</v>
      </c>
      <c r="H350" s="2" t="s">
        <v>808</v>
      </c>
      <c r="I350" s="12" t="s">
        <v>1107</v>
      </c>
      <c r="J350" s="2"/>
      <c r="K350" s="12" t="s">
        <v>1062</v>
      </c>
      <c r="L350" s="12" t="s">
        <v>1110</v>
      </c>
      <c r="M350" s="12" t="s">
        <v>838</v>
      </c>
      <c r="N350" s="12" t="s">
        <v>1190</v>
      </c>
      <c r="O350" s="2" t="s">
        <v>507</v>
      </c>
      <c r="P350" s="16">
        <v>4.1888240856E-3</v>
      </c>
      <c r="Q350" s="22">
        <v>1</v>
      </c>
      <c r="R350" s="16">
        <v>3.0784355860004825E-3</v>
      </c>
    </row>
    <row r="351" spans="1:18" x14ac:dyDescent="0.45">
      <c r="A351" s="7">
        <v>229</v>
      </c>
      <c r="B351" s="7" t="s">
        <v>885</v>
      </c>
      <c r="C351" s="7" t="s">
        <v>886</v>
      </c>
      <c r="D351" s="7" t="s">
        <v>887</v>
      </c>
      <c r="E351" t="s">
        <v>888</v>
      </c>
      <c r="F351" t="s">
        <v>990</v>
      </c>
      <c r="G351" t="s">
        <v>832</v>
      </c>
      <c r="H351" t="s">
        <v>808</v>
      </c>
      <c r="I351" s="12" t="s">
        <v>1107</v>
      </c>
      <c r="K351" s="12" t="s">
        <v>1062</v>
      </c>
      <c r="L351" s="12" t="s">
        <v>1110</v>
      </c>
      <c r="M351" s="12" t="s">
        <v>838</v>
      </c>
      <c r="N351" s="12" t="s">
        <v>1190</v>
      </c>
      <c r="O351" t="s">
        <v>889</v>
      </c>
      <c r="P351" s="16">
        <v>4.1888240856E-3</v>
      </c>
      <c r="Q351" s="22">
        <v>1</v>
      </c>
      <c r="R351" s="16">
        <v>3.0784355860004825E-3</v>
      </c>
    </row>
    <row r="352" spans="1:18" x14ac:dyDescent="0.45">
      <c r="A352" s="7">
        <v>230</v>
      </c>
      <c r="B352" s="7" t="s">
        <v>1489</v>
      </c>
      <c r="C352" s="7" t="s">
        <v>467</v>
      </c>
      <c r="D352" s="7" t="s">
        <v>468</v>
      </c>
      <c r="E352" t="s">
        <v>71</v>
      </c>
      <c r="F352" t="s">
        <v>988</v>
      </c>
      <c r="G352" t="s">
        <v>832</v>
      </c>
      <c r="H352" t="s">
        <v>808</v>
      </c>
      <c r="I352" s="12" t="s">
        <v>1107</v>
      </c>
      <c r="K352" s="12" t="s">
        <v>1062</v>
      </c>
      <c r="L352" s="12" t="s">
        <v>1110</v>
      </c>
      <c r="M352" s="12" t="s">
        <v>838</v>
      </c>
      <c r="N352" s="12" t="s">
        <v>1190</v>
      </c>
      <c r="O352" t="s">
        <v>44</v>
      </c>
      <c r="P352" s="16">
        <v>4.1888240856E-3</v>
      </c>
      <c r="Q352" s="22">
        <v>1</v>
      </c>
      <c r="R352" s="16">
        <v>3.0784355860004825E-3</v>
      </c>
    </row>
    <row r="353" spans="1:18" x14ac:dyDescent="0.45">
      <c r="A353" s="7">
        <v>231</v>
      </c>
      <c r="B353" s="7" t="s">
        <v>21</v>
      </c>
      <c r="C353" s="7" t="s">
        <v>22</v>
      </c>
      <c r="D353" s="7" t="s">
        <v>254</v>
      </c>
      <c r="E353" t="s">
        <v>23</v>
      </c>
      <c r="F353" t="s">
        <v>988</v>
      </c>
      <c r="G353" t="s">
        <v>832</v>
      </c>
      <c r="H353" t="s">
        <v>808</v>
      </c>
      <c r="I353" s="12" t="s">
        <v>1107</v>
      </c>
      <c r="K353" s="12" t="s">
        <v>1062</v>
      </c>
      <c r="L353" s="12" t="s">
        <v>1110</v>
      </c>
      <c r="M353" s="12" t="s">
        <v>838</v>
      </c>
      <c r="N353" s="12" t="s">
        <v>1190</v>
      </c>
      <c r="O353" t="s">
        <v>60</v>
      </c>
      <c r="P353" s="16">
        <v>4.1888240856E-3</v>
      </c>
      <c r="Q353" s="22">
        <v>1</v>
      </c>
      <c r="R353" s="16">
        <v>3.0784355860004825E-3</v>
      </c>
    </row>
    <row r="354" spans="1:18" x14ac:dyDescent="0.45">
      <c r="A354" s="7">
        <v>232</v>
      </c>
      <c r="B354" s="7" t="s">
        <v>815</v>
      </c>
      <c r="C354" s="4" t="s">
        <v>817</v>
      </c>
      <c r="D354" s="4" t="s">
        <v>818</v>
      </c>
      <c r="E354" t="s">
        <v>786</v>
      </c>
      <c r="F354" t="s">
        <v>988</v>
      </c>
      <c r="G354" t="s">
        <v>832</v>
      </c>
      <c r="H354" t="s">
        <v>808</v>
      </c>
      <c r="I354" s="12" t="s">
        <v>1107</v>
      </c>
      <c r="K354" s="12" t="s">
        <v>1062</v>
      </c>
      <c r="L354" s="12" t="s">
        <v>1110</v>
      </c>
      <c r="M354" s="12" t="s">
        <v>838</v>
      </c>
      <c r="N354" s="12" t="s">
        <v>1190</v>
      </c>
      <c r="O354" t="s">
        <v>249</v>
      </c>
      <c r="P354" s="16">
        <v>4.1888240856E-3</v>
      </c>
      <c r="Q354" s="22">
        <v>1</v>
      </c>
      <c r="R354" s="16">
        <v>3.0784355860004825E-3</v>
      </c>
    </row>
    <row r="355" spans="1:18" x14ac:dyDescent="0.45">
      <c r="A355" s="7">
        <v>233</v>
      </c>
      <c r="B355" s="7" t="s">
        <v>816</v>
      </c>
      <c r="C355" s="4" t="s">
        <v>817</v>
      </c>
      <c r="D355" s="4" t="s">
        <v>818</v>
      </c>
      <c r="E355" t="s">
        <v>787</v>
      </c>
      <c r="F355" t="s">
        <v>988</v>
      </c>
      <c r="G355" t="s">
        <v>832</v>
      </c>
      <c r="H355" t="s">
        <v>808</v>
      </c>
      <c r="I355" s="12" t="s">
        <v>1107</v>
      </c>
      <c r="K355" s="12" t="s">
        <v>1062</v>
      </c>
      <c r="L355" s="12" t="s">
        <v>1110</v>
      </c>
      <c r="M355" s="12" t="s">
        <v>838</v>
      </c>
      <c r="N355" s="12" t="s">
        <v>1190</v>
      </c>
      <c r="O355" t="s">
        <v>249</v>
      </c>
      <c r="P355" s="16">
        <v>4.1888240856E-3</v>
      </c>
      <c r="Q355" s="22">
        <v>1</v>
      </c>
      <c r="R355" s="16">
        <v>3.0784355860004825E-3</v>
      </c>
    </row>
    <row r="356" spans="1:18" x14ac:dyDescent="0.45">
      <c r="A356" s="7">
        <v>234</v>
      </c>
      <c r="B356" s="7" t="s">
        <v>727</v>
      </c>
      <c r="C356" s="7" t="s">
        <v>1519</v>
      </c>
      <c r="D356" s="7" t="s">
        <v>616</v>
      </c>
      <c r="E356" t="s">
        <v>615</v>
      </c>
      <c r="F356" t="s">
        <v>988</v>
      </c>
      <c r="G356" t="s">
        <v>832</v>
      </c>
      <c r="H356" t="s">
        <v>808</v>
      </c>
      <c r="I356" s="12" t="s">
        <v>1107</v>
      </c>
      <c r="K356" s="12" t="s">
        <v>1062</v>
      </c>
      <c r="L356" s="12" t="s">
        <v>1110</v>
      </c>
      <c r="M356" s="12" t="s">
        <v>838</v>
      </c>
      <c r="N356" s="12" t="s">
        <v>1190</v>
      </c>
      <c r="O356" t="s">
        <v>614</v>
      </c>
      <c r="P356" s="16">
        <v>4.1888240856E-3</v>
      </c>
      <c r="Q356" s="22">
        <v>1</v>
      </c>
      <c r="R356" s="16">
        <v>3.0784355860004825E-3</v>
      </c>
    </row>
    <row r="357" spans="1:18" x14ac:dyDescent="0.45">
      <c r="A357" s="7">
        <v>235</v>
      </c>
      <c r="B357" s="7" t="s">
        <v>925</v>
      </c>
      <c r="C357" s="7" t="s">
        <v>861</v>
      </c>
      <c r="D357" s="7" t="s">
        <v>862</v>
      </c>
      <c r="E357" t="s">
        <v>863</v>
      </c>
      <c r="F357" t="s">
        <v>988</v>
      </c>
      <c r="G357" t="s">
        <v>832</v>
      </c>
      <c r="H357" t="s">
        <v>808</v>
      </c>
      <c r="I357" s="12" t="s">
        <v>1107</v>
      </c>
      <c r="K357" s="12" t="s">
        <v>1062</v>
      </c>
      <c r="L357" s="12" t="s">
        <v>1110</v>
      </c>
      <c r="M357" s="12" t="s">
        <v>838</v>
      </c>
      <c r="N357" s="12" t="s">
        <v>1190</v>
      </c>
      <c r="O357" t="s">
        <v>864</v>
      </c>
      <c r="P357" s="16">
        <v>4.1888240856E-3</v>
      </c>
      <c r="Q357" s="22">
        <v>1</v>
      </c>
      <c r="R357" s="16">
        <v>3.0784355860004825E-3</v>
      </c>
    </row>
    <row r="358" spans="1:18" x14ac:dyDescent="0.45">
      <c r="A358" s="7">
        <v>238</v>
      </c>
      <c r="B358" s="7" t="s">
        <v>924</v>
      </c>
      <c r="C358" s="7" t="s">
        <v>855</v>
      </c>
      <c r="D358" s="7" t="s">
        <v>856</v>
      </c>
      <c r="E358" t="s">
        <v>857</v>
      </c>
      <c r="F358" t="s">
        <v>995</v>
      </c>
      <c r="G358" t="s">
        <v>832</v>
      </c>
      <c r="H358" t="s">
        <v>808</v>
      </c>
      <c r="I358" s="12" t="s">
        <v>1107</v>
      </c>
      <c r="K358" s="12" t="s">
        <v>1062</v>
      </c>
      <c r="L358" s="12" t="s">
        <v>1110</v>
      </c>
      <c r="M358" s="12" t="s">
        <v>838</v>
      </c>
      <c r="N358" s="12" t="s">
        <v>1190</v>
      </c>
      <c r="O358" t="s">
        <v>858</v>
      </c>
      <c r="P358" s="16">
        <v>1.5708090320999998E-3</v>
      </c>
      <c r="Q358" s="22">
        <v>1</v>
      </c>
      <c r="R358" s="16">
        <v>1.1544133447501808E-3</v>
      </c>
    </row>
    <row r="359" spans="1:18" x14ac:dyDescent="0.45">
      <c r="A359" s="7">
        <v>239</v>
      </c>
      <c r="B359" s="7" t="s">
        <v>917</v>
      </c>
      <c r="C359" s="7" t="s">
        <v>918</v>
      </c>
      <c r="D359" s="7" t="s">
        <v>919</v>
      </c>
      <c r="E359" t="s">
        <v>920</v>
      </c>
      <c r="F359" t="s">
        <v>995</v>
      </c>
      <c r="G359" t="s">
        <v>832</v>
      </c>
      <c r="H359" t="s">
        <v>808</v>
      </c>
      <c r="I359" s="12" t="s">
        <v>1107</v>
      </c>
      <c r="K359" s="12" t="s">
        <v>1062</v>
      </c>
      <c r="L359" s="12" t="s">
        <v>1110</v>
      </c>
      <c r="M359" s="12" t="s">
        <v>838</v>
      </c>
      <c r="N359" s="12" t="s">
        <v>1190</v>
      </c>
      <c r="O359" t="s">
        <v>921</v>
      </c>
      <c r="P359" s="16">
        <v>1.5708090320999998E-3</v>
      </c>
      <c r="Q359" s="22">
        <v>1</v>
      </c>
      <c r="R359" s="16">
        <v>1.1544133447501808E-3</v>
      </c>
    </row>
    <row r="360" spans="1:18" x14ac:dyDescent="0.45">
      <c r="A360" s="7">
        <v>240</v>
      </c>
      <c r="B360" s="7" t="s">
        <v>917</v>
      </c>
      <c r="C360" s="7" t="s">
        <v>918</v>
      </c>
      <c r="D360" s="7" t="s">
        <v>919</v>
      </c>
      <c r="E360" t="s">
        <v>938</v>
      </c>
      <c r="F360" t="s">
        <v>995</v>
      </c>
      <c r="G360" t="s">
        <v>832</v>
      </c>
      <c r="H360" t="s">
        <v>808</v>
      </c>
      <c r="I360" s="12" t="s">
        <v>1107</v>
      </c>
      <c r="K360" s="12" t="s">
        <v>1062</v>
      </c>
      <c r="L360" s="12" t="s">
        <v>1110</v>
      </c>
      <c r="M360" s="12" t="s">
        <v>838</v>
      </c>
      <c r="N360" s="12" t="s">
        <v>1190</v>
      </c>
      <c r="O360" t="s">
        <v>939</v>
      </c>
      <c r="P360" s="16">
        <v>1.5708090320999998E-3</v>
      </c>
      <c r="Q360" s="22">
        <v>1</v>
      </c>
      <c r="R360" s="16">
        <v>1.1544133447501808E-3</v>
      </c>
    </row>
    <row r="361" spans="1:18" x14ac:dyDescent="0.45">
      <c r="A361" s="7">
        <v>241</v>
      </c>
      <c r="B361" s="7" t="s">
        <v>957</v>
      </c>
      <c r="C361" s="7" t="s">
        <v>958</v>
      </c>
      <c r="D361" s="7" t="s">
        <v>959</v>
      </c>
      <c r="E361" t="s">
        <v>960</v>
      </c>
      <c r="F361" t="s">
        <v>995</v>
      </c>
      <c r="G361" t="s">
        <v>832</v>
      </c>
      <c r="H361" t="s">
        <v>808</v>
      </c>
      <c r="I361" s="12" t="s">
        <v>1107</v>
      </c>
      <c r="K361" s="12" t="s">
        <v>1062</v>
      </c>
      <c r="L361" s="12" t="s">
        <v>1110</v>
      </c>
      <c r="M361" s="12" t="s">
        <v>838</v>
      </c>
      <c r="N361" s="12" t="s">
        <v>1190</v>
      </c>
      <c r="O361" t="s">
        <v>961</v>
      </c>
      <c r="P361" s="16">
        <v>1.5708090320999998E-3</v>
      </c>
      <c r="Q361" s="22">
        <v>1</v>
      </c>
      <c r="R361" s="16">
        <v>1.1544133447501808E-3</v>
      </c>
    </row>
    <row r="362" spans="1:18" x14ac:dyDescent="0.45">
      <c r="A362" s="7">
        <v>246</v>
      </c>
      <c r="B362" s="8" t="s">
        <v>514</v>
      </c>
      <c r="C362" s="11" t="s">
        <v>634</v>
      </c>
      <c r="D362" s="11" t="s">
        <v>578</v>
      </c>
      <c r="E362" s="2" t="s">
        <v>515</v>
      </c>
      <c r="F362" t="s">
        <v>990</v>
      </c>
      <c r="G362" t="s">
        <v>832</v>
      </c>
      <c r="H362" s="2" t="s">
        <v>808</v>
      </c>
      <c r="I362" s="12" t="s">
        <v>1107</v>
      </c>
      <c r="J362" s="2"/>
      <c r="K362" s="12" t="s">
        <v>1062</v>
      </c>
      <c r="L362" s="12" t="s">
        <v>1110</v>
      </c>
      <c r="M362" t="s">
        <v>836</v>
      </c>
      <c r="N362" s="12" t="s">
        <v>1190</v>
      </c>
      <c r="O362" s="2" t="s">
        <v>516</v>
      </c>
      <c r="P362" s="16">
        <v>1.0472060214E-3</v>
      </c>
      <c r="Q362" s="22">
        <v>1</v>
      </c>
      <c r="R362" s="16">
        <v>7.6960889650012063E-4</v>
      </c>
    </row>
    <row r="363" spans="1:18" x14ac:dyDescent="0.45">
      <c r="A363" s="7">
        <v>247</v>
      </c>
      <c r="B363" s="7" t="s">
        <v>473</v>
      </c>
      <c r="C363" s="3" t="s">
        <v>631</v>
      </c>
      <c r="D363" s="3" t="s">
        <v>729</v>
      </c>
      <c r="E363" t="s">
        <v>72</v>
      </c>
      <c r="F363" t="s">
        <v>988</v>
      </c>
      <c r="G363" t="s">
        <v>832</v>
      </c>
      <c r="H363" t="s">
        <v>808</v>
      </c>
      <c r="I363" s="12" t="s">
        <v>1107</v>
      </c>
      <c r="K363" s="12" t="s">
        <v>1062</v>
      </c>
      <c r="L363" s="12" t="s">
        <v>1110</v>
      </c>
      <c r="M363" t="s">
        <v>836</v>
      </c>
      <c r="N363" s="12" t="s">
        <v>1190</v>
      </c>
      <c r="O363" t="s">
        <v>73</v>
      </c>
      <c r="P363" s="16">
        <v>1.0472060214E-3</v>
      </c>
      <c r="Q363" s="22">
        <v>1</v>
      </c>
      <c r="R363" s="16">
        <v>7.6960889650012063E-4</v>
      </c>
    </row>
    <row r="364" spans="1:18" x14ac:dyDescent="0.45">
      <c r="A364" s="7">
        <v>248</v>
      </c>
      <c r="B364" s="7" t="s">
        <v>785</v>
      </c>
      <c r="C364" s="3" t="s">
        <v>632</v>
      </c>
      <c r="D364" s="3" t="s">
        <v>728</v>
      </c>
      <c r="E364" t="s">
        <v>26</v>
      </c>
      <c r="F364" t="s">
        <v>988</v>
      </c>
      <c r="G364" t="s">
        <v>832</v>
      </c>
      <c r="H364" t="s">
        <v>808</v>
      </c>
      <c r="I364" s="12" t="s">
        <v>1107</v>
      </c>
      <c r="K364" s="12" t="s">
        <v>1062</v>
      </c>
      <c r="L364" s="12" t="s">
        <v>1110</v>
      </c>
      <c r="M364" t="s">
        <v>836</v>
      </c>
      <c r="N364" s="12" t="s">
        <v>1190</v>
      </c>
      <c r="O364" t="s">
        <v>62</v>
      </c>
      <c r="P364" s="16">
        <v>1.0472060214E-3</v>
      </c>
      <c r="Q364" s="22">
        <v>1</v>
      </c>
      <c r="R364" s="16">
        <v>7.6960889650012063E-4</v>
      </c>
    </row>
    <row r="365" spans="1:18" x14ac:dyDescent="0.45">
      <c r="A365" s="7">
        <v>249</v>
      </c>
      <c r="B365" s="8" t="s">
        <v>508</v>
      </c>
      <c r="C365" s="11" t="s">
        <v>633</v>
      </c>
      <c r="D365" s="11" t="s">
        <v>576</v>
      </c>
      <c r="E365" s="2" t="s">
        <v>509</v>
      </c>
      <c r="F365" t="s">
        <v>990</v>
      </c>
      <c r="G365" t="s">
        <v>832</v>
      </c>
      <c r="H365" s="2" t="s">
        <v>808</v>
      </c>
      <c r="I365" s="12" t="s">
        <v>1107</v>
      </c>
      <c r="J365" s="2"/>
      <c r="K365" s="12" t="s">
        <v>1062</v>
      </c>
      <c r="L365" t="s">
        <v>1111</v>
      </c>
      <c r="M365" s="12" t="s">
        <v>838</v>
      </c>
      <c r="N365" s="12" t="s">
        <v>1190</v>
      </c>
      <c r="O365" s="2" t="s">
        <v>510</v>
      </c>
      <c r="P365" s="16">
        <v>7.3920425040000003E-4</v>
      </c>
      <c r="Q365" s="22">
        <v>1</v>
      </c>
      <c r="R365" s="16">
        <v>5.4325333870596751E-4</v>
      </c>
    </row>
    <row r="366" spans="1:18" x14ac:dyDescent="0.45">
      <c r="A366" s="7">
        <v>250</v>
      </c>
      <c r="B366" s="7" t="s">
        <v>469</v>
      </c>
      <c r="C366" s="7" t="s">
        <v>627</v>
      </c>
      <c r="D366" s="7" t="s">
        <v>731</v>
      </c>
      <c r="E366" t="s">
        <v>45</v>
      </c>
      <c r="F366" t="s">
        <v>988</v>
      </c>
      <c r="G366" t="s">
        <v>832</v>
      </c>
      <c r="H366" t="s">
        <v>808</v>
      </c>
      <c r="I366" s="12" t="s">
        <v>1107</v>
      </c>
      <c r="K366" s="12" t="s">
        <v>1062</v>
      </c>
      <c r="L366" t="s">
        <v>1111</v>
      </c>
      <c r="M366" s="12" t="s">
        <v>838</v>
      </c>
      <c r="N366" s="12" t="s">
        <v>1190</v>
      </c>
      <c r="O366" t="s">
        <v>46</v>
      </c>
      <c r="P366" s="16">
        <v>7.3920425040000003E-4</v>
      </c>
      <c r="Q366" s="22">
        <v>1</v>
      </c>
      <c r="R366" s="16">
        <v>5.4325333870596751E-4</v>
      </c>
    </row>
    <row r="367" spans="1:18" x14ac:dyDescent="0.45">
      <c r="A367" s="7">
        <v>251</v>
      </c>
      <c r="B367" s="7" t="s">
        <v>24</v>
      </c>
      <c r="C367" s="3" t="s">
        <v>628</v>
      </c>
      <c r="D367" s="3" t="s">
        <v>730</v>
      </c>
      <c r="E367" t="s">
        <v>25</v>
      </c>
      <c r="F367" t="s">
        <v>988</v>
      </c>
      <c r="G367" t="s">
        <v>832</v>
      </c>
      <c r="H367" t="s">
        <v>808</v>
      </c>
      <c r="I367" s="12" t="s">
        <v>1107</v>
      </c>
      <c r="K367" s="12" t="s">
        <v>1062</v>
      </c>
      <c r="L367" t="s">
        <v>1111</v>
      </c>
      <c r="M367" s="12" t="s">
        <v>838</v>
      </c>
      <c r="N367" s="12" t="s">
        <v>1190</v>
      </c>
      <c r="O367" t="s">
        <v>61</v>
      </c>
      <c r="P367" s="16">
        <v>7.3920425040000003E-4</v>
      </c>
      <c r="Q367" s="22">
        <v>1</v>
      </c>
      <c r="R367" s="16">
        <v>5.4325333870596751E-4</v>
      </c>
    </row>
    <row r="368" spans="1:18" x14ac:dyDescent="0.45">
      <c r="A368" s="7">
        <v>252</v>
      </c>
      <c r="B368" s="7" t="s">
        <v>613</v>
      </c>
      <c r="C368" s="7" t="s">
        <v>1520</v>
      </c>
      <c r="D368" s="7" t="s">
        <v>1521</v>
      </c>
      <c r="E368" t="s">
        <v>612</v>
      </c>
      <c r="F368" t="s">
        <v>988</v>
      </c>
      <c r="G368" t="s">
        <v>832</v>
      </c>
      <c r="H368" t="s">
        <v>808</v>
      </c>
      <c r="I368" s="12" t="s">
        <v>1107</v>
      </c>
      <c r="K368" s="12" t="s">
        <v>1062</v>
      </c>
      <c r="L368" t="s">
        <v>1111</v>
      </c>
      <c r="M368" s="12" t="s">
        <v>838</v>
      </c>
      <c r="N368" s="12" t="s">
        <v>1190</v>
      </c>
      <c r="O368" t="s">
        <v>611</v>
      </c>
      <c r="P368" s="16">
        <v>7.3920425040000003E-4</v>
      </c>
      <c r="Q368" s="22">
        <v>1</v>
      </c>
      <c r="R368" s="16">
        <v>5.4325333870596751E-4</v>
      </c>
    </row>
    <row r="369" spans="1:19" x14ac:dyDescent="0.45">
      <c r="A369" s="7">
        <v>253</v>
      </c>
      <c r="B369" s="7" t="s">
        <v>472</v>
      </c>
      <c r="C369" s="3" t="s">
        <v>192</v>
      </c>
      <c r="D369" s="3" t="s">
        <v>260</v>
      </c>
      <c r="E369" t="s">
        <v>471</v>
      </c>
      <c r="F369" t="s">
        <v>988</v>
      </c>
      <c r="G369" t="s">
        <v>832</v>
      </c>
      <c r="H369" t="s">
        <v>783</v>
      </c>
      <c r="I369" s="12" t="s">
        <v>1107</v>
      </c>
      <c r="K369" s="12" t="s">
        <v>1062</v>
      </c>
      <c r="L369" s="12" t="s">
        <v>1110</v>
      </c>
      <c r="M369" s="12" t="s">
        <v>838</v>
      </c>
      <c r="N369" s="14" t="s">
        <v>997</v>
      </c>
      <c r="O369" t="s">
        <v>140</v>
      </c>
      <c r="P369" s="16">
        <v>1.5232087584000002E-3</v>
      </c>
      <c r="Q369" s="22">
        <v>1</v>
      </c>
      <c r="R369" s="16">
        <v>1.1194311221819938E-3</v>
      </c>
    </row>
    <row r="370" spans="1:19" x14ac:dyDescent="0.45">
      <c r="A370" s="7">
        <v>254</v>
      </c>
      <c r="B370" s="7" t="s">
        <v>474</v>
      </c>
      <c r="C370" s="7" t="s">
        <v>153</v>
      </c>
      <c r="D370" s="7" t="s">
        <v>259</v>
      </c>
      <c r="E370" t="s">
        <v>470</v>
      </c>
      <c r="F370" t="s">
        <v>988</v>
      </c>
      <c r="G370" t="s">
        <v>832</v>
      </c>
      <c r="H370" t="s">
        <v>783</v>
      </c>
      <c r="I370" s="12" t="s">
        <v>1107</v>
      </c>
      <c r="K370" s="12" t="s">
        <v>1062</v>
      </c>
      <c r="L370" s="12" t="s">
        <v>1110</v>
      </c>
      <c r="M370" s="12" t="s">
        <v>838</v>
      </c>
      <c r="N370" s="12" t="s">
        <v>1190</v>
      </c>
      <c r="O370" t="s">
        <v>152</v>
      </c>
      <c r="P370" s="16">
        <v>1.5232087584000002E-3</v>
      </c>
      <c r="Q370" s="22">
        <v>1</v>
      </c>
      <c r="R370" s="16">
        <v>1.1194311221819938E-3</v>
      </c>
    </row>
    <row r="371" spans="1:19" x14ac:dyDescent="0.45">
      <c r="A371" s="7">
        <v>255</v>
      </c>
      <c r="B371" s="7" t="s">
        <v>193</v>
      </c>
      <c r="C371" s="7" t="s">
        <v>485</v>
      </c>
      <c r="D371" s="7" t="s">
        <v>486</v>
      </c>
      <c r="E371" t="s">
        <v>180</v>
      </c>
      <c r="F371" t="s">
        <v>988</v>
      </c>
      <c r="G371" t="s">
        <v>832</v>
      </c>
      <c r="H371" t="s">
        <v>783</v>
      </c>
      <c r="I371" s="12" t="s">
        <v>1107</v>
      </c>
      <c r="K371" s="12" t="s">
        <v>1062</v>
      </c>
      <c r="L371" s="12" t="s">
        <v>1110</v>
      </c>
      <c r="M371" s="12" t="s">
        <v>838</v>
      </c>
      <c r="N371" s="12" t="s">
        <v>1190</v>
      </c>
      <c r="O371" t="s">
        <v>179</v>
      </c>
      <c r="P371" s="16">
        <v>1.5232087584000002E-3</v>
      </c>
      <c r="Q371" s="22">
        <v>1</v>
      </c>
      <c r="R371" s="16">
        <v>1.1194311221819938E-3</v>
      </c>
    </row>
    <row r="372" spans="1:19" x14ac:dyDescent="0.45">
      <c r="A372" s="7">
        <v>256</v>
      </c>
      <c r="B372" s="7" t="s">
        <v>952</v>
      </c>
      <c r="C372" s="7" t="s">
        <v>953</v>
      </c>
      <c r="D372" s="7" t="s">
        <v>954</v>
      </c>
      <c r="E372" t="s">
        <v>955</v>
      </c>
      <c r="F372" t="s">
        <v>995</v>
      </c>
      <c r="G372" t="s">
        <v>832</v>
      </c>
      <c r="H372" t="s">
        <v>783</v>
      </c>
      <c r="I372" s="12" t="s">
        <v>1107</v>
      </c>
      <c r="K372" s="12" t="s">
        <v>1062</v>
      </c>
      <c r="L372" s="12" t="s">
        <v>1110</v>
      </c>
      <c r="M372" s="12" t="s">
        <v>838</v>
      </c>
      <c r="N372" s="12" t="s">
        <v>1190</v>
      </c>
      <c r="O372" t="s">
        <v>956</v>
      </c>
      <c r="P372" s="16">
        <v>5.7120328439999991E-4</v>
      </c>
      <c r="Q372" s="22">
        <v>1</v>
      </c>
      <c r="R372" s="16">
        <v>4.1978667081824753E-4</v>
      </c>
    </row>
    <row r="373" spans="1:19" x14ac:dyDescent="0.45">
      <c r="A373" s="7">
        <v>257</v>
      </c>
      <c r="B373" s="7" t="s">
        <v>1038</v>
      </c>
      <c r="C373" s="7" t="s">
        <v>1039</v>
      </c>
      <c r="D373" s="7" t="s">
        <v>1040</v>
      </c>
      <c r="E373" t="s">
        <v>1041</v>
      </c>
      <c r="F373" t="s">
        <v>993</v>
      </c>
      <c r="G373" t="s">
        <v>832</v>
      </c>
      <c r="H373" t="s">
        <v>783</v>
      </c>
      <c r="I373" s="12" t="s">
        <v>1107</v>
      </c>
      <c r="K373" s="14" t="s">
        <v>1082</v>
      </c>
      <c r="L373" s="12" t="s">
        <v>1110</v>
      </c>
      <c r="M373" s="12" t="s">
        <v>838</v>
      </c>
      <c r="N373" s="12" t="s">
        <v>1190</v>
      </c>
      <c r="P373" s="16">
        <v>4.2993795600000004E-5</v>
      </c>
      <c r="Q373" s="22">
        <v>1</v>
      </c>
      <c r="R373" s="16">
        <v>3.1596846190620788E-5</v>
      </c>
      <c r="S373" t="s">
        <v>1042</v>
      </c>
    </row>
    <row r="374" spans="1:19" x14ac:dyDescent="0.45">
      <c r="A374" s="7">
        <v>258</v>
      </c>
      <c r="B374" s="7" t="s">
        <v>1067</v>
      </c>
      <c r="C374" s="7" t="s">
        <v>1073</v>
      </c>
      <c r="D374" s="7" t="s">
        <v>1079</v>
      </c>
      <c r="E374" t="s">
        <v>1045</v>
      </c>
      <c r="F374" t="s">
        <v>993</v>
      </c>
      <c r="G374" t="s">
        <v>832</v>
      </c>
      <c r="H374" t="s">
        <v>783</v>
      </c>
      <c r="I374" s="12" t="s">
        <v>1107</v>
      </c>
      <c r="K374" s="14" t="s">
        <v>1082</v>
      </c>
      <c r="L374" s="12" t="s">
        <v>1110</v>
      </c>
      <c r="M374" s="12" t="s">
        <v>838</v>
      </c>
      <c r="N374" s="12" t="s">
        <v>1190</v>
      </c>
      <c r="P374" s="16">
        <v>4.2993795600000004E-5</v>
      </c>
      <c r="Q374" s="22">
        <v>1</v>
      </c>
      <c r="R374" s="16">
        <v>3.1596846190620788E-5</v>
      </c>
      <c r="S374" t="s">
        <v>1046</v>
      </c>
    </row>
    <row r="375" spans="1:19" x14ac:dyDescent="0.45">
      <c r="A375" s="7">
        <v>259</v>
      </c>
      <c r="B375" s="7" t="s">
        <v>1033</v>
      </c>
      <c r="C375" s="7" t="s">
        <v>1034</v>
      </c>
      <c r="D375" s="7" t="s">
        <v>1035</v>
      </c>
      <c r="E375" t="s">
        <v>1036</v>
      </c>
      <c r="F375" t="s">
        <v>988</v>
      </c>
      <c r="G375" t="s">
        <v>832</v>
      </c>
      <c r="H375" t="s">
        <v>783</v>
      </c>
      <c r="I375" s="12" t="s">
        <v>1107</v>
      </c>
      <c r="K375" s="14" t="s">
        <v>1082</v>
      </c>
      <c r="L375" s="12" t="s">
        <v>1110</v>
      </c>
      <c r="M375" s="12" t="s">
        <v>838</v>
      </c>
      <c r="N375" s="12" t="s">
        <v>1190</v>
      </c>
      <c r="P375" s="16">
        <v>1.146501216E-4</v>
      </c>
      <c r="Q375" s="22">
        <v>1</v>
      </c>
      <c r="R375" s="16">
        <v>8.4258256508322102E-5</v>
      </c>
      <c r="S375" t="s">
        <v>1037</v>
      </c>
    </row>
    <row r="376" spans="1:19" x14ac:dyDescent="0.45">
      <c r="A376" s="7">
        <v>260</v>
      </c>
      <c r="B376" s="7" t="s">
        <v>1066</v>
      </c>
      <c r="C376" s="7" t="s">
        <v>1072</v>
      </c>
      <c r="D376" s="7" t="s">
        <v>1078</v>
      </c>
      <c r="E376" t="s">
        <v>1043</v>
      </c>
      <c r="F376" t="s">
        <v>988</v>
      </c>
      <c r="G376" t="s">
        <v>832</v>
      </c>
      <c r="H376" t="s">
        <v>783</v>
      </c>
      <c r="I376" s="12" t="s">
        <v>1107</v>
      </c>
      <c r="K376" s="14" t="s">
        <v>1082</v>
      </c>
      <c r="L376" s="12" t="s">
        <v>1110</v>
      </c>
      <c r="M376" s="12" t="s">
        <v>838</v>
      </c>
      <c r="N376" s="12" t="s">
        <v>1190</v>
      </c>
      <c r="P376" s="16">
        <v>1.146501216E-4</v>
      </c>
      <c r="Q376" s="22">
        <v>1</v>
      </c>
      <c r="R376" s="16">
        <v>8.4258256508322102E-5</v>
      </c>
      <c r="S376" t="s">
        <v>1044</v>
      </c>
    </row>
    <row r="377" spans="1:19" x14ac:dyDescent="0.45">
      <c r="A377" s="7">
        <v>261</v>
      </c>
      <c r="B377" s="7" t="s">
        <v>812</v>
      </c>
      <c r="C377" s="3" t="s">
        <v>82</v>
      </c>
      <c r="D377" s="3" t="s">
        <v>778</v>
      </c>
      <c r="F377" t="s">
        <v>988</v>
      </c>
      <c r="G377" t="s">
        <v>832</v>
      </c>
      <c r="H377" t="s">
        <v>783</v>
      </c>
      <c r="I377" s="12" t="s">
        <v>1107</v>
      </c>
      <c r="K377" s="12" t="s">
        <v>1062</v>
      </c>
      <c r="L377" s="12" t="s">
        <v>1110</v>
      </c>
      <c r="M377" t="s">
        <v>837</v>
      </c>
      <c r="N377" s="12" t="s">
        <v>1190</v>
      </c>
      <c r="O377" t="s">
        <v>84</v>
      </c>
      <c r="P377" s="16">
        <v>1.2693406320000002E-4</v>
      </c>
      <c r="Q377" s="22">
        <v>1</v>
      </c>
      <c r="R377" s="16">
        <v>9.3285926848499478E-5</v>
      </c>
    </row>
    <row r="378" spans="1:19" x14ac:dyDescent="0.45">
      <c r="A378" s="7">
        <v>262</v>
      </c>
      <c r="B378" s="7" t="s">
        <v>484</v>
      </c>
      <c r="C378" s="7" t="s">
        <v>737</v>
      </c>
      <c r="D378" s="7" t="s">
        <v>481</v>
      </c>
      <c r="E378" s="2" t="s">
        <v>115</v>
      </c>
      <c r="F378" t="s">
        <v>988</v>
      </c>
      <c r="G378" t="s">
        <v>832</v>
      </c>
      <c r="H378" t="s">
        <v>783</v>
      </c>
      <c r="I378" s="12" t="s">
        <v>1107</v>
      </c>
      <c r="J378" s="2"/>
      <c r="K378" s="12" t="s">
        <v>1062</v>
      </c>
      <c r="L378" s="12" t="s">
        <v>1110</v>
      </c>
      <c r="M378" t="s">
        <v>836</v>
      </c>
      <c r="N378" s="12" t="s">
        <v>1190</v>
      </c>
      <c r="O378" s="2" t="s">
        <v>119</v>
      </c>
      <c r="P378" s="16">
        <v>3.8080218960000005E-4</v>
      </c>
      <c r="Q378" s="22">
        <v>1</v>
      </c>
      <c r="R378" s="16">
        <v>2.7985778054549846E-4</v>
      </c>
    </row>
    <row r="379" spans="1:19" x14ac:dyDescent="0.45">
      <c r="A379" s="7">
        <v>263</v>
      </c>
      <c r="B379" s="7" t="s">
        <v>854</v>
      </c>
      <c r="C379" s="7" t="s">
        <v>477</v>
      </c>
      <c r="D379" s="7" t="s">
        <v>478</v>
      </c>
      <c r="E379" t="s">
        <v>138</v>
      </c>
      <c r="F379" t="s">
        <v>988</v>
      </c>
      <c r="G379" t="s">
        <v>832</v>
      </c>
      <c r="H379" t="s">
        <v>783</v>
      </c>
      <c r="I379" s="12" t="s">
        <v>1107</v>
      </c>
      <c r="K379" s="12" t="s">
        <v>1062</v>
      </c>
      <c r="L379" t="s">
        <v>1111</v>
      </c>
      <c r="M379" s="12" t="s">
        <v>838</v>
      </c>
      <c r="N379" s="12" t="s">
        <v>1190</v>
      </c>
      <c r="O379" t="s">
        <v>139</v>
      </c>
      <c r="P379" s="16">
        <v>2.6880154560000001E-4</v>
      </c>
      <c r="Q379" s="22">
        <v>1</v>
      </c>
      <c r="R379" s="16">
        <v>1.9754666862035182E-4</v>
      </c>
    </row>
    <row r="380" spans="1:19" x14ac:dyDescent="0.45">
      <c r="A380" s="7">
        <v>264</v>
      </c>
      <c r="B380" s="7" t="s">
        <v>1546</v>
      </c>
      <c r="C380" s="7" t="s">
        <v>1626</v>
      </c>
      <c r="D380" s="7" t="s">
        <v>1552</v>
      </c>
      <c r="F380" t="s">
        <v>984</v>
      </c>
      <c r="G380" t="s">
        <v>833</v>
      </c>
      <c r="H380" t="s">
        <v>808</v>
      </c>
      <c r="I380" s="12" t="s">
        <v>1107</v>
      </c>
      <c r="K380" s="12" t="s">
        <v>1062</v>
      </c>
      <c r="L380" s="12" t="s">
        <v>1110</v>
      </c>
      <c r="M380" s="12" t="s">
        <v>838</v>
      </c>
      <c r="N380" s="12" t="s">
        <v>1190</v>
      </c>
      <c r="O380" t="s">
        <v>640</v>
      </c>
      <c r="P380" s="16">
        <v>1.6197838272000004E-3</v>
      </c>
      <c r="Q380" s="22">
        <v>1</v>
      </c>
      <c r="R380" s="16">
        <v>1.1904057256599482E-3</v>
      </c>
    </row>
    <row r="381" spans="1:19" x14ac:dyDescent="0.45">
      <c r="A381" s="7">
        <v>265</v>
      </c>
      <c r="B381" s="7" t="s">
        <v>1630</v>
      </c>
      <c r="C381" s="7" t="s">
        <v>1560</v>
      </c>
      <c r="D381" s="7" t="s">
        <v>1562</v>
      </c>
      <c r="F381" t="s">
        <v>984</v>
      </c>
      <c r="G381" t="s">
        <v>833</v>
      </c>
      <c r="H381" t="s">
        <v>808</v>
      </c>
      <c r="I381" s="12" t="s">
        <v>1107</v>
      </c>
      <c r="K381" s="12" t="s">
        <v>1062</v>
      </c>
      <c r="L381" s="12" t="s">
        <v>1110</v>
      </c>
      <c r="M381" s="12" t="s">
        <v>838</v>
      </c>
      <c r="N381" s="12" t="s">
        <v>1190</v>
      </c>
      <c r="P381" s="16">
        <v>1.6197838272000004E-3</v>
      </c>
      <c r="Q381" s="22">
        <v>1</v>
      </c>
      <c r="R381" s="16">
        <v>1.1904057256599482E-3</v>
      </c>
    </row>
    <row r="382" spans="1:19" x14ac:dyDescent="0.45">
      <c r="A382" s="7">
        <v>266</v>
      </c>
      <c r="B382" s="7" t="s">
        <v>1546</v>
      </c>
      <c r="C382" s="7" t="s">
        <v>1626</v>
      </c>
      <c r="D382" s="7" t="s">
        <v>1552</v>
      </c>
      <c r="F382" t="s">
        <v>971</v>
      </c>
      <c r="G382" t="s">
        <v>833</v>
      </c>
      <c r="H382" t="s">
        <v>808</v>
      </c>
      <c r="I382" s="12" t="s">
        <v>1107</v>
      </c>
      <c r="K382" s="12" t="s">
        <v>1062</v>
      </c>
      <c r="L382" s="12" t="s">
        <v>1110</v>
      </c>
      <c r="M382" s="12" t="s">
        <v>838</v>
      </c>
      <c r="N382" s="12" t="s">
        <v>1190</v>
      </c>
      <c r="P382" s="16">
        <v>9.1112840280000026E-4</v>
      </c>
      <c r="Q382" s="22">
        <v>1</v>
      </c>
      <c r="R382" s="16">
        <v>6.6960322068372092E-4</v>
      </c>
    </row>
    <row r="383" spans="1:19" x14ac:dyDescent="0.45">
      <c r="A383" s="7">
        <v>267</v>
      </c>
      <c r="B383" s="7" t="s">
        <v>1630</v>
      </c>
      <c r="C383" s="7" t="s">
        <v>1560</v>
      </c>
      <c r="D383" s="7" t="s">
        <v>1562</v>
      </c>
      <c r="F383" t="s">
        <v>971</v>
      </c>
      <c r="G383" t="s">
        <v>833</v>
      </c>
      <c r="H383" t="s">
        <v>808</v>
      </c>
      <c r="I383" s="12" t="s">
        <v>1107</v>
      </c>
      <c r="K383" s="12" t="s">
        <v>1062</v>
      </c>
      <c r="L383" s="12" t="s">
        <v>1110</v>
      </c>
      <c r="M383" s="12" t="s">
        <v>838</v>
      </c>
      <c r="N383" s="12" t="s">
        <v>1190</v>
      </c>
      <c r="P383" s="16">
        <v>9.1112840280000026E-4</v>
      </c>
      <c r="Q383" s="22">
        <v>1</v>
      </c>
      <c r="R383" s="16">
        <v>6.6960322068372092E-4</v>
      </c>
    </row>
    <row r="384" spans="1:19" x14ac:dyDescent="0.45">
      <c r="A384" s="7">
        <v>268</v>
      </c>
      <c r="B384" s="7" t="s">
        <v>1546</v>
      </c>
      <c r="C384" s="7" t="s">
        <v>1626</v>
      </c>
      <c r="D384" s="7" t="s">
        <v>1552</v>
      </c>
      <c r="F384" t="s">
        <v>985</v>
      </c>
      <c r="G384" t="s">
        <v>833</v>
      </c>
      <c r="H384" t="s">
        <v>808</v>
      </c>
      <c r="I384" s="12" t="s">
        <v>1107</v>
      </c>
      <c r="K384" s="12" t="s">
        <v>1062</v>
      </c>
      <c r="L384" s="12" t="s">
        <v>1110</v>
      </c>
      <c r="M384" s="12" t="s">
        <v>838</v>
      </c>
      <c r="N384" s="12" t="s">
        <v>1190</v>
      </c>
      <c r="P384" s="16">
        <v>1.3989042144000002E-3</v>
      </c>
      <c r="Q384" s="22">
        <v>1</v>
      </c>
      <c r="R384" s="16">
        <v>1.0280776721608644E-3</v>
      </c>
    </row>
    <row r="385" spans="1:18" x14ac:dyDescent="0.45">
      <c r="A385" s="7">
        <v>269</v>
      </c>
      <c r="B385" s="7" t="s">
        <v>1630</v>
      </c>
      <c r="C385" s="7" t="s">
        <v>1560</v>
      </c>
      <c r="D385" s="7" t="s">
        <v>1562</v>
      </c>
      <c r="F385" t="s">
        <v>985</v>
      </c>
      <c r="G385" t="s">
        <v>833</v>
      </c>
      <c r="H385" t="s">
        <v>808</v>
      </c>
      <c r="I385" s="12" t="s">
        <v>1107</v>
      </c>
      <c r="K385" s="12" t="s">
        <v>1062</v>
      </c>
      <c r="L385" s="12" t="s">
        <v>1110</v>
      </c>
      <c r="M385" s="12" t="s">
        <v>838</v>
      </c>
      <c r="N385" s="12" t="s">
        <v>1190</v>
      </c>
      <c r="P385" s="16">
        <v>1.3989042144000002E-3</v>
      </c>
      <c r="Q385" s="22">
        <v>1</v>
      </c>
      <c r="R385" s="16">
        <v>1.0280776721608644E-3</v>
      </c>
    </row>
    <row r="386" spans="1:18" x14ac:dyDescent="0.45">
      <c r="A386" s="7">
        <v>270</v>
      </c>
      <c r="B386" s="7" t="s">
        <v>1546</v>
      </c>
      <c r="C386" s="7" t="s">
        <v>1626</v>
      </c>
      <c r="D386" s="7" t="s">
        <v>1552</v>
      </c>
      <c r="F386" t="s">
        <v>986</v>
      </c>
      <c r="G386" t="s">
        <v>833</v>
      </c>
      <c r="H386" t="s">
        <v>808</v>
      </c>
      <c r="I386" s="12" t="s">
        <v>1107</v>
      </c>
      <c r="K386" s="12" t="s">
        <v>1062</v>
      </c>
      <c r="L386" s="12" t="s">
        <v>1110</v>
      </c>
      <c r="M386" s="12" t="s">
        <v>838</v>
      </c>
      <c r="N386" s="12" t="s">
        <v>1190</v>
      </c>
      <c r="P386" s="16">
        <v>7.8688362060000026E-4</v>
      </c>
      <c r="Q386" s="22">
        <v>1</v>
      </c>
      <c r="R386" s="16">
        <v>5.7829369059048629E-4</v>
      </c>
    </row>
    <row r="387" spans="1:18" x14ac:dyDescent="0.45">
      <c r="A387" s="7">
        <v>271</v>
      </c>
      <c r="B387" s="7" t="s">
        <v>1630</v>
      </c>
      <c r="C387" s="7" t="s">
        <v>1560</v>
      </c>
      <c r="D387" s="7" t="s">
        <v>1562</v>
      </c>
      <c r="F387" t="s">
        <v>986</v>
      </c>
      <c r="G387" t="s">
        <v>833</v>
      </c>
      <c r="H387" t="s">
        <v>808</v>
      </c>
      <c r="I387" s="12" t="s">
        <v>1107</v>
      </c>
      <c r="K387" s="12" t="s">
        <v>1062</v>
      </c>
      <c r="L387" s="12" t="s">
        <v>1110</v>
      </c>
      <c r="M387" s="12" t="s">
        <v>838</v>
      </c>
      <c r="N387" s="12" t="s">
        <v>1190</v>
      </c>
      <c r="P387" s="16">
        <v>7.8688362060000026E-4</v>
      </c>
      <c r="Q387" s="22">
        <v>1</v>
      </c>
      <c r="R387" s="16">
        <v>5.7829369059048629E-4</v>
      </c>
    </row>
    <row r="388" spans="1:18" x14ac:dyDescent="0.45">
      <c r="A388" s="7">
        <v>272</v>
      </c>
      <c r="B388" s="7" t="s">
        <v>1546</v>
      </c>
      <c r="C388" s="7" t="s">
        <v>1626</v>
      </c>
      <c r="D388" s="7" t="s">
        <v>1552</v>
      </c>
      <c r="F388" t="s">
        <v>1010</v>
      </c>
      <c r="G388" t="s">
        <v>833</v>
      </c>
      <c r="H388" t="s">
        <v>808</v>
      </c>
      <c r="I388" s="12" t="s">
        <v>1107</v>
      </c>
      <c r="K388" s="12" t="s">
        <v>1062</v>
      </c>
      <c r="L388" s="12" t="s">
        <v>1110</v>
      </c>
      <c r="M388" s="12" t="s">
        <v>838</v>
      </c>
      <c r="N388" s="12" t="s">
        <v>1190</v>
      </c>
      <c r="P388" s="16">
        <v>1.0859914296000002E-3</v>
      </c>
      <c r="Q388" s="22">
        <v>1</v>
      </c>
      <c r="R388" s="16">
        <v>7.9811292970382891E-4</v>
      </c>
    </row>
    <row r="389" spans="1:18" x14ac:dyDescent="0.45">
      <c r="A389" s="7">
        <v>273</v>
      </c>
      <c r="B389" s="7" t="s">
        <v>1630</v>
      </c>
      <c r="C389" s="7" t="s">
        <v>1560</v>
      </c>
      <c r="D389" s="7" t="s">
        <v>1562</v>
      </c>
      <c r="F389" t="s">
        <v>1010</v>
      </c>
      <c r="G389" t="s">
        <v>833</v>
      </c>
      <c r="H389" t="s">
        <v>808</v>
      </c>
      <c r="I389" s="12" t="s">
        <v>1107</v>
      </c>
      <c r="K389" s="12" t="s">
        <v>1062</v>
      </c>
      <c r="L389" s="12" t="s">
        <v>1110</v>
      </c>
      <c r="M389" s="12" t="s">
        <v>838</v>
      </c>
      <c r="N389" s="12" t="s">
        <v>1190</v>
      </c>
      <c r="P389" s="16">
        <v>1.0859914296000002E-3</v>
      </c>
      <c r="Q389" s="22">
        <v>1</v>
      </c>
      <c r="R389" s="16">
        <v>7.9811292970382891E-4</v>
      </c>
    </row>
    <row r="390" spans="1:18" x14ac:dyDescent="0.45">
      <c r="A390" s="7">
        <v>274</v>
      </c>
      <c r="B390" s="7" t="s">
        <v>1621</v>
      </c>
      <c r="C390" s="7" t="s">
        <v>646</v>
      </c>
      <c r="D390" s="7" t="s">
        <v>1555</v>
      </c>
      <c r="F390" t="s">
        <v>990</v>
      </c>
      <c r="G390" t="s">
        <v>833</v>
      </c>
      <c r="H390" t="s">
        <v>808</v>
      </c>
      <c r="I390" s="12" t="s">
        <v>1107</v>
      </c>
      <c r="K390" s="12" t="s">
        <v>1062</v>
      </c>
      <c r="L390" s="12" t="s">
        <v>1110</v>
      </c>
      <c r="M390" s="12" t="s">
        <v>838</v>
      </c>
      <c r="N390" s="12" t="s">
        <v>1190</v>
      </c>
      <c r="P390" s="16">
        <v>1.0859914296000002E-3</v>
      </c>
      <c r="Q390" s="22">
        <v>1</v>
      </c>
      <c r="R390" s="16">
        <v>7.9811292970382891E-4</v>
      </c>
    </row>
    <row r="391" spans="1:18" x14ac:dyDescent="0.45">
      <c r="A391" s="7">
        <v>275</v>
      </c>
      <c r="B391" s="7" t="s">
        <v>1631</v>
      </c>
      <c r="C391" s="7" t="s">
        <v>648</v>
      </c>
      <c r="D391" s="7" t="s">
        <v>1563</v>
      </c>
      <c r="F391" t="s">
        <v>990</v>
      </c>
      <c r="G391" t="s">
        <v>833</v>
      </c>
      <c r="H391" t="s">
        <v>808</v>
      </c>
      <c r="I391" s="12" t="s">
        <v>1107</v>
      </c>
      <c r="K391" s="12" t="s">
        <v>1062</v>
      </c>
      <c r="L391" s="12" t="s">
        <v>1110</v>
      </c>
      <c r="M391" s="12" t="s">
        <v>838</v>
      </c>
      <c r="N391" s="12" t="s">
        <v>1190</v>
      </c>
      <c r="P391" s="16">
        <v>1.0859914296000002E-3</v>
      </c>
      <c r="Q391" s="22">
        <v>1</v>
      </c>
      <c r="R391" s="16">
        <v>7.9811292970382891E-4</v>
      </c>
    </row>
    <row r="392" spans="1:18" x14ac:dyDescent="0.45">
      <c r="A392" s="7">
        <v>276</v>
      </c>
      <c r="B392" s="7" t="s">
        <v>1546</v>
      </c>
      <c r="C392" s="7" t="s">
        <v>1626</v>
      </c>
      <c r="D392" s="7" t="s">
        <v>1552</v>
      </c>
      <c r="F392" t="s">
        <v>987</v>
      </c>
      <c r="G392" t="s">
        <v>833</v>
      </c>
      <c r="H392" t="s">
        <v>808</v>
      </c>
      <c r="I392" s="12" t="s">
        <v>1107</v>
      </c>
      <c r="K392" s="12" t="s">
        <v>1062</v>
      </c>
      <c r="L392" s="12" t="s">
        <v>1110</v>
      </c>
      <c r="M392" s="12" t="s">
        <v>838</v>
      </c>
      <c r="N392" s="12" t="s">
        <v>1190</v>
      </c>
      <c r="P392" s="16">
        <v>4.0724678609999992E-4</v>
      </c>
      <c r="Q392" s="22">
        <v>1</v>
      </c>
      <c r="R392" s="16">
        <v>2.9929234863893575E-4</v>
      </c>
    </row>
    <row r="393" spans="1:18" x14ac:dyDescent="0.45">
      <c r="A393" s="7">
        <v>277</v>
      </c>
      <c r="B393" s="7" t="s">
        <v>1630</v>
      </c>
      <c r="C393" s="7" t="s">
        <v>1560</v>
      </c>
      <c r="D393" s="7" t="s">
        <v>1562</v>
      </c>
      <c r="F393" t="s">
        <v>987</v>
      </c>
      <c r="G393" t="s">
        <v>833</v>
      </c>
      <c r="H393" t="s">
        <v>808</v>
      </c>
      <c r="I393" s="12" t="s">
        <v>1107</v>
      </c>
      <c r="K393" s="12" t="s">
        <v>1062</v>
      </c>
      <c r="L393" s="12" t="s">
        <v>1110</v>
      </c>
      <c r="M393" s="12" t="s">
        <v>838</v>
      </c>
      <c r="N393" s="12" t="s">
        <v>1190</v>
      </c>
      <c r="P393" s="16">
        <v>4.0724678609999992E-4</v>
      </c>
      <c r="Q393" s="22">
        <v>1</v>
      </c>
      <c r="R393" s="16">
        <v>2.9929234863893575E-4</v>
      </c>
    </row>
    <row r="394" spans="1:18" x14ac:dyDescent="0.45">
      <c r="A394" s="7">
        <v>278</v>
      </c>
      <c r="B394" s="7" t="s">
        <v>1622</v>
      </c>
      <c r="C394" s="7" t="s">
        <v>881</v>
      </c>
      <c r="D394" s="7" t="s">
        <v>882</v>
      </c>
      <c r="E394" t="s">
        <v>883</v>
      </c>
      <c r="F394" t="s">
        <v>989</v>
      </c>
      <c r="G394" t="s">
        <v>833</v>
      </c>
      <c r="H394" t="s">
        <v>808</v>
      </c>
      <c r="I394" s="12" t="s">
        <v>1107</v>
      </c>
      <c r="K394" s="12" t="s">
        <v>1062</v>
      </c>
      <c r="L394" s="12" t="s">
        <v>1110</v>
      </c>
      <c r="M394" s="12" t="s">
        <v>838</v>
      </c>
      <c r="N394" s="12" t="s">
        <v>1190</v>
      </c>
      <c r="O394" t="s">
        <v>884</v>
      </c>
      <c r="P394" s="16">
        <v>1.0859914296000002E-3</v>
      </c>
      <c r="Q394" s="22">
        <v>1</v>
      </c>
      <c r="R394" s="16">
        <v>7.9811292970382891E-4</v>
      </c>
    </row>
    <row r="395" spans="1:18" x14ac:dyDescent="0.45">
      <c r="A395" s="7">
        <v>279</v>
      </c>
      <c r="B395" s="7" t="s">
        <v>1625</v>
      </c>
      <c r="C395" s="7" t="s">
        <v>645</v>
      </c>
      <c r="D395" s="7" t="s">
        <v>1556</v>
      </c>
      <c r="F395" t="s">
        <v>984</v>
      </c>
      <c r="G395" t="s">
        <v>833</v>
      </c>
      <c r="H395" t="s">
        <v>808</v>
      </c>
      <c r="I395" s="12" t="s">
        <v>1107</v>
      </c>
      <c r="K395" s="12" t="s">
        <v>1062</v>
      </c>
      <c r="L395" s="12" t="s">
        <v>1110</v>
      </c>
      <c r="M395" t="s">
        <v>836</v>
      </c>
      <c r="N395" s="12" t="s">
        <v>1190</v>
      </c>
      <c r="P395" s="16">
        <v>4.049459568000001E-4</v>
      </c>
      <c r="Q395" s="22">
        <v>1</v>
      </c>
      <c r="R395" s="16">
        <v>2.9760143141498705E-4</v>
      </c>
    </row>
    <row r="396" spans="1:18" x14ac:dyDescent="0.45">
      <c r="A396" s="7">
        <v>280</v>
      </c>
      <c r="B396" s="7" t="s">
        <v>1632</v>
      </c>
      <c r="C396" s="7" t="s">
        <v>647</v>
      </c>
      <c r="D396" s="7" t="s">
        <v>1564</v>
      </c>
      <c r="F396" t="s">
        <v>984</v>
      </c>
      <c r="G396" t="s">
        <v>833</v>
      </c>
      <c r="H396" t="s">
        <v>808</v>
      </c>
      <c r="I396" s="12" t="s">
        <v>1107</v>
      </c>
      <c r="K396" s="12" t="s">
        <v>1062</v>
      </c>
      <c r="L396" s="12" t="s">
        <v>1110</v>
      </c>
      <c r="M396" t="s">
        <v>836</v>
      </c>
      <c r="N396" s="12" t="s">
        <v>1190</v>
      </c>
      <c r="P396" s="16">
        <v>4.049459568000001E-4</v>
      </c>
      <c r="Q396" s="22">
        <v>1</v>
      </c>
      <c r="R396" s="16">
        <v>2.9760143141498705E-4</v>
      </c>
    </row>
    <row r="397" spans="1:18" x14ac:dyDescent="0.45">
      <c r="A397" s="7">
        <v>281</v>
      </c>
      <c r="B397" s="7" t="s">
        <v>1625</v>
      </c>
      <c r="C397" s="7" t="s">
        <v>645</v>
      </c>
      <c r="D397" s="7" t="s">
        <v>1556</v>
      </c>
      <c r="F397" t="s">
        <v>971</v>
      </c>
      <c r="G397" t="s">
        <v>833</v>
      </c>
      <c r="H397" t="s">
        <v>808</v>
      </c>
      <c r="I397" s="12" t="s">
        <v>1107</v>
      </c>
      <c r="K397" s="12" t="s">
        <v>1062</v>
      </c>
      <c r="L397" s="12" t="s">
        <v>1110</v>
      </c>
      <c r="M397" t="s">
        <v>836</v>
      </c>
      <c r="N397" s="12" t="s">
        <v>1190</v>
      </c>
      <c r="P397" s="16">
        <v>2.2778210070000006E-4</v>
      </c>
      <c r="Q397" s="22">
        <v>1</v>
      </c>
      <c r="R397" s="16">
        <v>1.6740080517093023E-4</v>
      </c>
    </row>
    <row r="398" spans="1:18" x14ac:dyDescent="0.45">
      <c r="A398" s="7">
        <v>282</v>
      </c>
      <c r="B398" s="7" t="s">
        <v>1632</v>
      </c>
      <c r="C398" s="7" t="s">
        <v>647</v>
      </c>
      <c r="D398" s="7" t="s">
        <v>1564</v>
      </c>
      <c r="F398" t="s">
        <v>971</v>
      </c>
      <c r="G398" t="s">
        <v>833</v>
      </c>
      <c r="H398" t="s">
        <v>808</v>
      </c>
      <c r="I398" s="12" t="s">
        <v>1107</v>
      </c>
      <c r="K398" s="12" t="s">
        <v>1062</v>
      </c>
      <c r="L398" s="12" t="s">
        <v>1110</v>
      </c>
      <c r="M398" t="s">
        <v>836</v>
      </c>
      <c r="N398" s="12" t="s">
        <v>1190</v>
      </c>
      <c r="P398" s="16">
        <v>2.2778210070000006E-4</v>
      </c>
      <c r="Q398" s="22">
        <v>1</v>
      </c>
      <c r="R398" s="16">
        <v>1.6740080517093023E-4</v>
      </c>
    </row>
    <row r="399" spans="1:18" x14ac:dyDescent="0.45">
      <c r="A399" s="7">
        <v>283</v>
      </c>
      <c r="B399" s="7" t="s">
        <v>1625</v>
      </c>
      <c r="C399" s="7" t="s">
        <v>645</v>
      </c>
      <c r="D399" s="7" t="s">
        <v>1556</v>
      </c>
      <c r="F399" t="s">
        <v>985</v>
      </c>
      <c r="G399" t="s">
        <v>833</v>
      </c>
      <c r="H399" t="s">
        <v>808</v>
      </c>
      <c r="I399" s="12" t="s">
        <v>1107</v>
      </c>
      <c r="K399" s="12" t="s">
        <v>1062</v>
      </c>
      <c r="L399" s="12" t="s">
        <v>1110</v>
      </c>
      <c r="M399" t="s">
        <v>836</v>
      </c>
      <c r="N399" s="12" t="s">
        <v>1190</v>
      </c>
      <c r="P399" s="16">
        <v>3.4972605360000005E-4</v>
      </c>
      <c r="Q399" s="22">
        <v>1</v>
      </c>
      <c r="R399" s="16">
        <v>2.5701941804021609E-4</v>
      </c>
    </row>
    <row r="400" spans="1:18" x14ac:dyDescent="0.45">
      <c r="A400" s="7">
        <v>284</v>
      </c>
      <c r="B400" s="7" t="s">
        <v>1632</v>
      </c>
      <c r="C400" s="7" t="s">
        <v>647</v>
      </c>
      <c r="D400" s="7" t="s">
        <v>1564</v>
      </c>
      <c r="F400" t="s">
        <v>985</v>
      </c>
      <c r="G400" t="s">
        <v>833</v>
      </c>
      <c r="H400" t="s">
        <v>808</v>
      </c>
      <c r="I400" s="12" t="s">
        <v>1107</v>
      </c>
      <c r="K400" s="12" t="s">
        <v>1062</v>
      </c>
      <c r="L400" s="12" t="s">
        <v>1110</v>
      </c>
      <c r="M400" t="s">
        <v>836</v>
      </c>
      <c r="N400" s="12" t="s">
        <v>1190</v>
      </c>
      <c r="P400" s="16">
        <v>3.4972605360000005E-4</v>
      </c>
      <c r="Q400" s="22">
        <v>1</v>
      </c>
      <c r="R400" s="16">
        <v>2.5701941804021609E-4</v>
      </c>
    </row>
    <row r="401" spans="1:18" x14ac:dyDescent="0.45">
      <c r="A401" s="7">
        <v>285</v>
      </c>
      <c r="B401" s="7" t="s">
        <v>1625</v>
      </c>
      <c r="C401" s="7" t="s">
        <v>645</v>
      </c>
      <c r="D401" s="7" t="s">
        <v>1556</v>
      </c>
      <c r="F401" t="s">
        <v>986</v>
      </c>
      <c r="G401" t="s">
        <v>833</v>
      </c>
      <c r="H401" t="s">
        <v>808</v>
      </c>
      <c r="I401" s="12" t="s">
        <v>1107</v>
      </c>
      <c r="K401" s="12" t="s">
        <v>1062</v>
      </c>
      <c r="L401" s="12" t="s">
        <v>1110</v>
      </c>
      <c r="M401" t="s">
        <v>836</v>
      </c>
      <c r="N401" s="12" t="s">
        <v>1190</v>
      </c>
      <c r="P401" s="16">
        <v>1.9672090515000006E-4</v>
      </c>
      <c r="Q401" s="22">
        <v>1</v>
      </c>
      <c r="R401" s="16">
        <v>1.4457342264762157E-4</v>
      </c>
    </row>
    <row r="402" spans="1:18" x14ac:dyDescent="0.45">
      <c r="A402" s="7">
        <v>286</v>
      </c>
      <c r="B402" s="7" t="s">
        <v>1632</v>
      </c>
      <c r="C402" s="7" t="s">
        <v>647</v>
      </c>
      <c r="D402" s="7" t="s">
        <v>1564</v>
      </c>
      <c r="F402" t="s">
        <v>986</v>
      </c>
      <c r="G402" t="s">
        <v>833</v>
      </c>
      <c r="H402" t="s">
        <v>808</v>
      </c>
      <c r="I402" s="12" t="s">
        <v>1107</v>
      </c>
      <c r="K402" s="12" t="s">
        <v>1062</v>
      </c>
      <c r="L402" s="12" t="s">
        <v>1110</v>
      </c>
      <c r="M402" t="s">
        <v>836</v>
      </c>
      <c r="N402" s="12" t="s">
        <v>1190</v>
      </c>
      <c r="P402" s="16">
        <v>1.9672090515000006E-4</v>
      </c>
      <c r="Q402" s="22">
        <v>1</v>
      </c>
      <c r="R402" s="16">
        <v>1.4457342264762157E-4</v>
      </c>
    </row>
    <row r="403" spans="1:18" x14ac:dyDescent="0.45">
      <c r="A403" s="7">
        <v>287</v>
      </c>
      <c r="B403" s="7" t="s">
        <v>1625</v>
      </c>
      <c r="C403" s="7" t="s">
        <v>645</v>
      </c>
      <c r="D403" s="7" t="s">
        <v>1556</v>
      </c>
      <c r="F403" t="s">
        <v>1010</v>
      </c>
      <c r="G403" t="s">
        <v>833</v>
      </c>
      <c r="H403" t="s">
        <v>808</v>
      </c>
      <c r="I403" s="12" t="s">
        <v>1107</v>
      </c>
      <c r="K403" s="12" t="s">
        <v>1062</v>
      </c>
      <c r="L403" s="12" t="s">
        <v>1110</v>
      </c>
      <c r="M403" t="s">
        <v>836</v>
      </c>
      <c r="N403" s="12" t="s">
        <v>1190</v>
      </c>
      <c r="P403" s="16">
        <v>2.7149785740000006E-4</v>
      </c>
      <c r="Q403" s="22">
        <v>1</v>
      </c>
      <c r="R403" s="16">
        <v>1.9952823242595723E-4</v>
      </c>
    </row>
    <row r="404" spans="1:18" x14ac:dyDescent="0.45">
      <c r="A404" s="7">
        <v>288</v>
      </c>
      <c r="B404" s="7" t="s">
        <v>1632</v>
      </c>
      <c r="C404" s="7" t="s">
        <v>647</v>
      </c>
      <c r="D404" s="7" t="s">
        <v>1564</v>
      </c>
      <c r="F404" t="s">
        <v>1010</v>
      </c>
      <c r="G404" t="s">
        <v>833</v>
      </c>
      <c r="H404" t="s">
        <v>808</v>
      </c>
      <c r="I404" s="12" t="s">
        <v>1107</v>
      </c>
      <c r="K404" s="12" t="s">
        <v>1062</v>
      </c>
      <c r="L404" s="12" t="s">
        <v>1110</v>
      </c>
      <c r="M404" t="s">
        <v>836</v>
      </c>
      <c r="N404" s="12" t="s">
        <v>1190</v>
      </c>
      <c r="P404" s="16">
        <v>2.7149785740000006E-4</v>
      </c>
      <c r="Q404" s="22">
        <v>1</v>
      </c>
      <c r="R404" s="16">
        <v>1.9952823242595723E-4</v>
      </c>
    </row>
    <row r="405" spans="1:18" x14ac:dyDescent="0.45">
      <c r="A405" s="7">
        <v>289</v>
      </c>
      <c r="B405" s="7" t="s">
        <v>1625</v>
      </c>
      <c r="C405" s="7" t="s">
        <v>645</v>
      </c>
      <c r="D405" s="7" t="s">
        <v>1556</v>
      </c>
      <c r="F405" t="s">
        <v>987</v>
      </c>
      <c r="G405" t="s">
        <v>833</v>
      </c>
      <c r="H405" t="s">
        <v>808</v>
      </c>
      <c r="I405" s="12" t="s">
        <v>1107</v>
      </c>
      <c r="K405" s="12" t="s">
        <v>1062</v>
      </c>
      <c r="L405" s="12" t="s">
        <v>1110</v>
      </c>
      <c r="M405" t="s">
        <v>836</v>
      </c>
      <c r="N405" s="12" t="s">
        <v>1190</v>
      </c>
      <c r="P405" s="16">
        <v>1.0181169652499998E-4</v>
      </c>
      <c r="Q405" s="22">
        <v>1</v>
      </c>
      <c r="R405" s="16">
        <v>7.4823087159733937E-5</v>
      </c>
    </row>
    <row r="406" spans="1:18" x14ac:dyDescent="0.45">
      <c r="A406" s="7">
        <v>290</v>
      </c>
      <c r="B406" s="7" t="s">
        <v>1632</v>
      </c>
      <c r="C406" s="7" t="s">
        <v>647</v>
      </c>
      <c r="D406" s="7" t="s">
        <v>1564</v>
      </c>
      <c r="F406" t="s">
        <v>987</v>
      </c>
      <c r="G406" t="s">
        <v>833</v>
      </c>
      <c r="H406" t="s">
        <v>808</v>
      </c>
      <c r="I406" s="12" t="s">
        <v>1107</v>
      </c>
      <c r="K406" s="12" t="s">
        <v>1062</v>
      </c>
      <c r="L406" s="12" t="s">
        <v>1110</v>
      </c>
      <c r="M406" t="s">
        <v>836</v>
      </c>
      <c r="N406" s="12" t="s">
        <v>1190</v>
      </c>
      <c r="P406" s="16">
        <v>1.0181169652499998E-4</v>
      </c>
      <c r="Q406" s="22">
        <v>1</v>
      </c>
      <c r="R406" s="16">
        <v>7.4823087159733937E-5</v>
      </c>
    </row>
    <row r="407" spans="1:18" x14ac:dyDescent="0.45">
      <c r="A407" s="7">
        <v>291</v>
      </c>
      <c r="B407" s="7" t="s">
        <v>1559</v>
      </c>
      <c r="C407" s="7" t="s">
        <v>1161</v>
      </c>
      <c r="D407" s="7" t="s">
        <v>1557</v>
      </c>
      <c r="F407" t="s">
        <v>984</v>
      </c>
      <c r="G407" t="s">
        <v>833</v>
      </c>
      <c r="H407" t="s">
        <v>808</v>
      </c>
      <c r="I407" s="12" t="s">
        <v>1107</v>
      </c>
      <c r="K407" s="12" t="s">
        <v>1062</v>
      </c>
      <c r="L407" t="s">
        <v>1111</v>
      </c>
      <c r="M407" s="12" t="s">
        <v>838</v>
      </c>
      <c r="N407" s="12" t="s">
        <v>1190</v>
      </c>
      <c r="P407" s="16">
        <v>2.8584420480000009E-4</v>
      </c>
      <c r="Q407" s="22">
        <v>1</v>
      </c>
      <c r="R407" s="16">
        <v>2.1007159864587323E-4</v>
      </c>
    </row>
    <row r="408" spans="1:18" x14ac:dyDescent="0.45">
      <c r="A408" s="7">
        <v>292</v>
      </c>
      <c r="B408" s="7" t="s">
        <v>1559</v>
      </c>
      <c r="C408" s="7" t="s">
        <v>1161</v>
      </c>
      <c r="D408" s="7" t="s">
        <v>1557</v>
      </c>
      <c r="F408" t="s">
        <v>971</v>
      </c>
      <c r="G408" t="s">
        <v>833</v>
      </c>
      <c r="H408" t="s">
        <v>808</v>
      </c>
      <c r="I408" s="12" t="s">
        <v>1107</v>
      </c>
      <c r="K408" s="12" t="s">
        <v>1062</v>
      </c>
      <c r="L408" t="s">
        <v>1111</v>
      </c>
      <c r="M408" s="12" t="s">
        <v>838</v>
      </c>
      <c r="N408" s="12" t="s">
        <v>1190</v>
      </c>
      <c r="P408" s="16">
        <v>1.6078736520000003E-4</v>
      </c>
      <c r="Q408" s="22">
        <v>1</v>
      </c>
      <c r="R408" s="16">
        <v>1.1816527423830369E-4</v>
      </c>
    </row>
    <row r="409" spans="1:18" x14ac:dyDescent="0.45">
      <c r="A409" s="7">
        <v>293</v>
      </c>
      <c r="B409" s="7" t="s">
        <v>1559</v>
      </c>
      <c r="C409" s="7" t="s">
        <v>1161</v>
      </c>
      <c r="D409" s="7" t="s">
        <v>1557</v>
      </c>
      <c r="F409" t="s">
        <v>985</v>
      </c>
      <c r="G409" t="s">
        <v>833</v>
      </c>
      <c r="H409" t="s">
        <v>808</v>
      </c>
      <c r="I409" s="12" t="s">
        <v>1107</v>
      </c>
      <c r="K409" s="12" t="s">
        <v>1062</v>
      </c>
      <c r="L409" t="s">
        <v>1111</v>
      </c>
      <c r="M409" s="12" t="s">
        <v>838</v>
      </c>
      <c r="N409" s="12" t="s">
        <v>1190</v>
      </c>
      <c r="P409" s="16">
        <v>2.468654496E-4</v>
      </c>
      <c r="Q409" s="22">
        <v>1</v>
      </c>
      <c r="R409" s="16">
        <v>1.8142547155779957E-4</v>
      </c>
    </row>
    <row r="410" spans="1:18" x14ac:dyDescent="0.45">
      <c r="A410" s="7">
        <v>294</v>
      </c>
      <c r="B410" s="7" t="s">
        <v>1559</v>
      </c>
      <c r="C410" s="7" t="s">
        <v>1161</v>
      </c>
      <c r="D410" s="7" t="s">
        <v>1557</v>
      </c>
      <c r="F410" t="s">
        <v>986</v>
      </c>
      <c r="G410" t="s">
        <v>833</v>
      </c>
      <c r="H410" t="s">
        <v>808</v>
      </c>
      <c r="I410" s="12" t="s">
        <v>1107</v>
      </c>
      <c r="K410" s="12" t="s">
        <v>1062</v>
      </c>
      <c r="L410" t="s">
        <v>1111</v>
      </c>
      <c r="M410" s="12" t="s">
        <v>838</v>
      </c>
      <c r="N410" s="12" t="s">
        <v>1190</v>
      </c>
      <c r="P410" s="16">
        <v>1.3886181540000004E-4</v>
      </c>
      <c r="Q410" s="22">
        <v>1</v>
      </c>
      <c r="R410" s="16">
        <v>1.0205182775126228E-4</v>
      </c>
    </row>
    <row r="411" spans="1:18" x14ac:dyDescent="0.45">
      <c r="A411" s="7">
        <v>295</v>
      </c>
      <c r="B411" s="7" t="s">
        <v>1559</v>
      </c>
      <c r="C411" s="7" t="s">
        <v>1161</v>
      </c>
      <c r="D411" s="7" t="s">
        <v>1557</v>
      </c>
      <c r="F411" t="s">
        <v>1010</v>
      </c>
      <c r="G411" t="s">
        <v>833</v>
      </c>
      <c r="H411" t="s">
        <v>808</v>
      </c>
      <c r="I411" s="12" t="s">
        <v>1107</v>
      </c>
      <c r="K411" s="12" t="s">
        <v>1062</v>
      </c>
      <c r="L411" t="s">
        <v>1111</v>
      </c>
      <c r="M411" s="12" t="s">
        <v>838</v>
      </c>
      <c r="N411" s="12" t="s">
        <v>1190</v>
      </c>
      <c r="O411" t="s">
        <v>641</v>
      </c>
      <c r="P411" s="16">
        <v>1.9164554640000006E-4</v>
      </c>
      <c r="Q411" s="22">
        <v>1</v>
      </c>
      <c r="R411" s="16">
        <v>1.4084345818302866E-4</v>
      </c>
    </row>
    <row r="412" spans="1:18" x14ac:dyDescent="0.45">
      <c r="A412" s="7">
        <v>296</v>
      </c>
      <c r="B412" s="7" t="s">
        <v>1559</v>
      </c>
      <c r="C412" s="7" t="s">
        <v>1161</v>
      </c>
      <c r="D412" s="7" t="s">
        <v>1557</v>
      </c>
      <c r="F412" t="s">
        <v>987</v>
      </c>
      <c r="G412" t="s">
        <v>833</v>
      </c>
      <c r="H412" t="s">
        <v>808</v>
      </c>
      <c r="I412" s="12" t="s">
        <v>1107</v>
      </c>
      <c r="K412" s="12" t="s">
        <v>1062</v>
      </c>
      <c r="L412" t="s">
        <v>1111</v>
      </c>
      <c r="M412" s="12" t="s">
        <v>838</v>
      </c>
      <c r="N412" s="12" t="s">
        <v>1190</v>
      </c>
      <c r="P412" s="16">
        <v>7.1867079899999995E-5</v>
      </c>
      <c r="Q412" s="22">
        <v>1</v>
      </c>
      <c r="R412" s="16">
        <v>5.2816296818635721E-5</v>
      </c>
    </row>
    <row r="413" spans="1:18" x14ac:dyDescent="0.45">
      <c r="A413" s="9">
        <v>297</v>
      </c>
      <c r="B413" s="9" t="s">
        <v>680</v>
      </c>
      <c r="C413" s="9" t="s">
        <v>704</v>
      </c>
      <c r="D413" s="9" t="s">
        <v>681</v>
      </c>
      <c r="E413" t="s">
        <v>531</v>
      </c>
      <c r="F413" t="s">
        <v>988</v>
      </c>
      <c r="G413" t="s">
        <v>834</v>
      </c>
      <c r="H413" t="s">
        <v>808</v>
      </c>
      <c r="I413" t="s">
        <v>806</v>
      </c>
      <c r="K413" s="12" t="s">
        <v>1062</v>
      </c>
      <c r="L413" s="12" t="s">
        <v>1110</v>
      </c>
      <c r="M413" s="12" t="s">
        <v>838</v>
      </c>
      <c r="N413" s="12" t="s">
        <v>1190</v>
      </c>
      <c r="O413" t="s">
        <v>532</v>
      </c>
      <c r="P413" s="16">
        <v>5.9840344080000008E-4</v>
      </c>
      <c r="Q413" s="22">
        <v>1</v>
      </c>
      <c r="R413" s="16">
        <v>4.3977651228578325E-4</v>
      </c>
    </row>
    <row r="414" spans="1:18" x14ac:dyDescent="0.45">
      <c r="A414" s="9">
        <v>298</v>
      </c>
      <c r="B414" s="9" t="s">
        <v>690</v>
      </c>
      <c r="C414" s="7" t="s">
        <v>770</v>
      </c>
      <c r="D414" s="7" t="s">
        <v>691</v>
      </c>
      <c r="F414" t="s">
        <v>988</v>
      </c>
      <c r="G414" t="s">
        <v>834</v>
      </c>
      <c r="H414" t="s">
        <v>808</v>
      </c>
      <c r="I414" t="s">
        <v>806</v>
      </c>
      <c r="K414" s="12" t="s">
        <v>1062</v>
      </c>
      <c r="L414" s="12" t="s">
        <v>1110</v>
      </c>
      <c r="M414" t="s">
        <v>836</v>
      </c>
      <c r="N414" s="12" t="s">
        <v>1190</v>
      </c>
      <c r="O414" t="s">
        <v>608</v>
      </c>
      <c r="P414" s="16">
        <v>1.4960086020000002E-4</v>
      </c>
      <c r="Q414" s="22">
        <v>1</v>
      </c>
      <c r="R414" s="16">
        <v>1.0994412807144581E-4</v>
      </c>
    </row>
    <row r="415" spans="1:18" x14ac:dyDescent="0.45">
      <c r="A415" s="9">
        <v>299</v>
      </c>
      <c r="B415" s="9" t="s">
        <v>187</v>
      </c>
      <c r="C415" s="9" t="s">
        <v>757</v>
      </c>
      <c r="D415" s="9" t="s">
        <v>1206</v>
      </c>
      <c r="E415" t="s">
        <v>162</v>
      </c>
      <c r="F415" t="s">
        <v>988</v>
      </c>
      <c r="G415" t="s">
        <v>834</v>
      </c>
      <c r="H415" t="s">
        <v>768</v>
      </c>
      <c r="I415" s="12" t="s">
        <v>1107</v>
      </c>
      <c r="K415" s="12" t="s">
        <v>1062</v>
      </c>
      <c r="L415" s="12" t="s">
        <v>1110</v>
      </c>
      <c r="M415" s="12" t="s">
        <v>838</v>
      </c>
      <c r="N415" s="14" t="s">
        <v>997</v>
      </c>
      <c r="O415" t="s">
        <v>161</v>
      </c>
      <c r="P415" s="16">
        <v>5.0773625279999996E-4</v>
      </c>
      <c r="Q415" s="22">
        <v>1</v>
      </c>
      <c r="R415" s="16">
        <v>3.7314370739399786E-4</v>
      </c>
    </row>
    <row r="416" spans="1:18" x14ac:dyDescent="0.45">
      <c r="A416" s="7">
        <v>300</v>
      </c>
      <c r="B416" s="7" t="s">
        <v>191</v>
      </c>
      <c r="C416" s="7" t="s">
        <v>762</v>
      </c>
      <c r="D416" s="7" t="s">
        <v>291</v>
      </c>
      <c r="E416" t="s">
        <v>127</v>
      </c>
      <c r="F416" t="s">
        <v>988</v>
      </c>
      <c r="G416" t="s">
        <v>834</v>
      </c>
      <c r="H416" t="s">
        <v>768</v>
      </c>
      <c r="I416" s="12" t="s">
        <v>1107</v>
      </c>
      <c r="K416" s="12" t="s">
        <v>1062</v>
      </c>
      <c r="L416" s="12" t="s">
        <v>1110</v>
      </c>
      <c r="M416" s="12" t="s">
        <v>838</v>
      </c>
      <c r="N416" s="12" t="s">
        <v>1190</v>
      </c>
      <c r="O416" t="s">
        <v>59</v>
      </c>
      <c r="P416" s="16">
        <v>5.0773625279999996E-4</v>
      </c>
      <c r="Q416" s="22">
        <v>1</v>
      </c>
      <c r="R416" s="16">
        <v>3.7314370739399786E-4</v>
      </c>
    </row>
    <row r="417" spans="1:18" x14ac:dyDescent="0.45">
      <c r="A417" s="9">
        <v>301</v>
      </c>
      <c r="B417" s="9" t="s">
        <v>186</v>
      </c>
      <c r="C417" s="9" t="s">
        <v>756</v>
      </c>
      <c r="D417" s="9" t="s">
        <v>293</v>
      </c>
      <c r="E417" t="s">
        <v>164</v>
      </c>
      <c r="F417" t="s">
        <v>988</v>
      </c>
      <c r="G417" t="s">
        <v>834</v>
      </c>
      <c r="H417" t="s">
        <v>768</v>
      </c>
      <c r="I417" s="12" t="s">
        <v>1107</v>
      </c>
      <c r="K417" s="12" t="s">
        <v>1062</v>
      </c>
      <c r="L417" s="12" t="s">
        <v>1110</v>
      </c>
      <c r="M417" s="12" t="s">
        <v>838</v>
      </c>
      <c r="N417" s="12" t="s">
        <v>1190</v>
      </c>
      <c r="O417" t="s">
        <v>163</v>
      </c>
      <c r="P417" s="16">
        <v>5.0773625279999996E-4</v>
      </c>
      <c r="Q417" s="22">
        <v>1</v>
      </c>
      <c r="R417" s="16">
        <v>3.7314370739399786E-4</v>
      </c>
    </row>
    <row r="418" spans="1:18" x14ac:dyDescent="0.45">
      <c r="A418" s="9">
        <v>302</v>
      </c>
      <c r="B418" s="7" t="s">
        <v>53</v>
      </c>
      <c r="C418" s="7" t="s">
        <v>754</v>
      </c>
      <c r="D418" s="9" t="s">
        <v>290</v>
      </c>
      <c r="E418" s="2" t="s">
        <v>123</v>
      </c>
      <c r="F418" t="s">
        <v>988</v>
      </c>
      <c r="G418" t="s">
        <v>834</v>
      </c>
      <c r="H418" t="s">
        <v>768</v>
      </c>
      <c r="I418" s="12" t="s">
        <v>1107</v>
      </c>
      <c r="K418" s="12" t="s">
        <v>1062</v>
      </c>
      <c r="L418" s="12" t="s">
        <v>1110</v>
      </c>
      <c r="M418" t="s">
        <v>836</v>
      </c>
      <c r="N418" s="12" t="s">
        <v>1190</v>
      </c>
      <c r="O418" s="2" t="s">
        <v>126</v>
      </c>
      <c r="P418" s="16">
        <v>1.2693406319999999E-4</v>
      </c>
      <c r="Q418" s="22">
        <v>1</v>
      </c>
      <c r="R418" s="16">
        <v>9.3285926848499465E-5</v>
      </c>
    </row>
    <row r="419" spans="1:18" x14ac:dyDescent="0.45">
      <c r="A419" s="9">
        <v>303</v>
      </c>
      <c r="B419" s="9" t="s">
        <v>188</v>
      </c>
      <c r="C419" s="9" t="s">
        <v>763</v>
      </c>
      <c r="D419" s="9" t="s">
        <v>294</v>
      </c>
      <c r="E419" t="s">
        <v>160</v>
      </c>
      <c r="F419" t="s">
        <v>988</v>
      </c>
      <c r="G419" t="s">
        <v>834</v>
      </c>
      <c r="H419" t="s">
        <v>768</v>
      </c>
      <c r="I419" s="12" t="s">
        <v>1107</v>
      </c>
      <c r="K419" s="12" t="s">
        <v>1062</v>
      </c>
      <c r="L419" s="12" t="s">
        <v>1110</v>
      </c>
      <c r="M419" t="s">
        <v>836</v>
      </c>
      <c r="N419" s="12" t="s">
        <v>1190</v>
      </c>
      <c r="O419" t="s">
        <v>159</v>
      </c>
      <c r="P419" s="16">
        <v>1.2693406319999999E-4</v>
      </c>
      <c r="Q419" s="22">
        <v>1</v>
      </c>
      <c r="R419" s="16">
        <v>9.3285926848499465E-5</v>
      </c>
    </row>
    <row r="420" spans="1:18" x14ac:dyDescent="0.45">
      <c r="A420" s="7">
        <v>304</v>
      </c>
      <c r="B420" s="7" t="s">
        <v>183</v>
      </c>
      <c r="C420" s="7" t="s">
        <v>758</v>
      </c>
      <c r="D420" s="7" t="s">
        <v>292</v>
      </c>
      <c r="E420" t="s">
        <v>166</v>
      </c>
      <c r="F420" t="s">
        <v>988</v>
      </c>
      <c r="G420" t="s">
        <v>834</v>
      </c>
      <c r="H420" t="s">
        <v>768</v>
      </c>
      <c r="I420" s="12" t="s">
        <v>1107</v>
      </c>
      <c r="K420" s="12" t="s">
        <v>1062</v>
      </c>
      <c r="L420" t="s">
        <v>1111</v>
      </c>
      <c r="M420" s="12" t="s">
        <v>838</v>
      </c>
      <c r="N420" s="12" t="s">
        <v>1190</v>
      </c>
      <c r="O420" t="s">
        <v>165</v>
      </c>
      <c r="P420" s="16">
        <v>8.9600515200000008E-5</v>
      </c>
      <c r="Q420" s="22">
        <v>1</v>
      </c>
      <c r="R420" s="16">
        <v>6.5848889540117276E-5</v>
      </c>
    </row>
    <row r="421" spans="1:18" x14ac:dyDescent="0.45">
      <c r="A421" s="7">
        <v>305</v>
      </c>
      <c r="B421" s="7" t="s">
        <v>1636</v>
      </c>
      <c r="C421" s="3" t="s">
        <v>1088</v>
      </c>
      <c r="D421" s="3" t="s">
        <v>1000</v>
      </c>
      <c r="E421" t="s">
        <v>1001</v>
      </c>
      <c r="F421" t="s">
        <v>984</v>
      </c>
      <c r="G421" t="s">
        <v>834</v>
      </c>
      <c r="H421" t="s">
        <v>808</v>
      </c>
      <c r="I421" s="12" t="s">
        <v>1107</v>
      </c>
      <c r="K421" s="12" t="s">
        <v>1062</v>
      </c>
      <c r="L421" s="12" t="s">
        <v>1110</v>
      </c>
      <c r="M421" s="12" t="s">
        <v>838</v>
      </c>
      <c r="N421" s="14" t="s">
        <v>1003</v>
      </c>
      <c r="P421" s="16">
        <v>2.0825792064000002E-3</v>
      </c>
      <c r="Q421" s="22">
        <v>1</v>
      </c>
      <c r="R421" s="16">
        <v>1.5305216472770761E-3</v>
      </c>
    </row>
    <row r="422" spans="1:18" x14ac:dyDescent="0.45">
      <c r="A422" s="7">
        <v>306</v>
      </c>
      <c r="B422" s="7" t="s">
        <v>1635</v>
      </c>
      <c r="C422" s="7" t="s">
        <v>1089</v>
      </c>
      <c r="D422" s="7" t="s">
        <v>1095</v>
      </c>
      <c r="E422" t="s">
        <v>865</v>
      </c>
      <c r="F422" t="s">
        <v>984</v>
      </c>
      <c r="G422" t="s">
        <v>834</v>
      </c>
      <c r="H422" t="s">
        <v>808</v>
      </c>
      <c r="I422" s="12" t="s">
        <v>1107</v>
      </c>
      <c r="K422" s="12" t="s">
        <v>1062</v>
      </c>
      <c r="L422" s="12" t="s">
        <v>1110</v>
      </c>
      <c r="M422" s="12" t="s">
        <v>838</v>
      </c>
      <c r="N422" s="12" t="s">
        <v>1190</v>
      </c>
      <c r="P422" s="16">
        <v>2.0825792064000002E-3</v>
      </c>
      <c r="Q422" s="22">
        <v>1</v>
      </c>
      <c r="R422" s="16">
        <v>1.5305216472770761E-3</v>
      </c>
    </row>
    <row r="423" spans="1:18" x14ac:dyDescent="0.45">
      <c r="A423" s="7">
        <v>307</v>
      </c>
      <c r="B423" s="7" t="s">
        <v>1636</v>
      </c>
      <c r="C423" s="3" t="s">
        <v>1088</v>
      </c>
      <c r="D423" s="3" t="s">
        <v>1096</v>
      </c>
      <c r="E423" t="s">
        <v>867</v>
      </c>
      <c r="F423" t="s">
        <v>984</v>
      </c>
      <c r="G423" t="s">
        <v>834</v>
      </c>
      <c r="H423" t="s">
        <v>808</v>
      </c>
      <c r="I423" s="12" t="s">
        <v>1107</v>
      </c>
      <c r="K423" s="12" t="s">
        <v>1062</v>
      </c>
      <c r="L423" s="12" t="s">
        <v>1110</v>
      </c>
      <c r="M423" s="12" t="s">
        <v>838</v>
      </c>
      <c r="N423" s="12" t="s">
        <v>1190</v>
      </c>
      <c r="P423" s="16">
        <v>2.0825792064000002E-3</v>
      </c>
      <c r="Q423" s="22">
        <v>1</v>
      </c>
      <c r="R423" s="16">
        <v>1.5305216472770761E-3</v>
      </c>
    </row>
    <row r="424" spans="1:18" x14ac:dyDescent="0.45">
      <c r="A424" s="7">
        <v>308</v>
      </c>
      <c r="B424" s="7" t="s">
        <v>1637</v>
      </c>
      <c r="C424" s="7" t="s">
        <v>1090</v>
      </c>
      <c r="D424" s="7" t="s">
        <v>1097</v>
      </c>
      <c r="E424" t="s">
        <v>950</v>
      </c>
      <c r="F424" t="s">
        <v>984</v>
      </c>
      <c r="G424" t="s">
        <v>834</v>
      </c>
      <c r="H424" t="s">
        <v>808</v>
      </c>
      <c r="I424" s="12" t="s">
        <v>1107</v>
      </c>
      <c r="K424" s="12" t="s">
        <v>1062</v>
      </c>
      <c r="L424" s="12" t="s">
        <v>1110</v>
      </c>
      <c r="M424" s="12" t="s">
        <v>838</v>
      </c>
      <c r="N424" s="12" t="s">
        <v>1190</v>
      </c>
      <c r="P424" s="16">
        <v>2.0825792064000002E-3</v>
      </c>
      <c r="Q424" s="22">
        <v>1</v>
      </c>
      <c r="R424" s="16">
        <v>1.5305216472770761E-3</v>
      </c>
    </row>
    <row r="425" spans="1:18" x14ac:dyDescent="0.45">
      <c r="A425" s="7">
        <v>309</v>
      </c>
      <c r="B425" s="7" t="s">
        <v>1635</v>
      </c>
      <c r="C425" s="7" t="s">
        <v>1089</v>
      </c>
      <c r="D425" s="7" t="s">
        <v>1095</v>
      </c>
      <c r="E425" t="s">
        <v>865</v>
      </c>
      <c r="F425" t="s">
        <v>971</v>
      </c>
      <c r="G425" t="s">
        <v>834</v>
      </c>
      <c r="H425" t="s">
        <v>808</v>
      </c>
      <c r="I425" s="12" t="s">
        <v>1107</v>
      </c>
      <c r="K425" s="12" t="s">
        <v>1062</v>
      </c>
      <c r="L425" s="12" t="s">
        <v>1110</v>
      </c>
      <c r="M425" s="12" t="s">
        <v>838</v>
      </c>
      <c r="N425" s="12" t="s">
        <v>1190</v>
      </c>
      <c r="P425" s="16">
        <v>1.1714508036E-3</v>
      </c>
      <c r="Q425" s="22">
        <v>1</v>
      </c>
      <c r="R425" s="16">
        <v>8.6091842659335527E-4</v>
      </c>
    </row>
    <row r="426" spans="1:18" x14ac:dyDescent="0.45">
      <c r="A426" s="7">
        <v>310</v>
      </c>
      <c r="B426" s="7" t="s">
        <v>1636</v>
      </c>
      <c r="C426" s="7" t="s">
        <v>1088</v>
      </c>
      <c r="D426" s="7" t="s">
        <v>1096</v>
      </c>
      <c r="E426" t="s">
        <v>867</v>
      </c>
      <c r="F426" t="s">
        <v>971</v>
      </c>
      <c r="G426" t="s">
        <v>834</v>
      </c>
      <c r="H426" t="s">
        <v>808</v>
      </c>
      <c r="I426" s="12" t="s">
        <v>1107</v>
      </c>
      <c r="K426" s="12" t="s">
        <v>1062</v>
      </c>
      <c r="L426" s="12" t="s">
        <v>1110</v>
      </c>
      <c r="M426" s="12" t="s">
        <v>838</v>
      </c>
      <c r="N426" s="12" t="s">
        <v>1190</v>
      </c>
      <c r="P426" s="16">
        <v>1.1714508036E-3</v>
      </c>
      <c r="Q426" s="22">
        <v>1</v>
      </c>
      <c r="R426" s="16">
        <v>8.6091842659335527E-4</v>
      </c>
    </row>
    <row r="427" spans="1:18" x14ac:dyDescent="0.45">
      <c r="A427" s="7">
        <v>311</v>
      </c>
      <c r="B427" s="7" t="s">
        <v>1637</v>
      </c>
      <c r="C427" s="7" t="s">
        <v>1088</v>
      </c>
      <c r="D427" s="7" t="s">
        <v>1096</v>
      </c>
      <c r="E427" t="s">
        <v>915</v>
      </c>
      <c r="F427" t="s">
        <v>971</v>
      </c>
      <c r="G427" t="s">
        <v>834</v>
      </c>
      <c r="H427" t="s">
        <v>808</v>
      </c>
      <c r="I427" s="12" t="s">
        <v>1107</v>
      </c>
      <c r="K427" s="12" t="s">
        <v>1062</v>
      </c>
      <c r="L427" s="12" t="s">
        <v>1110</v>
      </c>
      <c r="M427" s="12" t="s">
        <v>838</v>
      </c>
      <c r="N427" s="12" t="s">
        <v>1190</v>
      </c>
      <c r="P427" s="16">
        <v>1.1714508036E-3</v>
      </c>
      <c r="Q427" s="22">
        <v>1</v>
      </c>
      <c r="R427" s="16">
        <v>8.6091842659335527E-4</v>
      </c>
    </row>
    <row r="428" spans="1:18" x14ac:dyDescent="0.45">
      <c r="A428" s="7">
        <v>312</v>
      </c>
      <c r="B428" s="7" t="s">
        <v>1637</v>
      </c>
      <c r="C428" s="7" t="s">
        <v>1090</v>
      </c>
      <c r="D428" s="7" t="s">
        <v>1097</v>
      </c>
      <c r="E428" t="s">
        <v>950</v>
      </c>
      <c r="F428" t="s">
        <v>971</v>
      </c>
      <c r="G428" t="s">
        <v>834</v>
      </c>
      <c r="H428" t="s">
        <v>808</v>
      </c>
      <c r="I428" s="12" t="s">
        <v>1107</v>
      </c>
      <c r="K428" s="12" t="s">
        <v>1062</v>
      </c>
      <c r="L428" s="12" t="s">
        <v>1110</v>
      </c>
      <c r="M428" s="12" t="s">
        <v>838</v>
      </c>
      <c r="N428" s="12" t="s">
        <v>1190</v>
      </c>
      <c r="P428" s="16">
        <v>1.1714508036E-3</v>
      </c>
      <c r="Q428" s="22">
        <v>1</v>
      </c>
      <c r="R428" s="16">
        <v>8.6091842659335527E-4</v>
      </c>
    </row>
    <row r="429" spans="1:18" x14ac:dyDescent="0.45">
      <c r="A429" s="7">
        <v>313</v>
      </c>
      <c r="B429" s="7" t="s">
        <v>1636</v>
      </c>
      <c r="C429" s="7" t="s">
        <v>1088</v>
      </c>
      <c r="D429" s="7" t="s">
        <v>1002</v>
      </c>
      <c r="E429" t="s">
        <v>1001</v>
      </c>
      <c r="F429" t="s">
        <v>985</v>
      </c>
      <c r="G429" t="s">
        <v>834</v>
      </c>
      <c r="H429" t="s">
        <v>808</v>
      </c>
      <c r="I429" s="12" t="s">
        <v>1107</v>
      </c>
      <c r="K429" s="12" t="s">
        <v>1062</v>
      </c>
      <c r="L429" s="12" t="s">
        <v>1110</v>
      </c>
      <c r="M429" s="12" t="s">
        <v>838</v>
      </c>
      <c r="N429" s="14" t="s">
        <v>1003</v>
      </c>
      <c r="P429" s="16">
        <v>1.7985911328000002E-3</v>
      </c>
      <c r="Q429" s="22">
        <v>1</v>
      </c>
      <c r="R429" s="16">
        <v>1.3218141499211113E-3</v>
      </c>
    </row>
    <row r="430" spans="1:18" x14ac:dyDescent="0.45">
      <c r="A430" s="7">
        <v>314</v>
      </c>
      <c r="B430" s="7" t="s">
        <v>1635</v>
      </c>
      <c r="C430" s="7" t="s">
        <v>1089</v>
      </c>
      <c r="D430" s="7" t="s">
        <v>1095</v>
      </c>
      <c r="E430" t="s">
        <v>865</v>
      </c>
      <c r="F430" t="s">
        <v>985</v>
      </c>
      <c r="G430" t="s">
        <v>834</v>
      </c>
      <c r="H430" t="s">
        <v>808</v>
      </c>
      <c r="I430" s="12" t="s">
        <v>1107</v>
      </c>
      <c r="K430" s="12" t="s">
        <v>1062</v>
      </c>
      <c r="L430" s="12" t="s">
        <v>1110</v>
      </c>
      <c r="M430" s="12" t="s">
        <v>838</v>
      </c>
      <c r="N430" s="12" t="s">
        <v>1190</v>
      </c>
      <c r="P430" s="16">
        <v>1.7985911328000002E-3</v>
      </c>
      <c r="Q430" s="22">
        <v>1</v>
      </c>
      <c r="R430" s="16">
        <v>1.3218141499211113E-3</v>
      </c>
    </row>
    <row r="431" spans="1:18" x14ac:dyDescent="0.45">
      <c r="A431" s="7">
        <v>315</v>
      </c>
      <c r="B431" s="7" t="s">
        <v>1636</v>
      </c>
      <c r="C431" s="7" t="s">
        <v>1088</v>
      </c>
      <c r="D431" s="7" t="s">
        <v>1096</v>
      </c>
      <c r="E431" t="s">
        <v>867</v>
      </c>
      <c r="F431" t="s">
        <v>985</v>
      </c>
      <c r="G431" t="s">
        <v>834</v>
      </c>
      <c r="H431" t="s">
        <v>808</v>
      </c>
      <c r="I431" s="12" t="s">
        <v>1107</v>
      </c>
      <c r="K431" s="12" t="s">
        <v>1062</v>
      </c>
      <c r="L431" s="12" t="s">
        <v>1110</v>
      </c>
      <c r="M431" s="12" t="s">
        <v>838</v>
      </c>
      <c r="N431" s="12" t="s">
        <v>1190</v>
      </c>
      <c r="P431" s="16">
        <v>1.7985911328000002E-3</v>
      </c>
      <c r="Q431" s="22">
        <v>1</v>
      </c>
      <c r="R431" s="16">
        <v>1.3218141499211113E-3</v>
      </c>
    </row>
    <row r="432" spans="1:18" x14ac:dyDescent="0.45">
      <c r="A432" s="7">
        <v>316</v>
      </c>
      <c r="B432" s="7" t="s">
        <v>1637</v>
      </c>
      <c r="C432" s="7" t="s">
        <v>1090</v>
      </c>
      <c r="D432" s="7" t="s">
        <v>1097</v>
      </c>
      <c r="E432" t="s">
        <v>950</v>
      </c>
      <c r="F432" t="s">
        <v>985</v>
      </c>
      <c r="G432" t="s">
        <v>834</v>
      </c>
      <c r="H432" t="s">
        <v>808</v>
      </c>
      <c r="I432" s="12" t="s">
        <v>1107</v>
      </c>
      <c r="K432" s="12" t="s">
        <v>1062</v>
      </c>
      <c r="L432" s="12" t="s">
        <v>1110</v>
      </c>
      <c r="M432" s="12" t="s">
        <v>838</v>
      </c>
      <c r="N432" s="12" t="s">
        <v>1190</v>
      </c>
      <c r="P432" s="16">
        <v>1.7985911328000002E-3</v>
      </c>
      <c r="Q432" s="22">
        <v>1</v>
      </c>
      <c r="R432" s="16">
        <v>1.3218141499211113E-3</v>
      </c>
    </row>
    <row r="433" spans="1:18" x14ac:dyDescent="0.45">
      <c r="A433" s="7">
        <v>317</v>
      </c>
      <c r="B433" s="7" t="s">
        <v>1636</v>
      </c>
      <c r="C433" s="7" t="s">
        <v>1088</v>
      </c>
      <c r="D433" s="7" t="s">
        <v>1096</v>
      </c>
      <c r="E433" t="s">
        <v>1001</v>
      </c>
      <c r="F433" t="s">
        <v>986</v>
      </c>
      <c r="G433" t="s">
        <v>834</v>
      </c>
      <c r="H433" t="s">
        <v>808</v>
      </c>
      <c r="I433" s="12" t="s">
        <v>1107</v>
      </c>
      <c r="K433" s="12" t="s">
        <v>1062</v>
      </c>
      <c r="L433" s="12" t="s">
        <v>1110</v>
      </c>
      <c r="M433" s="12" t="s">
        <v>838</v>
      </c>
      <c r="N433" s="14" t="s">
        <v>1003</v>
      </c>
      <c r="P433" s="16">
        <v>1.0117075122E-3</v>
      </c>
      <c r="Q433" s="22">
        <v>1</v>
      </c>
      <c r="R433" s="16">
        <v>7.4352045933062498E-4</v>
      </c>
    </row>
    <row r="434" spans="1:18" x14ac:dyDescent="0.45">
      <c r="A434" s="7">
        <v>318</v>
      </c>
      <c r="B434" s="7" t="s">
        <v>1635</v>
      </c>
      <c r="C434" s="7" t="s">
        <v>1089</v>
      </c>
      <c r="D434" s="7" t="s">
        <v>1095</v>
      </c>
      <c r="E434" t="s">
        <v>865</v>
      </c>
      <c r="F434" t="s">
        <v>986</v>
      </c>
      <c r="G434" t="s">
        <v>834</v>
      </c>
      <c r="H434" t="s">
        <v>808</v>
      </c>
      <c r="I434" s="12" t="s">
        <v>1107</v>
      </c>
      <c r="K434" s="12" t="s">
        <v>1062</v>
      </c>
      <c r="L434" s="12" t="s">
        <v>1110</v>
      </c>
      <c r="M434" s="12" t="s">
        <v>838</v>
      </c>
      <c r="N434" s="12" t="s">
        <v>1190</v>
      </c>
      <c r="P434" s="16">
        <v>1.0117075122E-3</v>
      </c>
      <c r="Q434" s="22">
        <v>1</v>
      </c>
      <c r="R434" s="16">
        <v>7.4352045933062498E-4</v>
      </c>
    </row>
    <row r="435" spans="1:18" x14ac:dyDescent="0.45">
      <c r="A435" s="7">
        <v>319</v>
      </c>
      <c r="B435" s="7" t="s">
        <v>1636</v>
      </c>
      <c r="C435" s="7" t="s">
        <v>1088</v>
      </c>
      <c r="D435" s="7" t="s">
        <v>1096</v>
      </c>
      <c r="E435" t="s">
        <v>867</v>
      </c>
      <c r="F435" t="s">
        <v>986</v>
      </c>
      <c r="G435" t="s">
        <v>834</v>
      </c>
      <c r="H435" t="s">
        <v>808</v>
      </c>
      <c r="I435" s="12" t="s">
        <v>1107</v>
      </c>
      <c r="K435" s="12" t="s">
        <v>1062</v>
      </c>
      <c r="L435" s="12" t="s">
        <v>1110</v>
      </c>
      <c r="M435" s="12" t="s">
        <v>838</v>
      </c>
      <c r="N435" s="12" t="s">
        <v>1190</v>
      </c>
      <c r="P435" s="16">
        <v>1.0117075122E-3</v>
      </c>
      <c r="Q435" s="22">
        <v>1</v>
      </c>
      <c r="R435" s="16">
        <v>7.4352045933062498E-4</v>
      </c>
    </row>
    <row r="436" spans="1:18" x14ac:dyDescent="0.45">
      <c r="A436" s="7">
        <v>320</v>
      </c>
      <c r="B436" s="7" t="s">
        <v>1637</v>
      </c>
      <c r="C436" s="7" t="s">
        <v>1090</v>
      </c>
      <c r="D436" s="7" t="s">
        <v>1097</v>
      </c>
      <c r="E436" t="s">
        <v>950</v>
      </c>
      <c r="F436" t="s">
        <v>986</v>
      </c>
      <c r="G436" t="s">
        <v>834</v>
      </c>
      <c r="H436" t="s">
        <v>808</v>
      </c>
      <c r="I436" s="12" t="s">
        <v>1107</v>
      </c>
      <c r="K436" s="12" t="s">
        <v>1062</v>
      </c>
      <c r="L436" s="12" t="s">
        <v>1110</v>
      </c>
      <c r="M436" s="12" t="s">
        <v>838</v>
      </c>
      <c r="N436" s="12" t="s">
        <v>1190</v>
      </c>
      <c r="P436" s="16">
        <v>1.0117075122E-3</v>
      </c>
      <c r="Q436" s="22">
        <v>1</v>
      </c>
      <c r="R436" s="16">
        <v>7.4352045933062498E-4</v>
      </c>
    </row>
    <row r="437" spans="1:18" x14ac:dyDescent="0.45">
      <c r="A437" s="7">
        <v>321</v>
      </c>
      <c r="B437" s="7" t="s">
        <v>1638</v>
      </c>
      <c r="C437" s="7" t="s">
        <v>1089</v>
      </c>
      <c r="D437" s="7" t="s">
        <v>1095</v>
      </c>
      <c r="E437" t="s">
        <v>865</v>
      </c>
      <c r="F437" t="s">
        <v>1010</v>
      </c>
      <c r="G437" t="s">
        <v>834</v>
      </c>
      <c r="H437" t="s">
        <v>808</v>
      </c>
      <c r="I437" s="12" t="s">
        <v>1107</v>
      </c>
      <c r="K437" s="12" t="s">
        <v>1062</v>
      </c>
      <c r="L437" s="12" t="s">
        <v>1110</v>
      </c>
      <c r="M437" s="12" t="s">
        <v>838</v>
      </c>
      <c r="N437" s="12" t="s">
        <v>1190</v>
      </c>
      <c r="O437" t="s">
        <v>866</v>
      </c>
      <c r="P437" s="16">
        <v>1.3962746952000003E-3</v>
      </c>
      <c r="Q437" s="22">
        <v>1</v>
      </c>
      <c r="R437" s="16">
        <v>1.0261451953334944E-3</v>
      </c>
    </row>
    <row r="438" spans="1:18" x14ac:dyDescent="0.45">
      <c r="A438" s="7">
        <v>322</v>
      </c>
      <c r="B438" s="7" t="s">
        <v>1636</v>
      </c>
      <c r="C438" s="7" t="s">
        <v>1088</v>
      </c>
      <c r="D438" s="7" t="s">
        <v>1096</v>
      </c>
      <c r="E438" t="s">
        <v>867</v>
      </c>
      <c r="F438" t="s">
        <v>1010</v>
      </c>
      <c r="G438" t="s">
        <v>834</v>
      </c>
      <c r="H438" t="s">
        <v>808</v>
      </c>
      <c r="I438" s="12" t="s">
        <v>1107</v>
      </c>
      <c r="K438" s="12" t="s">
        <v>1062</v>
      </c>
      <c r="L438" s="12" t="s">
        <v>1110</v>
      </c>
      <c r="M438" s="12" t="s">
        <v>838</v>
      </c>
      <c r="N438" s="12" t="s">
        <v>1190</v>
      </c>
      <c r="O438" t="s">
        <v>868</v>
      </c>
      <c r="P438" s="16">
        <v>1.3962746952000003E-3</v>
      </c>
      <c r="Q438" s="22">
        <v>1</v>
      </c>
      <c r="R438" s="16">
        <v>1.0261451953334944E-3</v>
      </c>
    </row>
    <row r="439" spans="1:18" x14ac:dyDescent="0.45">
      <c r="A439" s="7">
        <v>323</v>
      </c>
      <c r="B439" s="7" t="s">
        <v>1636</v>
      </c>
      <c r="C439" s="7" t="s">
        <v>1088</v>
      </c>
      <c r="D439" s="7" t="s">
        <v>1096</v>
      </c>
      <c r="E439" t="s">
        <v>915</v>
      </c>
      <c r="F439" t="s">
        <v>1010</v>
      </c>
      <c r="G439" t="s">
        <v>834</v>
      </c>
      <c r="H439" t="s">
        <v>808</v>
      </c>
      <c r="I439" s="12" t="s">
        <v>1107</v>
      </c>
      <c r="K439" s="12" t="s">
        <v>1062</v>
      </c>
      <c r="L439" s="12" t="s">
        <v>1110</v>
      </c>
      <c r="M439" s="12" t="s">
        <v>838</v>
      </c>
      <c r="N439" s="12" t="s">
        <v>1190</v>
      </c>
      <c r="O439" t="s">
        <v>916</v>
      </c>
      <c r="P439" s="16">
        <v>1.3962746952000003E-3</v>
      </c>
      <c r="Q439" s="22">
        <v>1</v>
      </c>
      <c r="R439" s="16">
        <v>1.0261451953334944E-3</v>
      </c>
    </row>
    <row r="440" spans="1:18" x14ac:dyDescent="0.45">
      <c r="A440" s="7">
        <v>324</v>
      </c>
      <c r="B440" s="7" t="s">
        <v>1639</v>
      </c>
      <c r="C440" s="7" t="s">
        <v>1090</v>
      </c>
      <c r="D440" s="7" t="s">
        <v>1097</v>
      </c>
      <c r="E440" t="s">
        <v>950</v>
      </c>
      <c r="F440" t="s">
        <v>1010</v>
      </c>
      <c r="G440" t="s">
        <v>834</v>
      </c>
      <c r="H440" t="s">
        <v>808</v>
      </c>
      <c r="I440" s="12" t="s">
        <v>1107</v>
      </c>
      <c r="K440" s="12" t="s">
        <v>1062</v>
      </c>
      <c r="L440" s="12" t="s">
        <v>1110</v>
      </c>
      <c r="M440" s="12" t="s">
        <v>838</v>
      </c>
      <c r="N440" s="12" t="s">
        <v>1190</v>
      </c>
      <c r="O440" t="s">
        <v>951</v>
      </c>
      <c r="P440" s="16">
        <v>1.3962746952000003E-3</v>
      </c>
      <c r="Q440" s="22">
        <v>1</v>
      </c>
      <c r="R440" s="16">
        <v>1.0261451953334944E-3</v>
      </c>
    </row>
    <row r="441" spans="1:18" x14ac:dyDescent="0.45">
      <c r="A441" s="7">
        <v>325</v>
      </c>
      <c r="B441" s="7" t="s">
        <v>47</v>
      </c>
      <c r="C441" s="7" t="s">
        <v>48</v>
      </c>
      <c r="D441" s="7" t="s">
        <v>288</v>
      </c>
      <c r="E441" t="s">
        <v>75</v>
      </c>
      <c r="F441" t="s">
        <v>988</v>
      </c>
      <c r="G441" t="s">
        <v>834</v>
      </c>
      <c r="H441" t="s">
        <v>808</v>
      </c>
      <c r="I441" s="12" t="s">
        <v>1107</v>
      </c>
      <c r="K441" s="12" t="s">
        <v>1062</v>
      </c>
      <c r="L441" s="12" t="s">
        <v>1110</v>
      </c>
      <c r="M441" s="12" t="s">
        <v>838</v>
      </c>
      <c r="N441" s="12" t="s">
        <v>1190</v>
      </c>
      <c r="O441" t="s">
        <v>810</v>
      </c>
      <c r="P441" s="16">
        <v>1.3962746952000003E-3</v>
      </c>
      <c r="Q441" s="22">
        <v>1</v>
      </c>
      <c r="R441" s="16">
        <v>1.0261451953334944E-3</v>
      </c>
    </row>
    <row r="442" spans="1:18" x14ac:dyDescent="0.45">
      <c r="A442" s="7">
        <v>326</v>
      </c>
      <c r="B442" s="7" t="s">
        <v>27</v>
      </c>
      <c r="C442" s="7" t="s">
        <v>28</v>
      </c>
      <c r="D442" s="7" t="s">
        <v>732</v>
      </c>
      <c r="E442" t="s">
        <v>29</v>
      </c>
      <c r="F442" t="s">
        <v>988</v>
      </c>
      <c r="G442" t="s">
        <v>834</v>
      </c>
      <c r="H442" t="s">
        <v>808</v>
      </c>
      <c r="I442" s="12" t="s">
        <v>1107</v>
      </c>
      <c r="K442" s="12" t="s">
        <v>1062</v>
      </c>
      <c r="L442" s="12" t="s">
        <v>1110</v>
      </c>
      <c r="M442" s="12" t="s">
        <v>838</v>
      </c>
      <c r="N442" s="12" t="s">
        <v>1190</v>
      </c>
      <c r="O442" t="s">
        <v>74</v>
      </c>
      <c r="P442" s="16">
        <v>1.3962746952000003E-3</v>
      </c>
      <c r="Q442" s="22">
        <v>1</v>
      </c>
      <c r="R442" s="16">
        <v>1.0261451953334944E-3</v>
      </c>
    </row>
    <row r="443" spans="1:18" x14ac:dyDescent="0.45">
      <c r="A443" s="7">
        <v>327</v>
      </c>
      <c r="B443" s="7" t="s">
        <v>1640</v>
      </c>
      <c r="C443" s="7" t="s">
        <v>940</v>
      </c>
      <c r="D443" s="7" t="s">
        <v>941</v>
      </c>
      <c r="E443" t="s">
        <v>942</v>
      </c>
      <c r="F443" t="s">
        <v>988</v>
      </c>
      <c r="G443" t="s">
        <v>834</v>
      </c>
      <c r="H443" t="s">
        <v>808</v>
      </c>
      <c r="I443" s="12" t="s">
        <v>1107</v>
      </c>
      <c r="K443" s="12" t="s">
        <v>1062</v>
      </c>
      <c r="L443" s="12" t="s">
        <v>1110</v>
      </c>
      <c r="M443" s="12" t="s">
        <v>838</v>
      </c>
      <c r="N443" s="12" t="s">
        <v>1190</v>
      </c>
      <c r="O443" t="s">
        <v>943</v>
      </c>
      <c r="P443" s="16">
        <v>1.3962746952000003E-3</v>
      </c>
      <c r="Q443" s="22">
        <v>1</v>
      </c>
      <c r="R443" s="16">
        <v>1.0261451953334944E-3</v>
      </c>
    </row>
    <row r="444" spans="1:18" x14ac:dyDescent="0.45">
      <c r="A444" s="7">
        <v>328</v>
      </c>
      <c r="B444" s="7" t="s">
        <v>1641</v>
      </c>
      <c r="C444" s="7" t="s">
        <v>1088</v>
      </c>
      <c r="D444" s="7" t="s">
        <v>1000</v>
      </c>
      <c r="E444" t="s">
        <v>1001</v>
      </c>
      <c r="F444" t="s">
        <v>987</v>
      </c>
      <c r="G444" t="s">
        <v>834</v>
      </c>
      <c r="H444" t="s">
        <v>808</v>
      </c>
      <c r="I444" s="12" t="s">
        <v>1107</v>
      </c>
      <c r="K444" s="12" t="s">
        <v>1062</v>
      </c>
      <c r="L444" s="12" t="s">
        <v>1110</v>
      </c>
      <c r="M444" s="12" t="s">
        <v>838</v>
      </c>
      <c r="N444" s="14" t="s">
        <v>1003</v>
      </c>
      <c r="P444" s="16">
        <v>5.2360301069999989E-4</v>
      </c>
      <c r="Q444" s="22">
        <v>1</v>
      </c>
      <c r="R444" s="16">
        <v>3.8480444825006021E-4</v>
      </c>
    </row>
    <row r="445" spans="1:18" x14ac:dyDescent="0.45">
      <c r="A445" s="7">
        <v>329</v>
      </c>
      <c r="B445" s="7" t="s">
        <v>1635</v>
      </c>
      <c r="C445" s="7" t="s">
        <v>1089</v>
      </c>
      <c r="D445" s="7" t="s">
        <v>1095</v>
      </c>
      <c r="E445" t="s">
        <v>865</v>
      </c>
      <c r="F445" t="s">
        <v>987</v>
      </c>
      <c r="G445" t="s">
        <v>834</v>
      </c>
      <c r="H445" t="s">
        <v>808</v>
      </c>
      <c r="I445" s="12" t="s">
        <v>1107</v>
      </c>
      <c r="K445" s="12" t="s">
        <v>1062</v>
      </c>
      <c r="L445" s="12" t="s">
        <v>1110</v>
      </c>
      <c r="M445" s="12" t="s">
        <v>838</v>
      </c>
      <c r="N445" s="12" t="s">
        <v>1190</v>
      </c>
      <c r="P445" s="16">
        <v>5.2360301069999989E-4</v>
      </c>
      <c r="Q445" s="22">
        <v>1</v>
      </c>
      <c r="R445" s="16">
        <v>3.8480444825006021E-4</v>
      </c>
    </row>
    <row r="446" spans="1:18" x14ac:dyDescent="0.45">
      <c r="A446" s="7">
        <v>330</v>
      </c>
      <c r="B446" s="7" t="s">
        <v>1641</v>
      </c>
      <c r="C446" s="7" t="s">
        <v>1088</v>
      </c>
      <c r="D446" s="7" t="s">
        <v>1096</v>
      </c>
      <c r="E446" t="s">
        <v>867</v>
      </c>
      <c r="F446" t="s">
        <v>987</v>
      </c>
      <c r="G446" t="s">
        <v>834</v>
      </c>
      <c r="H446" t="s">
        <v>808</v>
      </c>
      <c r="I446" s="12" t="s">
        <v>1107</v>
      </c>
      <c r="K446" s="12" t="s">
        <v>1062</v>
      </c>
      <c r="L446" s="12" t="s">
        <v>1110</v>
      </c>
      <c r="M446" s="12" t="s">
        <v>838</v>
      </c>
      <c r="N446" s="12" t="s">
        <v>1190</v>
      </c>
      <c r="P446" s="16">
        <v>5.2360301069999989E-4</v>
      </c>
      <c r="Q446" s="22">
        <v>1</v>
      </c>
      <c r="R446" s="16">
        <v>3.8480444825006021E-4</v>
      </c>
    </row>
    <row r="447" spans="1:18" x14ac:dyDescent="0.45">
      <c r="A447" s="7">
        <v>331</v>
      </c>
      <c r="B447" s="7" t="s">
        <v>1637</v>
      </c>
      <c r="C447" s="7" t="s">
        <v>1090</v>
      </c>
      <c r="D447" s="7" t="s">
        <v>1097</v>
      </c>
      <c r="E447" t="s">
        <v>950</v>
      </c>
      <c r="F447" t="s">
        <v>987</v>
      </c>
      <c r="G447" t="s">
        <v>834</v>
      </c>
      <c r="H447" t="s">
        <v>808</v>
      </c>
      <c r="I447" s="12" t="s">
        <v>1107</v>
      </c>
      <c r="K447" s="12" t="s">
        <v>1062</v>
      </c>
      <c r="L447" s="12" t="s">
        <v>1110</v>
      </c>
      <c r="M447" s="12" t="s">
        <v>838</v>
      </c>
      <c r="N447" s="12" t="s">
        <v>1190</v>
      </c>
      <c r="P447" s="16">
        <v>5.2360301069999989E-4</v>
      </c>
      <c r="Q447" s="22">
        <v>1</v>
      </c>
      <c r="R447" s="16">
        <v>3.8480444825006021E-4</v>
      </c>
    </row>
    <row r="448" spans="1:18" x14ac:dyDescent="0.45">
      <c r="A448" s="7">
        <v>332</v>
      </c>
      <c r="B448" s="7" t="s">
        <v>1642</v>
      </c>
      <c r="C448" s="7" t="s">
        <v>962</v>
      </c>
      <c r="D448" s="7" t="s">
        <v>963</v>
      </c>
      <c r="E448" t="s">
        <v>964</v>
      </c>
      <c r="F448" t="s">
        <v>995</v>
      </c>
      <c r="G448" t="s">
        <v>834</v>
      </c>
      <c r="H448" t="s">
        <v>808</v>
      </c>
      <c r="I448" s="12" t="s">
        <v>1107</v>
      </c>
      <c r="K448" s="12" t="s">
        <v>1062</v>
      </c>
      <c r="L448" s="12" t="s">
        <v>1110</v>
      </c>
      <c r="M448" s="12" t="s">
        <v>838</v>
      </c>
      <c r="N448" s="12" t="s">
        <v>1190</v>
      </c>
      <c r="O448" t="s">
        <v>965</v>
      </c>
      <c r="P448" s="16">
        <v>5.2360301069999989E-4</v>
      </c>
      <c r="Q448" s="22">
        <v>1</v>
      </c>
      <c r="R448" s="16">
        <v>3.8480444825006021E-4</v>
      </c>
    </row>
    <row r="449" spans="1:18" x14ac:dyDescent="0.45">
      <c r="A449" s="7">
        <v>333</v>
      </c>
      <c r="B449" s="7" t="s">
        <v>535</v>
      </c>
      <c r="C449" s="3" t="s">
        <v>635</v>
      </c>
      <c r="D449" s="9" t="s">
        <v>548</v>
      </c>
      <c r="E449" t="s">
        <v>536</v>
      </c>
      <c r="F449" t="s">
        <v>988</v>
      </c>
      <c r="G449" t="s">
        <v>834</v>
      </c>
      <c r="H449" t="s">
        <v>808</v>
      </c>
      <c r="I449" s="12" t="s">
        <v>1107</v>
      </c>
      <c r="K449" s="12" t="s">
        <v>1062</v>
      </c>
      <c r="L449" s="12" t="s">
        <v>1110</v>
      </c>
      <c r="M449" t="s">
        <v>836</v>
      </c>
      <c r="N449" s="12" t="s">
        <v>1190</v>
      </c>
      <c r="O449" t="s">
        <v>537</v>
      </c>
      <c r="P449" s="16">
        <v>3.4906867380000007E-4</v>
      </c>
      <c r="Q449" s="22">
        <v>1</v>
      </c>
      <c r="R449" s="16">
        <v>2.565362988333736E-4</v>
      </c>
    </row>
    <row r="450" spans="1:18" x14ac:dyDescent="0.45">
      <c r="A450" s="7">
        <v>334</v>
      </c>
      <c r="B450" s="7" t="s">
        <v>77</v>
      </c>
      <c r="C450" s="7" t="s">
        <v>629</v>
      </c>
      <c r="D450" s="7" t="s">
        <v>1205</v>
      </c>
      <c r="E450" t="s">
        <v>76</v>
      </c>
      <c r="F450" t="s">
        <v>988</v>
      </c>
      <c r="G450" t="s">
        <v>834</v>
      </c>
      <c r="H450" t="s">
        <v>808</v>
      </c>
      <c r="I450" s="12" t="s">
        <v>1107</v>
      </c>
      <c r="K450" s="12" t="s">
        <v>1062</v>
      </c>
      <c r="L450" t="s">
        <v>1111</v>
      </c>
      <c r="M450" s="12" t="s">
        <v>838</v>
      </c>
      <c r="N450" s="12" t="s">
        <v>1190</v>
      </c>
      <c r="O450" t="s">
        <v>81</v>
      </c>
      <c r="P450" s="16">
        <v>2.4640141680000005E-4</v>
      </c>
      <c r="Q450" s="22">
        <v>1</v>
      </c>
      <c r="R450" s="16">
        <v>1.8108444623532254E-4</v>
      </c>
    </row>
    <row r="451" spans="1:18" x14ac:dyDescent="0.45">
      <c r="A451" s="7">
        <v>335</v>
      </c>
      <c r="B451" s="7" t="s">
        <v>30</v>
      </c>
      <c r="C451" s="7" t="s">
        <v>630</v>
      </c>
      <c r="D451" s="7" t="s">
        <v>1204</v>
      </c>
      <c r="E451" t="s">
        <v>31</v>
      </c>
      <c r="F451" t="s">
        <v>988</v>
      </c>
      <c r="G451" t="s">
        <v>834</v>
      </c>
      <c r="H451" t="s">
        <v>808</v>
      </c>
      <c r="I451" s="12" t="s">
        <v>1107</v>
      </c>
      <c r="K451" s="12" t="s">
        <v>1062</v>
      </c>
      <c r="L451" t="s">
        <v>1111</v>
      </c>
      <c r="M451" s="12" t="s">
        <v>838</v>
      </c>
      <c r="N451" s="12" t="s">
        <v>1190</v>
      </c>
      <c r="O451" t="s">
        <v>32</v>
      </c>
      <c r="P451" s="16">
        <v>2.4640141680000005E-4</v>
      </c>
      <c r="Q451" s="22">
        <v>1</v>
      </c>
      <c r="R451" s="16">
        <v>1.8108444623532254E-4</v>
      </c>
    </row>
    <row r="452" spans="1:18" x14ac:dyDescent="0.45">
      <c r="A452" s="7">
        <v>336</v>
      </c>
      <c r="B452" s="7" t="s">
        <v>185</v>
      </c>
      <c r="C452" s="9" t="s">
        <v>169</v>
      </c>
      <c r="D452" s="9" t="s">
        <v>826</v>
      </c>
      <c r="E452" t="s">
        <v>168</v>
      </c>
      <c r="F452" t="s">
        <v>988</v>
      </c>
      <c r="G452" t="s">
        <v>834</v>
      </c>
      <c r="H452" t="s">
        <v>783</v>
      </c>
      <c r="I452" s="12" t="s">
        <v>1107</v>
      </c>
      <c r="K452" s="12" t="s">
        <v>1062</v>
      </c>
      <c r="L452" s="12" t="s">
        <v>1110</v>
      </c>
      <c r="M452" s="12" t="s">
        <v>838</v>
      </c>
      <c r="N452" s="14" t="s">
        <v>997</v>
      </c>
      <c r="O452" t="s">
        <v>167</v>
      </c>
      <c r="P452" s="16">
        <v>5.0773625279999996E-4</v>
      </c>
      <c r="Q452" s="22">
        <v>1</v>
      </c>
      <c r="R452" s="16">
        <v>3.7314370739399786E-4</v>
      </c>
    </row>
    <row r="453" spans="1:18" x14ac:dyDescent="0.45">
      <c r="A453" s="7">
        <v>337</v>
      </c>
      <c r="B453" s="7" t="s">
        <v>85</v>
      </c>
      <c r="C453" s="7" t="s">
        <v>48</v>
      </c>
      <c r="D453" s="7" t="s">
        <v>288</v>
      </c>
      <c r="E453" t="s">
        <v>86</v>
      </c>
      <c r="F453" t="s">
        <v>988</v>
      </c>
      <c r="G453" t="s">
        <v>834</v>
      </c>
      <c r="H453" t="s">
        <v>783</v>
      </c>
      <c r="I453" s="12" t="s">
        <v>1107</v>
      </c>
      <c r="K453" s="12" t="s">
        <v>1062</v>
      </c>
      <c r="L453" s="12" t="s">
        <v>1110</v>
      </c>
      <c r="M453" s="12" t="s">
        <v>838</v>
      </c>
      <c r="N453" s="12" t="s">
        <v>1190</v>
      </c>
      <c r="O453" t="s">
        <v>49</v>
      </c>
      <c r="P453" s="16">
        <v>5.0773625279999996E-4</v>
      </c>
      <c r="Q453" s="22">
        <v>1</v>
      </c>
      <c r="R453" s="16">
        <v>3.7314370739399786E-4</v>
      </c>
    </row>
    <row r="454" spans="1:18" x14ac:dyDescent="0.45">
      <c r="A454" s="7">
        <v>338</v>
      </c>
      <c r="B454" s="7" t="s">
        <v>184</v>
      </c>
      <c r="C454" s="7" t="s">
        <v>172</v>
      </c>
      <c r="D454" s="7" t="s">
        <v>261</v>
      </c>
      <c r="E454" t="s">
        <v>171</v>
      </c>
      <c r="F454" t="s">
        <v>988</v>
      </c>
      <c r="G454" t="s">
        <v>834</v>
      </c>
      <c r="H454" t="s">
        <v>783</v>
      </c>
      <c r="I454" s="12" t="s">
        <v>1107</v>
      </c>
      <c r="K454" s="12" t="s">
        <v>1062</v>
      </c>
      <c r="L454" s="12" t="s">
        <v>1110</v>
      </c>
      <c r="M454" s="12" t="s">
        <v>838</v>
      </c>
      <c r="N454" s="12" t="s">
        <v>1190</v>
      </c>
      <c r="O454" t="s">
        <v>170</v>
      </c>
      <c r="P454" s="16">
        <v>5.0773625279999996E-4</v>
      </c>
      <c r="Q454" s="22">
        <v>1</v>
      </c>
      <c r="R454" s="16">
        <v>3.7314370739399786E-4</v>
      </c>
    </row>
    <row r="455" spans="1:18" x14ac:dyDescent="0.45">
      <c r="A455" s="7">
        <v>339</v>
      </c>
      <c r="B455" s="7" t="s">
        <v>114</v>
      </c>
      <c r="C455" s="7" t="s">
        <v>738</v>
      </c>
      <c r="D455" s="7" t="s">
        <v>289</v>
      </c>
      <c r="E455" s="2" t="s">
        <v>117</v>
      </c>
      <c r="F455" t="s">
        <v>988</v>
      </c>
      <c r="G455" t="s">
        <v>834</v>
      </c>
      <c r="H455" t="s">
        <v>783</v>
      </c>
      <c r="I455" s="12" t="s">
        <v>1107</v>
      </c>
      <c r="J455" s="2"/>
      <c r="K455" s="12" t="s">
        <v>1062</v>
      </c>
      <c r="L455" s="12" t="s">
        <v>1110</v>
      </c>
      <c r="M455" t="s">
        <v>836</v>
      </c>
      <c r="N455" s="12" t="s">
        <v>1190</v>
      </c>
      <c r="O455" s="2" t="s">
        <v>120</v>
      </c>
      <c r="P455" s="16">
        <v>1.2693406319999999E-4</v>
      </c>
      <c r="Q455" s="22">
        <v>1</v>
      </c>
      <c r="R455" s="16">
        <v>9.3285926848499465E-5</v>
      </c>
    </row>
    <row r="456" spans="1:18" x14ac:dyDescent="0.45">
      <c r="A456" s="7">
        <v>340</v>
      </c>
      <c r="B456" s="7" t="s">
        <v>181</v>
      </c>
      <c r="C456" s="7" t="s">
        <v>182</v>
      </c>
      <c r="D456" s="7" t="s">
        <v>827</v>
      </c>
      <c r="E456" t="s">
        <v>174</v>
      </c>
      <c r="F456" t="s">
        <v>988</v>
      </c>
      <c r="G456" t="s">
        <v>834</v>
      </c>
      <c r="H456" t="s">
        <v>783</v>
      </c>
      <c r="I456" s="12" t="s">
        <v>1107</v>
      </c>
      <c r="K456" s="12" t="s">
        <v>1062</v>
      </c>
      <c r="L456" t="s">
        <v>1111</v>
      </c>
      <c r="M456" s="12" t="s">
        <v>838</v>
      </c>
      <c r="N456" s="12" t="s">
        <v>1190</v>
      </c>
      <c r="O456" t="s">
        <v>173</v>
      </c>
      <c r="P456" s="16">
        <v>8.9600515200000008E-5</v>
      </c>
      <c r="Q456" s="22">
        <v>1</v>
      </c>
      <c r="R456" s="16">
        <v>6.5848889540117276E-5</v>
      </c>
    </row>
    <row r="457" spans="1:18" x14ac:dyDescent="0.45">
      <c r="A457" s="7">
        <v>342</v>
      </c>
      <c r="B457" s="7" t="s">
        <v>1209</v>
      </c>
      <c r="C457" s="7" t="s">
        <v>599</v>
      </c>
      <c r="D457" s="7" t="s">
        <v>802</v>
      </c>
      <c r="E457" t="s">
        <v>538</v>
      </c>
      <c r="F457" t="s">
        <v>992</v>
      </c>
      <c r="G457" t="s">
        <v>927</v>
      </c>
      <c r="H457" t="s">
        <v>808</v>
      </c>
      <c r="I457" s="12" t="s">
        <v>1107</v>
      </c>
      <c r="K457" s="12" t="s">
        <v>1062</v>
      </c>
      <c r="L457" s="12" t="s">
        <v>1110</v>
      </c>
      <c r="M457" s="12" t="s">
        <v>838</v>
      </c>
      <c r="N457" s="12" t="s">
        <v>1190</v>
      </c>
      <c r="O457" t="s">
        <v>539</v>
      </c>
      <c r="P457" s="16">
        <v>2.3271244919999997E-4</v>
      </c>
      <c r="Q457" s="22">
        <v>1</v>
      </c>
      <c r="R457" s="16">
        <v>1.71024199222249E-4</v>
      </c>
    </row>
    <row r="458" spans="1:18" x14ac:dyDescent="0.45">
      <c r="A458" s="7">
        <v>345</v>
      </c>
      <c r="B458" s="7" t="s">
        <v>931</v>
      </c>
      <c r="C458" s="7" t="s">
        <v>877</v>
      </c>
      <c r="D458" s="7" t="s">
        <v>878</v>
      </c>
      <c r="E458" t="s">
        <v>879</v>
      </c>
      <c r="F458" t="s">
        <v>995</v>
      </c>
      <c r="G458" t="s">
        <v>927</v>
      </c>
      <c r="H458" t="s">
        <v>808</v>
      </c>
      <c r="I458" s="12" t="s">
        <v>1107</v>
      </c>
      <c r="K458" s="12" t="s">
        <v>1062</v>
      </c>
      <c r="L458" s="12" t="s">
        <v>1110</v>
      </c>
      <c r="M458" s="12" t="s">
        <v>838</v>
      </c>
      <c r="N458" s="12" t="s">
        <v>1190</v>
      </c>
      <c r="O458" t="s">
        <v>880</v>
      </c>
      <c r="P458" s="16">
        <v>2.3271244919999997E-4</v>
      </c>
      <c r="Q458" s="22">
        <v>1</v>
      </c>
      <c r="R458" s="16">
        <v>1.71024199222249E-4</v>
      </c>
    </row>
    <row r="459" spans="1:18" x14ac:dyDescent="0.45">
      <c r="A459" s="7">
        <v>346</v>
      </c>
      <c r="B459" s="7" t="s">
        <v>1207</v>
      </c>
      <c r="C459" s="7" t="s">
        <v>1609</v>
      </c>
      <c r="D459" s="7" t="s">
        <v>1208</v>
      </c>
      <c r="E459" t="s">
        <v>1213</v>
      </c>
      <c r="F459" t="s">
        <v>993</v>
      </c>
      <c r="G459" t="s">
        <v>927</v>
      </c>
      <c r="H459" t="s">
        <v>808</v>
      </c>
      <c r="I459" s="12" t="s">
        <v>1107</v>
      </c>
      <c r="K459" s="12" t="s">
        <v>1062</v>
      </c>
      <c r="L459" s="12" t="s">
        <v>1110</v>
      </c>
      <c r="M459" t="s">
        <v>836</v>
      </c>
      <c r="N459" s="12" t="s">
        <v>1190</v>
      </c>
      <c r="O459" t="s">
        <v>603</v>
      </c>
      <c r="P459" s="16">
        <v>5.8178112299999992E-5</v>
      </c>
      <c r="Q459" s="22">
        <v>1</v>
      </c>
      <c r="R459" s="16">
        <v>4.2756049805562251E-5</v>
      </c>
    </row>
    <row r="460" spans="1:18" x14ac:dyDescent="0.45">
      <c r="A460" s="7">
        <v>373</v>
      </c>
      <c r="B460" s="7" t="s">
        <v>1559</v>
      </c>
      <c r="C460" s="7" t="s">
        <v>1161</v>
      </c>
      <c r="D460" s="7" t="s">
        <v>1558</v>
      </c>
      <c r="F460" t="s">
        <v>984</v>
      </c>
      <c r="G460" t="s">
        <v>833</v>
      </c>
      <c r="H460" t="s">
        <v>808</v>
      </c>
      <c r="I460" s="12" t="s">
        <v>1107</v>
      </c>
      <c r="K460" s="12" t="s">
        <v>1062</v>
      </c>
      <c r="L460" t="s">
        <v>1111</v>
      </c>
      <c r="M460" s="12" t="s">
        <v>838</v>
      </c>
      <c r="N460" s="14" t="s">
        <v>1003</v>
      </c>
      <c r="P460" s="16">
        <v>2.8584420480000009E-4</v>
      </c>
      <c r="Q460" s="22">
        <v>1</v>
      </c>
      <c r="R460" s="16">
        <v>2.1007159864587323E-4</v>
      </c>
    </row>
    <row r="461" spans="1:18" x14ac:dyDescent="0.45">
      <c r="A461" s="7">
        <v>374</v>
      </c>
      <c r="B461" s="7" t="s">
        <v>1559</v>
      </c>
      <c r="C461" s="7" t="s">
        <v>1161</v>
      </c>
      <c r="D461" s="7" t="s">
        <v>1558</v>
      </c>
      <c r="F461" t="s">
        <v>971</v>
      </c>
      <c r="G461" t="s">
        <v>833</v>
      </c>
      <c r="H461" t="s">
        <v>808</v>
      </c>
      <c r="I461" s="12" t="s">
        <v>1107</v>
      </c>
      <c r="K461" s="12" t="s">
        <v>1062</v>
      </c>
      <c r="L461" t="s">
        <v>1111</v>
      </c>
      <c r="M461" s="12" t="s">
        <v>838</v>
      </c>
      <c r="N461" s="14" t="s">
        <v>1003</v>
      </c>
      <c r="P461" s="16">
        <v>1.6078736520000003E-4</v>
      </c>
      <c r="Q461" s="22">
        <v>1</v>
      </c>
      <c r="R461" s="16">
        <v>1.1816527423830369E-4</v>
      </c>
    </row>
    <row r="462" spans="1:18" x14ac:dyDescent="0.45">
      <c r="A462" s="7">
        <v>375</v>
      </c>
      <c r="B462" s="7" t="s">
        <v>1559</v>
      </c>
      <c r="C462" s="7" t="s">
        <v>1161</v>
      </c>
      <c r="D462" s="7" t="s">
        <v>1558</v>
      </c>
      <c r="F462" t="s">
        <v>985</v>
      </c>
      <c r="G462" t="s">
        <v>833</v>
      </c>
      <c r="H462" t="s">
        <v>808</v>
      </c>
      <c r="I462" s="12" t="s">
        <v>1107</v>
      </c>
      <c r="K462" s="12" t="s">
        <v>1062</v>
      </c>
      <c r="L462" t="s">
        <v>1111</v>
      </c>
      <c r="M462" s="12" t="s">
        <v>838</v>
      </c>
      <c r="N462" s="14" t="s">
        <v>1003</v>
      </c>
      <c r="P462" s="16">
        <v>2.468654496E-4</v>
      </c>
      <c r="Q462" s="22">
        <v>1</v>
      </c>
      <c r="R462" s="16">
        <v>1.8142547155779957E-4</v>
      </c>
    </row>
    <row r="463" spans="1:18" x14ac:dyDescent="0.45">
      <c r="A463" s="7">
        <v>376</v>
      </c>
      <c r="B463" s="7" t="s">
        <v>1559</v>
      </c>
      <c r="C463" s="7" t="s">
        <v>1161</v>
      </c>
      <c r="D463" s="7" t="s">
        <v>1558</v>
      </c>
      <c r="F463" t="s">
        <v>986</v>
      </c>
      <c r="G463" t="s">
        <v>833</v>
      </c>
      <c r="H463" t="s">
        <v>808</v>
      </c>
      <c r="I463" s="12" t="s">
        <v>1107</v>
      </c>
      <c r="K463" s="12" t="s">
        <v>1062</v>
      </c>
      <c r="L463" t="s">
        <v>1111</v>
      </c>
      <c r="M463" s="12" t="s">
        <v>838</v>
      </c>
      <c r="N463" s="14" t="s">
        <v>1003</v>
      </c>
      <c r="P463" s="16">
        <v>1.3886181540000004E-4</v>
      </c>
      <c r="Q463" s="22">
        <v>1</v>
      </c>
      <c r="R463" s="16">
        <v>1.0205182775126228E-4</v>
      </c>
    </row>
    <row r="464" spans="1:18" x14ac:dyDescent="0.45">
      <c r="A464" s="7">
        <v>377</v>
      </c>
      <c r="B464" s="7" t="s">
        <v>1559</v>
      </c>
      <c r="C464" s="7" t="s">
        <v>1161</v>
      </c>
      <c r="D464" s="7" t="s">
        <v>1558</v>
      </c>
      <c r="F464" t="s">
        <v>1010</v>
      </c>
      <c r="G464" t="s">
        <v>833</v>
      </c>
      <c r="H464" t="s">
        <v>808</v>
      </c>
      <c r="I464" s="12" t="s">
        <v>1107</v>
      </c>
      <c r="K464" s="12" t="s">
        <v>1062</v>
      </c>
      <c r="L464" t="s">
        <v>1111</v>
      </c>
      <c r="M464" s="12" t="s">
        <v>838</v>
      </c>
      <c r="N464" s="14" t="s">
        <v>1003</v>
      </c>
      <c r="P464" s="16">
        <v>1.9164554640000006E-4</v>
      </c>
      <c r="Q464" s="22">
        <v>1</v>
      </c>
      <c r="R464" s="16">
        <v>1.4084345818302866E-4</v>
      </c>
    </row>
    <row r="465" spans="1:19" x14ac:dyDescent="0.45">
      <c r="A465" s="7">
        <v>378</v>
      </c>
      <c r="B465" s="7" t="s">
        <v>1559</v>
      </c>
      <c r="C465" s="7" t="s">
        <v>1161</v>
      </c>
      <c r="D465" s="7" t="s">
        <v>1558</v>
      </c>
      <c r="F465" t="s">
        <v>987</v>
      </c>
      <c r="G465" t="s">
        <v>833</v>
      </c>
      <c r="H465" t="s">
        <v>808</v>
      </c>
      <c r="I465" s="12" t="s">
        <v>1107</v>
      </c>
      <c r="K465" s="12" t="s">
        <v>1062</v>
      </c>
      <c r="L465" t="s">
        <v>1111</v>
      </c>
      <c r="M465" s="12" t="s">
        <v>838</v>
      </c>
      <c r="N465" s="14" t="s">
        <v>1003</v>
      </c>
      <c r="P465" s="16">
        <v>7.1867079899999995E-5</v>
      </c>
      <c r="Q465" s="22">
        <v>1</v>
      </c>
      <c r="R465" s="16">
        <v>5.2816296818635721E-5</v>
      </c>
    </row>
    <row r="466" spans="1:19" x14ac:dyDescent="0.45">
      <c r="A466" s="7">
        <v>409</v>
      </c>
      <c r="B466" s="7" t="s">
        <v>1183</v>
      </c>
      <c r="C466" s="9" t="s">
        <v>1200</v>
      </c>
      <c r="D466" s="9" t="s">
        <v>1218</v>
      </c>
      <c r="E466" t="s">
        <v>1182</v>
      </c>
      <c r="F466" t="s">
        <v>987</v>
      </c>
      <c r="G466" t="s">
        <v>830</v>
      </c>
      <c r="H466" t="s">
        <v>808</v>
      </c>
      <c r="I466" s="12" t="s">
        <v>1107</v>
      </c>
      <c r="J466" s="12"/>
      <c r="K466" s="12" t="s">
        <v>1062</v>
      </c>
      <c r="L466" s="12" t="s">
        <v>1110</v>
      </c>
      <c r="M466" s="12" t="s">
        <v>838</v>
      </c>
      <c r="N466" s="14" t="s">
        <v>1003</v>
      </c>
      <c r="O466" t="s">
        <v>1189</v>
      </c>
      <c r="P466" s="16">
        <v>1.0472060213999998E-3</v>
      </c>
      <c r="Q466">
        <v>1</v>
      </c>
      <c r="R466" s="16">
        <v>7.6960889650012042E-4</v>
      </c>
      <c r="S466" t="s">
        <v>1288</v>
      </c>
    </row>
    <row r="467" spans="1:19" x14ac:dyDescent="0.45">
      <c r="A467" s="7">
        <v>410</v>
      </c>
      <c r="B467" s="7" t="s">
        <v>1149</v>
      </c>
      <c r="C467" s="9" t="s">
        <v>840</v>
      </c>
      <c r="D467" s="7" t="s">
        <v>1219</v>
      </c>
      <c r="E467" t="s">
        <v>977</v>
      </c>
      <c r="F467" t="s">
        <v>987</v>
      </c>
      <c r="G467" t="s">
        <v>830</v>
      </c>
      <c r="H467" t="s">
        <v>808</v>
      </c>
      <c r="I467" s="12" t="s">
        <v>1107</v>
      </c>
      <c r="J467" s="12"/>
      <c r="K467" s="12" t="s">
        <v>1062</v>
      </c>
      <c r="L467" s="12" t="s">
        <v>1110</v>
      </c>
      <c r="M467" s="12" t="s">
        <v>838</v>
      </c>
      <c r="N467" s="14" t="s">
        <v>1003</v>
      </c>
      <c r="O467" t="s">
        <v>1131</v>
      </c>
      <c r="P467" s="16">
        <v>1.0472060213999998E-3</v>
      </c>
      <c r="Q467">
        <v>1</v>
      </c>
      <c r="R467" s="16">
        <v>7.6960889650012042E-4</v>
      </c>
      <c r="S467" t="s">
        <v>1288</v>
      </c>
    </row>
    <row r="468" spans="1:19" x14ac:dyDescent="0.45">
      <c r="A468" s="7">
        <v>438</v>
      </c>
      <c r="B468" s="7" t="s">
        <v>1247</v>
      </c>
      <c r="C468" s="7" t="s">
        <v>1246</v>
      </c>
      <c r="D468" s="7" t="s">
        <v>1245</v>
      </c>
      <c r="E468" t="s">
        <v>1248</v>
      </c>
      <c r="F468" t="s">
        <v>987</v>
      </c>
      <c r="G468" t="s">
        <v>831</v>
      </c>
      <c r="H468" t="s">
        <v>808</v>
      </c>
      <c r="I468" t="s">
        <v>806</v>
      </c>
      <c r="K468" s="12" t="s">
        <v>1062</v>
      </c>
      <c r="L468" t="s">
        <v>1111</v>
      </c>
      <c r="M468" s="12" t="s">
        <v>838</v>
      </c>
      <c r="N468" t="s">
        <v>997</v>
      </c>
      <c r="P468" s="16">
        <v>1.5400088549999996E-4</v>
      </c>
      <c r="Q468" s="22">
        <v>1</v>
      </c>
      <c r="R468" s="16">
        <v>1.1317777889707653E-4</v>
      </c>
    </row>
    <row r="469" spans="1:19" x14ac:dyDescent="0.45">
      <c r="A469" s="7">
        <v>440</v>
      </c>
      <c r="B469" s="7" t="s">
        <v>663</v>
      </c>
      <c r="C469" s="3" t="s">
        <v>1264</v>
      </c>
      <c r="D469" s="3" t="s">
        <v>561</v>
      </c>
      <c r="E469" t="s">
        <v>982</v>
      </c>
      <c r="F469" t="s">
        <v>1010</v>
      </c>
      <c r="G469" t="s">
        <v>831</v>
      </c>
      <c r="H469" t="s">
        <v>808</v>
      </c>
      <c r="I469" s="12" t="s">
        <v>1107</v>
      </c>
      <c r="J469" s="12"/>
      <c r="K469" s="12" t="s">
        <v>1062</v>
      </c>
      <c r="L469" s="12" t="s">
        <v>1111</v>
      </c>
      <c r="M469" s="12" t="s">
        <v>838</v>
      </c>
      <c r="N469" s="14" t="s">
        <v>1259</v>
      </c>
      <c r="O469" t="s">
        <v>1263</v>
      </c>
      <c r="P469" s="16">
        <v>9.5822773199999997E-4</v>
      </c>
      <c r="R469" s="16">
        <v>0</v>
      </c>
    </row>
    <row r="470" spans="1:19" x14ac:dyDescent="0.45">
      <c r="A470" s="7">
        <v>441</v>
      </c>
      <c r="B470" s="7" t="s">
        <v>663</v>
      </c>
      <c r="C470" s="3" t="s">
        <v>1257</v>
      </c>
      <c r="D470" s="3" t="s">
        <v>561</v>
      </c>
      <c r="E470" t="s">
        <v>982</v>
      </c>
      <c r="F470" t="s">
        <v>985</v>
      </c>
      <c r="G470" t="s">
        <v>831</v>
      </c>
      <c r="H470" t="s">
        <v>808</v>
      </c>
      <c r="I470" s="12" t="s">
        <v>1107</v>
      </c>
      <c r="J470" s="12"/>
      <c r="K470" s="12" t="s">
        <v>1062</v>
      </c>
      <c r="L470" s="12" t="s">
        <v>1111</v>
      </c>
      <c r="M470" s="12" t="s">
        <v>838</v>
      </c>
      <c r="N470" s="14" t="s">
        <v>1259</v>
      </c>
      <c r="O470" t="s">
        <v>1261</v>
      </c>
      <c r="P470" s="16">
        <v>1.234327248E-3</v>
      </c>
      <c r="R470" s="16">
        <v>0</v>
      </c>
    </row>
    <row r="471" spans="1:19" x14ac:dyDescent="0.45">
      <c r="A471" s="7">
        <v>442</v>
      </c>
      <c r="B471" s="7" t="s">
        <v>663</v>
      </c>
      <c r="C471" s="3" t="s">
        <v>1257</v>
      </c>
      <c r="D471" s="3" t="s">
        <v>561</v>
      </c>
      <c r="E471" t="s">
        <v>982</v>
      </c>
      <c r="F471" t="s">
        <v>984</v>
      </c>
      <c r="G471" t="s">
        <v>831</v>
      </c>
      <c r="H471" t="s">
        <v>808</v>
      </c>
      <c r="I471" s="12" t="s">
        <v>1107</v>
      </c>
      <c r="J471" s="12"/>
      <c r="K471" s="12" t="s">
        <v>1062</v>
      </c>
      <c r="L471" s="12" t="s">
        <v>1111</v>
      </c>
      <c r="M471" s="12" t="s">
        <v>838</v>
      </c>
      <c r="N471" s="14" t="s">
        <v>1259</v>
      </c>
      <c r="O471" t="s">
        <v>109</v>
      </c>
      <c r="P471" s="16">
        <v>1.429221024E-3</v>
      </c>
      <c r="R471" s="16">
        <v>0</v>
      </c>
    </row>
    <row r="472" spans="1:19" x14ac:dyDescent="0.45">
      <c r="A472" s="7">
        <v>443</v>
      </c>
      <c r="B472" s="7" t="s">
        <v>663</v>
      </c>
      <c r="C472" s="3" t="s">
        <v>617</v>
      </c>
      <c r="D472" s="3" t="s">
        <v>561</v>
      </c>
      <c r="E472" t="s">
        <v>982</v>
      </c>
      <c r="F472" t="s">
        <v>984</v>
      </c>
      <c r="G472" t="s">
        <v>831</v>
      </c>
      <c r="H472" t="s">
        <v>808</v>
      </c>
      <c r="I472" s="12" t="s">
        <v>1107</v>
      </c>
      <c r="J472" s="12"/>
      <c r="K472" s="12" t="s">
        <v>1062</v>
      </c>
      <c r="L472" s="12" t="s">
        <v>1111</v>
      </c>
      <c r="M472" s="12" t="s">
        <v>838</v>
      </c>
      <c r="N472" s="14" t="s">
        <v>1003</v>
      </c>
      <c r="O472" t="s">
        <v>1258</v>
      </c>
      <c r="P472" s="16">
        <v>1.429221024E-3</v>
      </c>
      <c r="Q472">
        <v>1</v>
      </c>
      <c r="R472" s="16">
        <v>1.0503579932293658E-3</v>
      </c>
      <c r="S472" t="s">
        <v>1288</v>
      </c>
    </row>
    <row r="473" spans="1:19" x14ac:dyDescent="0.45">
      <c r="A473" s="7">
        <v>473</v>
      </c>
      <c r="B473" s="7" t="s">
        <v>1508</v>
      </c>
      <c r="C473" s="7" t="s">
        <v>1085</v>
      </c>
      <c r="D473" s="7" t="s">
        <v>1224</v>
      </c>
      <c r="E473" t="s">
        <v>944</v>
      </c>
      <c r="F473" t="s">
        <v>984</v>
      </c>
      <c r="G473" t="s">
        <v>832</v>
      </c>
      <c r="H473" t="s">
        <v>808</v>
      </c>
      <c r="I473" s="12" t="s">
        <v>1107</v>
      </c>
      <c r="J473" s="12"/>
      <c r="K473" s="12" t="s">
        <v>1062</v>
      </c>
      <c r="L473" s="12" t="s">
        <v>1110</v>
      </c>
      <c r="M473" s="12" t="s">
        <v>838</v>
      </c>
      <c r="N473" s="14" t="s">
        <v>1003</v>
      </c>
      <c r="P473" s="16">
        <v>6.2477376192000018E-3</v>
      </c>
      <c r="Q473">
        <v>1</v>
      </c>
      <c r="R473" s="16">
        <v>4.5915649418312296E-3</v>
      </c>
      <c r="S473" t="s">
        <v>1288</v>
      </c>
    </row>
    <row r="474" spans="1:19" x14ac:dyDescent="0.45">
      <c r="A474" s="7">
        <v>474</v>
      </c>
      <c r="B474" s="7" t="s">
        <v>999</v>
      </c>
      <c r="C474" s="7" t="s">
        <v>1086</v>
      </c>
      <c r="D474" s="7" t="s">
        <v>1225</v>
      </c>
      <c r="E474" t="s">
        <v>859</v>
      </c>
      <c r="F474" t="s">
        <v>984</v>
      </c>
      <c r="G474" t="s">
        <v>832</v>
      </c>
      <c r="H474" t="s">
        <v>808</v>
      </c>
      <c r="I474" s="12" t="s">
        <v>1107</v>
      </c>
      <c r="J474" s="12"/>
      <c r="K474" s="12" t="s">
        <v>1062</v>
      </c>
      <c r="L474" s="12" t="s">
        <v>1110</v>
      </c>
      <c r="M474" s="12" t="s">
        <v>838</v>
      </c>
      <c r="N474" s="14" t="s">
        <v>1003</v>
      </c>
      <c r="P474" s="16">
        <v>6.2477376192000018E-3</v>
      </c>
      <c r="Q474">
        <v>1</v>
      </c>
      <c r="R474" s="16">
        <v>4.5915649418312296E-3</v>
      </c>
      <c r="S474" t="s">
        <v>1288</v>
      </c>
    </row>
    <row r="475" spans="1:19" x14ac:dyDescent="0.45">
      <c r="A475" s="7">
        <v>475</v>
      </c>
      <c r="B475" s="7" t="s">
        <v>1508</v>
      </c>
      <c r="C475" s="7" t="s">
        <v>1085</v>
      </c>
      <c r="D475" s="7" t="s">
        <v>1224</v>
      </c>
      <c r="E475" t="s">
        <v>944</v>
      </c>
      <c r="F475" t="s">
        <v>985</v>
      </c>
      <c r="G475" t="s">
        <v>832</v>
      </c>
      <c r="H475" t="s">
        <v>808</v>
      </c>
      <c r="I475" s="12" t="s">
        <v>1107</v>
      </c>
      <c r="J475" s="12"/>
      <c r="K475" s="12" t="s">
        <v>1062</v>
      </c>
      <c r="L475" s="12" t="s">
        <v>1110</v>
      </c>
      <c r="M475" s="12" t="s">
        <v>838</v>
      </c>
      <c r="N475" s="14" t="s">
        <v>1003</v>
      </c>
      <c r="P475" s="16">
        <v>5.3957733984000009E-3</v>
      </c>
      <c r="Q475">
        <v>1</v>
      </c>
      <c r="R475" s="16">
        <v>3.9654424497633338E-3</v>
      </c>
      <c r="S475" t="s">
        <v>1288</v>
      </c>
    </row>
    <row r="476" spans="1:19" x14ac:dyDescent="0.45">
      <c r="A476" s="7">
        <v>476</v>
      </c>
      <c r="B476" s="7" t="s">
        <v>999</v>
      </c>
      <c r="C476" s="7" t="s">
        <v>1086</v>
      </c>
      <c r="D476" s="7" t="s">
        <v>1225</v>
      </c>
      <c r="E476" t="s">
        <v>859</v>
      </c>
      <c r="F476" t="s">
        <v>985</v>
      </c>
      <c r="G476" t="s">
        <v>832</v>
      </c>
      <c r="H476" t="s">
        <v>808</v>
      </c>
      <c r="I476" s="12" t="s">
        <v>1107</v>
      </c>
      <c r="J476" s="12"/>
      <c r="K476" s="12" t="s">
        <v>1062</v>
      </c>
      <c r="L476" s="12" t="s">
        <v>1110</v>
      </c>
      <c r="M476" s="12" t="s">
        <v>838</v>
      </c>
      <c r="N476" s="14" t="s">
        <v>1003</v>
      </c>
      <c r="P476" s="16">
        <v>5.3957733984000009E-3</v>
      </c>
      <c r="Q476">
        <v>1</v>
      </c>
      <c r="R476" s="16">
        <v>3.9654424497633338E-3</v>
      </c>
      <c r="S476" t="s">
        <v>1288</v>
      </c>
    </row>
    <row r="477" spans="1:19" x14ac:dyDescent="0.45">
      <c r="A477" s="7">
        <v>477</v>
      </c>
      <c r="B477" s="7" t="s">
        <v>1509</v>
      </c>
      <c r="C477" s="7" t="s">
        <v>1087</v>
      </c>
      <c r="D477" s="7" t="s">
        <v>1226</v>
      </c>
      <c r="E477" t="s">
        <v>944</v>
      </c>
      <c r="F477" t="s">
        <v>1010</v>
      </c>
      <c r="G477" t="s">
        <v>832</v>
      </c>
      <c r="H477" t="s">
        <v>808</v>
      </c>
      <c r="I477" s="12" t="s">
        <v>1107</v>
      </c>
      <c r="J477" s="12"/>
      <c r="K477" s="12" t="s">
        <v>1062</v>
      </c>
      <c r="L477" s="12" t="s">
        <v>1110</v>
      </c>
      <c r="M477" s="12" t="s">
        <v>838</v>
      </c>
      <c r="N477" s="14" t="s">
        <v>1003</v>
      </c>
      <c r="O477" t="s">
        <v>945</v>
      </c>
      <c r="P477" s="16">
        <v>4.1888240856E-3</v>
      </c>
      <c r="Q477">
        <v>1</v>
      </c>
      <c r="R477" s="16">
        <v>3.0784355860004825E-3</v>
      </c>
      <c r="S477" t="s">
        <v>1288</v>
      </c>
    </row>
    <row r="478" spans="1:19" x14ac:dyDescent="0.45">
      <c r="A478" s="7">
        <v>478</v>
      </c>
      <c r="B478" s="7" t="s">
        <v>1083</v>
      </c>
      <c r="C478" s="7" t="s">
        <v>1086</v>
      </c>
      <c r="D478" s="7" t="s">
        <v>1225</v>
      </c>
      <c r="E478" t="s">
        <v>859</v>
      </c>
      <c r="F478" t="s">
        <v>1010</v>
      </c>
      <c r="G478" t="s">
        <v>832</v>
      </c>
      <c r="H478" t="s">
        <v>808</v>
      </c>
      <c r="I478" s="12" t="s">
        <v>1107</v>
      </c>
      <c r="J478" s="12"/>
      <c r="K478" s="12" t="s">
        <v>1062</v>
      </c>
      <c r="L478" s="12" t="s">
        <v>1110</v>
      </c>
      <c r="M478" s="12" t="s">
        <v>838</v>
      </c>
      <c r="N478" s="14" t="s">
        <v>1003</v>
      </c>
      <c r="O478" t="s">
        <v>860</v>
      </c>
      <c r="P478" s="16">
        <v>4.1888240856E-3</v>
      </c>
      <c r="Q478">
        <v>1</v>
      </c>
      <c r="R478" s="16">
        <v>3.0784355860004825E-3</v>
      </c>
      <c r="S478" t="s">
        <v>1288</v>
      </c>
    </row>
    <row r="479" spans="1:19" x14ac:dyDescent="0.45">
      <c r="A479" s="7">
        <v>485</v>
      </c>
      <c r="B479" s="7" t="s">
        <v>1546</v>
      </c>
      <c r="C479" s="7" t="s">
        <v>1626</v>
      </c>
      <c r="D479" s="7" t="s">
        <v>1553</v>
      </c>
      <c r="F479" t="s">
        <v>984</v>
      </c>
      <c r="G479" t="s">
        <v>833</v>
      </c>
      <c r="H479" t="s">
        <v>808</v>
      </c>
      <c r="I479" s="12" t="s">
        <v>1107</v>
      </c>
      <c r="J479" s="12"/>
      <c r="K479" s="12" t="s">
        <v>1062</v>
      </c>
      <c r="L479" s="12" t="s">
        <v>1110</v>
      </c>
      <c r="M479" s="12" t="s">
        <v>838</v>
      </c>
      <c r="N479" s="14" t="s">
        <v>1003</v>
      </c>
      <c r="O479" t="s">
        <v>640</v>
      </c>
      <c r="P479" s="16">
        <v>1.6197838272000004E-3</v>
      </c>
      <c r="Q479">
        <v>1</v>
      </c>
      <c r="R479" s="16">
        <v>1.1904057256599482E-3</v>
      </c>
      <c r="S479" t="s">
        <v>1288</v>
      </c>
    </row>
    <row r="480" spans="1:19" x14ac:dyDescent="0.45">
      <c r="A480" s="7">
        <v>486</v>
      </c>
      <c r="B480" s="7" t="s">
        <v>1630</v>
      </c>
      <c r="C480" s="7" t="s">
        <v>1560</v>
      </c>
      <c r="D480" s="7" t="s">
        <v>1561</v>
      </c>
      <c r="F480" t="s">
        <v>984</v>
      </c>
      <c r="G480" t="s">
        <v>833</v>
      </c>
      <c r="H480" t="s">
        <v>808</v>
      </c>
      <c r="I480" s="12" t="s">
        <v>1107</v>
      </c>
      <c r="J480" s="12"/>
      <c r="K480" s="12" t="s">
        <v>1062</v>
      </c>
      <c r="L480" s="12" t="s">
        <v>1110</v>
      </c>
      <c r="M480" s="12" t="s">
        <v>838</v>
      </c>
      <c r="N480" s="14" t="s">
        <v>1003</v>
      </c>
      <c r="P480" s="16">
        <v>1.6197838272000004E-3</v>
      </c>
      <c r="Q480">
        <v>1</v>
      </c>
      <c r="R480" s="16">
        <v>1.1904057256599482E-3</v>
      </c>
      <c r="S480" t="s">
        <v>1288</v>
      </c>
    </row>
    <row r="481" spans="1:19" x14ac:dyDescent="0.45">
      <c r="A481" s="7">
        <v>487</v>
      </c>
      <c r="B481" s="7" t="s">
        <v>1546</v>
      </c>
      <c r="C481" s="7" t="s">
        <v>1626</v>
      </c>
      <c r="D481" s="7" t="s">
        <v>1553</v>
      </c>
      <c r="F481" t="s">
        <v>985</v>
      </c>
      <c r="G481" t="s">
        <v>833</v>
      </c>
      <c r="H481" t="s">
        <v>808</v>
      </c>
      <c r="I481" s="12" t="s">
        <v>1107</v>
      </c>
      <c r="J481" s="12"/>
      <c r="K481" s="12" t="s">
        <v>1062</v>
      </c>
      <c r="L481" s="12" t="s">
        <v>1110</v>
      </c>
      <c r="M481" s="12" t="s">
        <v>838</v>
      </c>
      <c r="N481" s="14" t="s">
        <v>1003</v>
      </c>
      <c r="P481" s="16">
        <v>1.3989042144000002E-3</v>
      </c>
      <c r="Q481">
        <v>1</v>
      </c>
      <c r="R481" s="16">
        <v>1.0280776721608644E-3</v>
      </c>
      <c r="S481" t="s">
        <v>1288</v>
      </c>
    </row>
    <row r="482" spans="1:19" x14ac:dyDescent="0.45">
      <c r="A482" s="7">
        <v>488</v>
      </c>
      <c r="B482" s="7" t="s">
        <v>1630</v>
      </c>
      <c r="C482" s="7" t="s">
        <v>1560</v>
      </c>
      <c r="D482" s="7" t="s">
        <v>1561</v>
      </c>
      <c r="F482" t="s">
        <v>985</v>
      </c>
      <c r="G482" t="s">
        <v>833</v>
      </c>
      <c r="H482" t="s">
        <v>808</v>
      </c>
      <c r="I482" s="12" t="s">
        <v>1107</v>
      </c>
      <c r="J482" s="12"/>
      <c r="K482" s="12" t="s">
        <v>1062</v>
      </c>
      <c r="L482" s="12" t="s">
        <v>1110</v>
      </c>
      <c r="M482" s="12" t="s">
        <v>838</v>
      </c>
      <c r="N482" s="14" t="s">
        <v>1003</v>
      </c>
      <c r="P482" s="16">
        <v>1.3989042144000002E-3</v>
      </c>
      <c r="Q482">
        <v>1</v>
      </c>
      <c r="R482" s="16">
        <v>1.0280776721608644E-3</v>
      </c>
      <c r="S482" t="s">
        <v>1288</v>
      </c>
    </row>
    <row r="483" spans="1:19" x14ac:dyDescent="0.45">
      <c r="A483" s="7">
        <v>489</v>
      </c>
      <c r="B483" s="7" t="s">
        <v>1546</v>
      </c>
      <c r="C483" s="7" t="s">
        <v>1626</v>
      </c>
      <c r="D483" s="7" t="s">
        <v>1553</v>
      </c>
      <c r="F483" t="s">
        <v>1010</v>
      </c>
      <c r="G483" t="s">
        <v>833</v>
      </c>
      <c r="H483" t="s">
        <v>808</v>
      </c>
      <c r="I483" s="12" t="s">
        <v>1107</v>
      </c>
      <c r="J483" s="12"/>
      <c r="K483" s="12" t="s">
        <v>1062</v>
      </c>
      <c r="L483" s="12" t="s">
        <v>1110</v>
      </c>
      <c r="M483" s="12" t="s">
        <v>838</v>
      </c>
      <c r="N483" s="14" t="s">
        <v>1003</v>
      </c>
      <c r="P483" s="16">
        <v>1.0859914296000002E-3</v>
      </c>
      <c r="Q483">
        <v>1</v>
      </c>
      <c r="R483" s="16">
        <v>7.9811292970382891E-4</v>
      </c>
      <c r="S483" t="s">
        <v>1288</v>
      </c>
    </row>
    <row r="484" spans="1:19" x14ac:dyDescent="0.45">
      <c r="A484" s="7">
        <v>490</v>
      </c>
      <c r="B484" s="7" t="s">
        <v>1630</v>
      </c>
      <c r="C484" s="7" t="s">
        <v>1560</v>
      </c>
      <c r="D484" s="7" t="s">
        <v>1561</v>
      </c>
      <c r="F484" t="s">
        <v>1010</v>
      </c>
      <c r="G484" t="s">
        <v>833</v>
      </c>
      <c r="H484" t="s">
        <v>808</v>
      </c>
      <c r="I484" s="12" t="s">
        <v>1107</v>
      </c>
      <c r="J484" s="12"/>
      <c r="K484" s="12" t="s">
        <v>1062</v>
      </c>
      <c r="L484" s="12" t="s">
        <v>1110</v>
      </c>
      <c r="M484" s="12" t="s">
        <v>838</v>
      </c>
      <c r="N484" s="14" t="s">
        <v>1003</v>
      </c>
      <c r="P484" s="16">
        <v>1.0859914296000002E-3</v>
      </c>
      <c r="Q484">
        <v>1</v>
      </c>
      <c r="R484" s="16">
        <v>7.9811292970382891E-4</v>
      </c>
      <c r="S484" t="s">
        <v>1288</v>
      </c>
    </row>
    <row r="485" spans="1:19" x14ac:dyDescent="0.45">
      <c r="A485" s="7">
        <v>491</v>
      </c>
      <c r="B485" s="7" t="s">
        <v>1546</v>
      </c>
      <c r="C485" s="7" t="s">
        <v>1626</v>
      </c>
      <c r="D485" s="7" t="s">
        <v>1553</v>
      </c>
      <c r="F485" t="s">
        <v>971</v>
      </c>
      <c r="G485" t="s">
        <v>833</v>
      </c>
      <c r="H485" t="s">
        <v>808</v>
      </c>
      <c r="I485" s="12" t="s">
        <v>1107</v>
      </c>
      <c r="J485" s="12"/>
      <c r="K485" s="12" t="s">
        <v>1062</v>
      </c>
      <c r="L485" s="12" t="s">
        <v>1110</v>
      </c>
      <c r="M485" s="12" t="s">
        <v>838</v>
      </c>
      <c r="N485" s="14" t="s">
        <v>1003</v>
      </c>
      <c r="P485" s="16">
        <v>9.1112840280000026E-4</v>
      </c>
      <c r="Q485">
        <v>1</v>
      </c>
      <c r="R485" s="16">
        <v>6.6960322068372092E-4</v>
      </c>
      <c r="S485" t="s">
        <v>1288</v>
      </c>
    </row>
    <row r="486" spans="1:19" x14ac:dyDescent="0.45">
      <c r="A486" s="7">
        <v>492</v>
      </c>
      <c r="B486" s="7" t="s">
        <v>1630</v>
      </c>
      <c r="C486" s="7" t="s">
        <v>1560</v>
      </c>
      <c r="D486" s="7" t="s">
        <v>1561</v>
      </c>
      <c r="F486" t="s">
        <v>971</v>
      </c>
      <c r="G486" t="s">
        <v>833</v>
      </c>
      <c r="H486" t="s">
        <v>808</v>
      </c>
      <c r="I486" s="12" t="s">
        <v>1107</v>
      </c>
      <c r="J486" s="12"/>
      <c r="K486" s="12" t="s">
        <v>1062</v>
      </c>
      <c r="L486" s="12" t="s">
        <v>1110</v>
      </c>
      <c r="M486" s="12" t="s">
        <v>838</v>
      </c>
      <c r="N486" s="14" t="s">
        <v>1003</v>
      </c>
      <c r="P486" s="16">
        <v>9.1112840280000026E-4</v>
      </c>
      <c r="Q486">
        <v>1</v>
      </c>
      <c r="R486" s="16">
        <v>6.6960322068372092E-4</v>
      </c>
      <c r="S486" t="s">
        <v>1288</v>
      </c>
    </row>
    <row r="487" spans="1:19" x14ac:dyDescent="0.45">
      <c r="A487" s="7">
        <v>493</v>
      </c>
      <c r="B487" s="7" t="s">
        <v>1546</v>
      </c>
      <c r="C487" s="7" t="s">
        <v>1626</v>
      </c>
      <c r="D487" s="7" t="s">
        <v>1553</v>
      </c>
      <c r="F487" t="s">
        <v>986</v>
      </c>
      <c r="G487" t="s">
        <v>833</v>
      </c>
      <c r="H487" t="s">
        <v>808</v>
      </c>
      <c r="I487" s="12" t="s">
        <v>1107</v>
      </c>
      <c r="J487" s="12"/>
      <c r="K487" s="12" t="s">
        <v>1062</v>
      </c>
      <c r="L487" s="12" t="s">
        <v>1110</v>
      </c>
      <c r="M487" s="12" t="s">
        <v>838</v>
      </c>
      <c r="N487" s="14" t="s">
        <v>1003</v>
      </c>
      <c r="P487" s="16">
        <v>7.8688362060000026E-4</v>
      </c>
      <c r="Q487">
        <v>1</v>
      </c>
      <c r="R487" s="16">
        <v>5.7829369059048629E-4</v>
      </c>
      <c r="S487" t="s">
        <v>1288</v>
      </c>
    </row>
    <row r="488" spans="1:19" x14ac:dyDescent="0.45">
      <c r="A488" s="7">
        <v>494</v>
      </c>
      <c r="B488" s="7" t="s">
        <v>1630</v>
      </c>
      <c r="C488" s="7" t="s">
        <v>1560</v>
      </c>
      <c r="D488" s="7" t="s">
        <v>1561</v>
      </c>
      <c r="F488" t="s">
        <v>986</v>
      </c>
      <c r="G488" t="s">
        <v>833</v>
      </c>
      <c r="H488" t="s">
        <v>808</v>
      </c>
      <c r="I488" s="12" t="s">
        <v>1107</v>
      </c>
      <c r="J488" s="12"/>
      <c r="K488" s="12" t="s">
        <v>1062</v>
      </c>
      <c r="L488" s="12" t="s">
        <v>1110</v>
      </c>
      <c r="M488" s="12" t="s">
        <v>838</v>
      </c>
      <c r="N488" s="14" t="s">
        <v>1003</v>
      </c>
      <c r="P488" s="16">
        <v>7.8688362060000026E-4</v>
      </c>
      <c r="Q488">
        <v>1</v>
      </c>
      <c r="R488" s="16">
        <v>5.7829369059048629E-4</v>
      </c>
      <c r="S488" t="s">
        <v>1288</v>
      </c>
    </row>
    <row r="489" spans="1:19" x14ac:dyDescent="0.45">
      <c r="A489" s="7">
        <v>495</v>
      </c>
      <c r="B489" s="7" t="s">
        <v>1546</v>
      </c>
      <c r="C489" s="7" t="s">
        <v>1626</v>
      </c>
      <c r="D489" s="7" t="s">
        <v>1553</v>
      </c>
      <c r="F489" t="s">
        <v>987</v>
      </c>
      <c r="G489" t="s">
        <v>833</v>
      </c>
      <c r="H489" t="s">
        <v>808</v>
      </c>
      <c r="I489" s="12" t="s">
        <v>1107</v>
      </c>
      <c r="J489" s="12"/>
      <c r="K489" s="12" t="s">
        <v>1062</v>
      </c>
      <c r="L489" s="12" t="s">
        <v>1110</v>
      </c>
      <c r="M489" s="12" t="s">
        <v>838</v>
      </c>
      <c r="N489" s="14" t="s">
        <v>1003</v>
      </c>
      <c r="P489" s="16">
        <v>4.0724678609999992E-4</v>
      </c>
      <c r="Q489">
        <v>1</v>
      </c>
      <c r="R489" s="16">
        <v>2.9929234863893575E-4</v>
      </c>
      <c r="S489" t="s">
        <v>1288</v>
      </c>
    </row>
    <row r="490" spans="1:19" x14ac:dyDescent="0.45">
      <c r="A490" s="7">
        <v>496</v>
      </c>
      <c r="B490" s="7" t="s">
        <v>1630</v>
      </c>
      <c r="C490" s="7" t="s">
        <v>1560</v>
      </c>
      <c r="D490" s="7" t="s">
        <v>1561</v>
      </c>
      <c r="F490" t="s">
        <v>987</v>
      </c>
      <c r="G490" t="s">
        <v>833</v>
      </c>
      <c r="H490" t="s">
        <v>808</v>
      </c>
      <c r="I490" s="12" t="s">
        <v>1107</v>
      </c>
      <c r="J490" s="12"/>
      <c r="K490" s="12" t="s">
        <v>1062</v>
      </c>
      <c r="L490" s="12" t="s">
        <v>1110</v>
      </c>
      <c r="M490" s="12" t="s">
        <v>838</v>
      </c>
      <c r="N490" s="14" t="s">
        <v>1003</v>
      </c>
      <c r="P490" s="16">
        <v>4.0724678609999992E-4</v>
      </c>
      <c r="Q490">
        <v>1</v>
      </c>
      <c r="R490" s="16">
        <v>2.9929234863893575E-4</v>
      </c>
      <c r="S490" t="s">
        <v>1288</v>
      </c>
    </row>
    <row r="491" spans="1:19" x14ac:dyDescent="0.45">
      <c r="A491" s="7">
        <v>498</v>
      </c>
      <c r="B491" s="7" t="s">
        <v>1559</v>
      </c>
      <c r="C491" s="7" t="s">
        <v>1633</v>
      </c>
      <c r="D491" s="3" t="s">
        <v>1558</v>
      </c>
      <c r="F491" t="s">
        <v>985</v>
      </c>
      <c r="G491" t="s">
        <v>833</v>
      </c>
      <c r="H491" t="s">
        <v>808</v>
      </c>
      <c r="I491" s="12" t="s">
        <v>1107</v>
      </c>
      <c r="J491" s="12"/>
      <c r="K491" s="12" t="s">
        <v>1062</v>
      </c>
      <c r="L491" s="12" t="s">
        <v>1111</v>
      </c>
      <c r="M491" s="12" t="s">
        <v>838</v>
      </c>
      <c r="N491" s="14" t="s">
        <v>1003</v>
      </c>
      <c r="P491" s="16">
        <v>2.468654496E-4</v>
      </c>
      <c r="Q491">
        <v>1</v>
      </c>
      <c r="R491" s="16">
        <v>1.8142547155779957E-4</v>
      </c>
      <c r="S491" t="s">
        <v>1288</v>
      </c>
    </row>
    <row r="492" spans="1:19" x14ac:dyDescent="0.45">
      <c r="A492" s="7">
        <v>502</v>
      </c>
      <c r="B492" s="7" t="s">
        <v>1559</v>
      </c>
      <c r="C492" s="7" t="s">
        <v>1633</v>
      </c>
      <c r="D492" s="3" t="s">
        <v>1558</v>
      </c>
      <c r="F492" t="s">
        <v>987</v>
      </c>
      <c r="G492" t="s">
        <v>833</v>
      </c>
      <c r="H492" t="s">
        <v>808</v>
      </c>
      <c r="I492" s="12" t="s">
        <v>1107</v>
      </c>
      <c r="J492" s="12"/>
      <c r="K492" s="12" t="s">
        <v>1062</v>
      </c>
      <c r="L492" s="12" t="s">
        <v>1111</v>
      </c>
      <c r="M492" s="12" t="s">
        <v>838</v>
      </c>
      <c r="N492" s="14" t="s">
        <v>1003</v>
      </c>
      <c r="P492" s="16">
        <v>7.1867079899999995E-5</v>
      </c>
      <c r="Q492">
        <v>1</v>
      </c>
      <c r="R492" s="16">
        <v>5.2816296818635721E-5</v>
      </c>
      <c r="S492" t="s">
        <v>1288</v>
      </c>
    </row>
    <row r="493" spans="1:19" x14ac:dyDescent="0.45">
      <c r="A493" s="7">
        <v>503</v>
      </c>
      <c r="B493" s="7" t="s">
        <v>1635</v>
      </c>
      <c r="C493" s="7" t="s">
        <v>1089</v>
      </c>
      <c r="D493" s="7" t="s">
        <v>1227</v>
      </c>
      <c r="E493" t="s">
        <v>865</v>
      </c>
      <c r="F493" t="s">
        <v>984</v>
      </c>
      <c r="G493" t="s">
        <v>834</v>
      </c>
      <c r="H493" t="s">
        <v>808</v>
      </c>
      <c r="I493" s="12" t="s">
        <v>1107</v>
      </c>
      <c r="J493" s="12"/>
      <c r="K493" s="12" t="s">
        <v>1062</v>
      </c>
      <c r="L493" s="12" t="s">
        <v>1110</v>
      </c>
      <c r="M493" s="12" t="s">
        <v>838</v>
      </c>
      <c r="N493" s="14" t="s">
        <v>1003</v>
      </c>
      <c r="P493" s="16">
        <v>2.0825792064000002E-3</v>
      </c>
      <c r="Q493">
        <v>1</v>
      </c>
      <c r="R493" s="16">
        <v>1.5305216472770761E-3</v>
      </c>
      <c r="S493" t="s">
        <v>1288</v>
      </c>
    </row>
    <row r="494" spans="1:19" x14ac:dyDescent="0.45">
      <c r="A494" s="7">
        <v>504</v>
      </c>
      <c r="B494" s="7" t="s">
        <v>1636</v>
      </c>
      <c r="C494" s="7" t="s">
        <v>1088</v>
      </c>
      <c r="D494" s="7" t="s">
        <v>1000</v>
      </c>
      <c r="E494" t="s">
        <v>867</v>
      </c>
      <c r="F494" t="s">
        <v>984</v>
      </c>
      <c r="G494" t="s">
        <v>834</v>
      </c>
      <c r="H494" t="s">
        <v>808</v>
      </c>
      <c r="I494" s="12" t="s">
        <v>1107</v>
      </c>
      <c r="J494" s="12"/>
      <c r="K494" s="12" t="s">
        <v>1062</v>
      </c>
      <c r="L494" s="12" t="s">
        <v>1110</v>
      </c>
      <c r="M494" s="12" t="s">
        <v>838</v>
      </c>
      <c r="N494" s="14" t="s">
        <v>1003</v>
      </c>
      <c r="P494" s="16">
        <v>2.0825792064000002E-3</v>
      </c>
      <c r="Q494">
        <v>1</v>
      </c>
      <c r="R494" s="16">
        <v>1.5305216472770761E-3</v>
      </c>
      <c r="S494" t="s">
        <v>1288</v>
      </c>
    </row>
    <row r="495" spans="1:19" x14ac:dyDescent="0.45">
      <c r="A495" s="7">
        <v>505</v>
      </c>
      <c r="B495" s="7" t="s">
        <v>1637</v>
      </c>
      <c r="C495" s="7" t="s">
        <v>1090</v>
      </c>
      <c r="D495" s="7" t="s">
        <v>1228</v>
      </c>
      <c r="E495" t="s">
        <v>950</v>
      </c>
      <c r="F495" t="s">
        <v>984</v>
      </c>
      <c r="G495" t="s">
        <v>834</v>
      </c>
      <c r="H495" t="s">
        <v>808</v>
      </c>
      <c r="I495" s="12" t="s">
        <v>1107</v>
      </c>
      <c r="J495" s="12"/>
      <c r="K495" s="12" t="s">
        <v>1062</v>
      </c>
      <c r="L495" s="12" t="s">
        <v>1110</v>
      </c>
      <c r="M495" s="12" t="s">
        <v>838</v>
      </c>
      <c r="N495" s="14" t="s">
        <v>1003</v>
      </c>
      <c r="P495" s="16">
        <v>2.0825792064000002E-3</v>
      </c>
      <c r="Q495">
        <v>1</v>
      </c>
      <c r="R495" s="16">
        <v>1.5305216472770761E-3</v>
      </c>
      <c r="S495" t="s">
        <v>1288</v>
      </c>
    </row>
    <row r="496" spans="1:19" x14ac:dyDescent="0.45">
      <c r="A496" s="7">
        <v>506</v>
      </c>
      <c r="B496" s="7" t="s">
        <v>1635</v>
      </c>
      <c r="C496" s="7" t="s">
        <v>1089</v>
      </c>
      <c r="D496" s="7" t="s">
        <v>1227</v>
      </c>
      <c r="E496" t="s">
        <v>865</v>
      </c>
      <c r="F496" t="s">
        <v>985</v>
      </c>
      <c r="G496" t="s">
        <v>834</v>
      </c>
      <c r="H496" t="s">
        <v>808</v>
      </c>
      <c r="I496" s="12" t="s">
        <v>1107</v>
      </c>
      <c r="J496" s="12"/>
      <c r="K496" s="12" t="s">
        <v>1062</v>
      </c>
      <c r="L496" s="12" t="s">
        <v>1110</v>
      </c>
      <c r="M496" s="12" t="s">
        <v>838</v>
      </c>
      <c r="N496" s="14" t="s">
        <v>1003</v>
      </c>
      <c r="P496" s="16">
        <v>1.7985911328000002E-3</v>
      </c>
      <c r="Q496">
        <v>1</v>
      </c>
      <c r="R496" s="16">
        <v>1.3218141499211113E-3</v>
      </c>
      <c r="S496" t="s">
        <v>1288</v>
      </c>
    </row>
    <row r="497" spans="1:19" x14ac:dyDescent="0.45">
      <c r="A497" s="7">
        <v>507</v>
      </c>
      <c r="B497" s="7" t="s">
        <v>1636</v>
      </c>
      <c r="C497" s="7" t="s">
        <v>1088</v>
      </c>
      <c r="D497" s="7" t="s">
        <v>1000</v>
      </c>
      <c r="E497" t="s">
        <v>867</v>
      </c>
      <c r="F497" t="s">
        <v>985</v>
      </c>
      <c r="G497" t="s">
        <v>834</v>
      </c>
      <c r="H497" t="s">
        <v>808</v>
      </c>
      <c r="I497" s="12" t="s">
        <v>1107</v>
      </c>
      <c r="J497" s="12"/>
      <c r="K497" s="12" t="s">
        <v>1062</v>
      </c>
      <c r="L497" s="12" t="s">
        <v>1110</v>
      </c>
      <c r="M497" s="12" t="s">
        <v>838</v>
      </c>
      <c r="N497" s="14" t="s">
        <v>1003</v>
      </c>
      <c r="P497" s="16">
        <v>1.7985911328000002E-3</v>
      </c>
      <c r="Q497">
        <v>1</v>
      </c>
      <c r="R497" s="16">
        <v>1.3218141499211113E-3</v>
      </c>
      <c r="S497" t="s">
        <v>1288</v>
      </c>
    </row>
    <row r="498" spans="1:19" x14ac:dyDescent="0.45">
      <c r="A498" s="7">
        <v>508</v>
      </c>
      <c r="B498" s="7" t="s">
        <v>1637</v>
      </c>
      <c r="C498" s="7" t="s">
        <v>1090</v>
      </c>
      <c r="D498" s="7" t="s">
        <v>1228</v>
      </c>
      <c r="E498" t="s">
        <v>950</v>
      </c>
      <c r="F498" t="s">
        <v>985</v>
      </c>
      <c r="G498" t="s">
        <v>834</v>
      </c>
      <c r="H498" t="s">
        <v>808</v>
      </c>
      <c r="I498" s="12" t="s">
        <v>1107</v>
      </c>
      <c r="J498" s="12"/>
      <c r="K498" s="12" t="s">
        <v>1062</v>
      </c>
      <c r="L498" s="12" t="s">
        <v>1110</v>
      </c>
      <c r="M498" s="12" t="s">
        <v>838</v>
      </c>
      <c r="N498" s="14" t="s">
        <v>1003</v>
      </c>
      <c r="P498" s="16">
        <v>1.7985911328000002E-3</v>
      </c>
      <c r="Q498">
        <v>1</v>
      </c>
      <c r="R498" s="16">
        <v>1.3218141499211113E-3</v>
      </c>
      <c r="S498" t="s">
        <v>1288</v>
      </c>
    </row>
    <row r="499" spans="1:19" x14ac:dyDescent="0.45">
      <c r="A499" s="7">
        <v>509</v>
      </c>
      <c r="B499" s="7" t="s">
        <v>1638</v>
      </c>
      <c r="C499" s="7" t="s">
        <v>1089</v>
      </c>
      <c r="D499" s="7" t="s">
        <v>1227</v>
      </c>
      <c r="E499" t="s">
        <v>865</v>
      </c>
      <c r="F499" t="s">
        <v>1010</v>
      </c>
      <c r="G499" t="s">
        <v>834</v>
      </c>
      <c r="H499" t="s">
        <v>808</v>
      </c>
      <c r="I499" s="12" t="s">
        <v>1107</v>
      </c>
      <c r="J499" s="12"/>
      <c r="K499" s="12" t="s">
        <v>1062</v>
      </c>
      <c r="L499" s="12" t="s">
        <v>1110</v>
      </c>
      <c r="M499" s="12" t="s">
        <v>838</v>
      </c>
      <c r="N499" s="14" t="s">
        <v>1003</v>
      </c>
      <c r="O499" t="s">
        <v>866</v>
      </c>
      <c r="P499" s="16">
        <v>1.3962746952000003E-3</v>
      </c>
      <c r="Q499">
        <v>1</v>
      </c>
      <c r="R499" s="16">
        <v>1.0261451953334944E-3</v>
      </c>
      <c r="S499" t="s">
        <v>1288</v>
      </c>
    </row>
    <row r="500" spans="1:19" x14ac:dyDescent="0.45">
      <c r="A500" s="7">
        <v>510</v>
      </c>
      <c r="B500" s="7" t="s">
        <v>1636</v>
      </c>
      <c r="C500" s="7" t="s">
        <v>1088</v>
      </c>
      <c r="D500" s="7" t="s">
        <v>1000</v>
      </c>
      <c r="E500" t="s">
        <v>867</v>
      </c>
      <c r="F500" t="s">
        <v>1010</v>
      </c>
      <c r="G500" t="s">
        <v>834</v>
      </c>
      <c r="H500" t="s">
        <v>808</v>
      </c>
      <c r="I500" s="12" t="s">
        <v>1107</v>
      </c>
      <c r="J500" s="12"/>
      <c r="K500" s="12" t="s">
        <v>1062</v>
      </c>
      <c r="L500" s="12" t="s">
        <v>1110</v>
      </c>
      <c r="M500" s="12" t="s">
        <v>838</v>
      </c>
      <c r="N500" s="14" t="s">
        <v>1003</v>
      </c>
      <c r="O500" t="s">
        <v>868</v>
      </c>
      <c r="P500" s="16">
        <v>1.3962746952000003E-3</v>
      </c>
      <c r="Q500">
        <v>1</v>
      </c>
      <c r="R500" s="16">
        <v>1.0261451953334944E-3</v>
      </c>
      <c r="S500" t="s">
        <v>1288</v>
      </c>
    </row>
    <row r="501" spans="1:19" x14ac:dyDescent="0.45">
      <c r="A501" s="7">
        <v>512</v>
      </c>
      <c r="B501" s="7" t="s">
        <v>1639</v>
      </c>
      <c r="C501" s="7" t="s">
        <v>1090</v>
      </c>
      <c r="D501" s="7" t="s">
        <v>1228</v>
      </c>
      <c r="E501" t="s">
        <v>950</v>
      </c>
      <c r="F501" t="s">
        <v>1010</v>
      </c>
      <c r="G501" t="s">
        <v>834</v>
      </c>
      <c r="H501" t="s">
        <v>808</v>
      </c>
      <c r="I501" s="12" t="s">
        <v>1107</v>
      </c>
      <c r="J501" s="12"/>
      <c r="K501" s="12" t="s">
        <v>1062</v>
      </c>
      <c r="L501" s="12" t="s">
        <v>1110</v>
      </c>
      <c r="M501" s="12" t="s">
        <v>838</v>
      </c>
      <c r="N501" s="14" t="s">
        <v>1003</v>
      </c>
      <c r="O501" t="s">
        <v>951</v>
      </c>
      <c r="P501" s="16">
        <v>1.3962746952000003E-3</v>
      </c>
      <c r="Q501">
        <v>1</v>
      </c>
      <c r="R501" s="16">
        <v>1.0261451953334944E-3</v>
      </c>
      <c r="S501" t="s">
        <v>1288</v>
      </c>
    </row>
    <row r="502" spans="1:19" x14ac:dyDescent="0.45">
      <c r="A502" s="7">
        <v>513</v>
      </c>
      <c r="B502" s="7" t="s">
        <v>1635</v>
      </c>
      <c r="C502" s="7" t="s">
        <v>1089</v>
      </c>
      <c r="D502" s="7" t="s">
        <v>1227</v>
      </c>
      <c r="E502" t="s">
        <v>865</v>
      </c>
      <c r="F502" t="s">
        <v>971</v>
      </c>
      <c r="G502" t="s">
        <v>834</v>
      </c>
      <c r="H502" t="s">
        <v>808</v>
      </c>
      <c r="I502" s="12" t="s">
        <v>1107</v>
      </c>
      <c r="J502" s="12"/>
      <c r="K502" s="12" t="s">
        <v>1062</v>
      </c>
      <c r="L502" s="12" t="s">
        <v>1110</v>
      </c>
      <c r="M502" s="12" t="s">
        <v>838</v>
      </c>
      <c r="N502" s="14" t="s">
        <v>1003</v>
      </c>
      <c r="P502" s="16">
        <v>1.1714508036E-3</v>
      </c>
      <c r="Q502">
        <v>1</v>
      </c>
      <c r="R502" s="16">
        <v>8.6091842659335527E-4</v>
      </c>
      <c r="S502" t="s">
        <v>1288</v>
      </c>
    </row>
    <row r="503" spans="1:19" x14ac:dyDescent="0.45">
      <c r="A503" s="7">
        <v>514</v>
      </c>
      <c r="B503" s="7" t="s">
        <v>1636</v>
      </c>
      <c r="C503" s="7" t="s">
        <v>1088</v>
      </c>
      <c r="D503" s="7" t="s">
        <v>1000</v>
      </c>
      <c r="E503" t="s">
        <v>867</v>
      </c>
      <c r="F503" t="s">
        <v>971</v>
      </c>
      <c r="G503" t="s">
        <v>834</v>
      </c>
      <c r="H503" t="s">
        <v>808</v>
      </c>
      <c r="I503" s="12" t="s">
        <v>1107</v>
      </c>
      <c r="J503" s="12"/>
      <c r="K503" s="12" t="s">
        <v>1062</v>
      </c>
      <c r="L503" s="12" t="s">
        <v>1110</v>
      </c>
      <c r="M503" s="12" t="s">
        <v>838</v>
      </c>
      <c r="N503" s="14" t="s">
        <v>1003</v>
      </c>
      <c r="P503" s="16">
        <v>1.1714508036E-3</v>
      </c>
      <c r="Q503">
        <v>1</v>
      </c>
      <c r="R503" s="16">
        <v>8.6091842659335527E-4</v>
      </c>
      <c r="S503" t="s">
        <v>1288</v>
      </c>
    </row>
    <row r="504" spans="1:19" x14ac:dyDescent="0.45">
      <c r="A504" s="7">
        <v>515</v>
      </c>
      <c r="B504" s="7" t="s">
        <v>1637</v>
      </c>
      <c r="C504" s="7" t="s">
        <v>1088</v>
      </c>
      <c r="D504" s="7" t="s">
        <v>1000</v>
      </c>
      <c r="E504" t="s">
        <v>915</v>
      </c>
      <c r="F504" t="s">
        <v>971</v>
      </c>
      <c r="G504" t="s">
        <v>834</v>
      </c>
      <c r="H504" t="s">
        <v>808</v>
      </c>
      <c r="I504" s="12" t="s">
        <v>1107</v>
      </c>
      <c r="J504" s="12"/>
      <c r="K504" s="12" t="s">
        <v>1062</v>
      </c>
      <c r="L504" s="12" t="s">
        <v>1110</v>
      </c>
      <c r="M504" s="12" t="s">
        <v>838</v>
      </c>
      <c r="N504" s="14" t="s">
        <v>1003</v>
      </c>
      <c r="P504" s="16">
        <v>1.1714508036E-3</v>
      </c>
      <c r="Q504">
        <v>1</v>
      </c>
      <c r="R504" s="16">
        <v>8.6091842659335527E-4</v>
      </c>
      <c r="S504" t="s">
        <v>1288</v>
      </c>
    </row>
    <row r="505" spans="1:19" x14ac:dyDescent="0.45">
      <c r="A505" s="7">
        <v>516</v>
      </c>
      <c r="B505" s="7" t="s">
        <v>1637</v>
      </c>
      <c r="C505" s="7" t="s">
        <v>1090</v>
      </c>
      <c r="D505" s="7" t="s">
        <v>1228</v>
      </c>
      <c r="E505" t="s">
        <v>950</v>
      </c>
      <c r="F505" t="s">
        <v>971</v>
      </c>
      <c r="G505" t="s">
        <v>834</v>
      </c>
      <c r="H505" t="s">
        <v>808</v>
      </c>
      <c r="I505" s="12" t="s">
        <v>1107</v>
      </c>
      <c r="J505" s="12"/>
      <c r="K505" s="12" t="s">
        <v>1062</v>
      </c>
      <c r="L505" s="12" t="s">
        <v>1110</v>
      </c>
      <c r="M505" s="12" t="s">
        <v>838</v>
      </c>
      <c r="N505" s="14" t="s">
        <v>1003</v>
      </c>
      <c r="P505" s="16">
        <v>1.1714508036E-3</v>
      </c>
      <c r="Q505">
        <v>1</v>
      </c>
      <c r="R505" s="16">
        <v>8.6091842659335527E-4</v>
      </c>
      <c r="S505" t="s">
        <v>1288</v>
      </c>
    </row>
    <row r="506" spans="1:19" x14ac:dyDescent="0.45">
      <c r="A506" s="7">
        <v>517</v>
      </c>
      <c r="B506" s="7" t="s">
        <v>1635</v>
      </c>
      <c r="C506" s="7" t="s">
        <v>1089</v>
      </c>
      <c r="D506" s="7" t="s">
        <v>1227</v>
      </c>
      <c r="E506" t="s">
        <v>865</v>
      </c>
      <c r="F506" t="s">
        <v>986</v>
      </c>
      <c r="G506" t="s">
        <v>834</v>
      </c>
      <c r="H506" t="s">
        <v>808</v>
      </c>
      <c r="I506" s="12" t="s">
        <v>1107</v>
      </c>
      <c r="J506" s="12"/>
      <c r="K506" s="12" t="s">
        <v>1062</v>
      </c>
      <c r="L506" s="12" t="s">
        <v>1110</v>
      </c>
      <c r="M506" s="12" t="s">
        <v>838</v>
      </c>
      <c r="N506" s="14" t="s">
        <v>1003</v>
      </c>
      <c r="P506" s="16">
        <v>1.0117075122E-3</v>
      </c>
      <c r="Q506">
        <v>1</v>
      </c>
      <c r="R506" s="16">
        <v>7.4352045933062498E-4</v>
      </c>
      <c r="S506" t="s">
        <v>1288</v>
      </c>
    </row>
    <row r="507" spans="1:19" x14ac:dyDescent="0.45">
      <c r="A507" s="7">
        <v>518</v>
      </c>
      <c r="B507" s="7" t="s">
        <v>1636</v>
      </c>
      <c r="C507" s="7" t="s">
        <v>1088</v>
      </c>
      <c r="D507" s="7" t="s">
        <v>1000</v>
      </c>
      <c r="E507" t="s">
        <v>867</v>
      </c>
      <c r="F507" t="s">
        <v>986</v>
      </c>
      <c r="G507" t="s">
        <v>834</v>
      </c>
      <c r="H507" t="s">
        <v>808</v>
      </c>
      <c r="I507" s="12" t="s">
        <v>1107</v>
      </c>
      <c r="J507" s="12"/>
      <c r="K507" s="12" t="s">
        <v>1062</v>
      </c>
      <c r="L507" s="12" t="s">
        <v>1110</v>
      </c>
      <c r="M507" s="12" t="s">
        <v>838</v>
      </c>
      <c r="N507" s="14" t="s">
        <v>1003</v>
      </c>
      <c r="P507" s="16">
        <v>1.0117075122E-3</v>
      </c>
      <c r="Q507">
        <v>1</v>
      </c>
      <c r="R507" s="16">
        <v>7.4352045933062498E-4</v>
      </c>
      <c r="S507" t="s">
        <v>1288</v>
      </c>
    </row>
    <row r="508" spans="1:19" x14ac:dyDescent="0.45">
      <c r="A508" s="7">
        <v>519</v>
      </c>
      <c r="B508" s="7" t="s">
        <v>1637</v>
      </c>
      <c r="C508" s="7" t="s">
        <v>1090</v>
      </c>
      <c r="D508" s="7" t="s">
        <v>1228</v>
      </c>
      <c r="E508" t="s">
        <v>950</v>
      </c>
      <c r="F508" t="s">
        <v>986</v>
      </c>
      <c r="G508" t="s">
        <v>834</v>
      </c>
      <c r="H508" t="s">
        <v>808</v>
      </c>
      <c r="I508" s="12" t="s">
        <v>1107</v>
      </c>
      <c r="J508" s="12"/>
      <c r="K508" s="12" t="s">
        <v>1062</v>
      </c>
      <c r="L508" s="12" t="s">
        <v>1110</v>
      </c>
      <c r="M508" s="12" t="s">
        <v>838</v>
      </c>
      <c r="N508" s="14" t="s">
        <v>1003</v>
      </c>
      <c r="P508" s="16">
        <v>1.0117075122E-3</v>
      </c>
      <c r="Q508">
        <v>1</v>
      </c>
      <c r="R508" s="16">
        <v>7.4352045933062498E-4</v>
      </c>
      <c r="S508" t="s">
        <v>1288</v>
      </c>
    </row>
    <row r="509" spans="1:19" x14ac:dyDescent="0.45">
      <c r="A509" s="7">
        <v>521</v>
      </c>
      <c r="B509" s="7" t="s">
        <v>1635</v>
      </c>
      <c r="C509" s="7" t="s">
        <v>1089</v>
      </c>
      <c r="D509" s="7" t="s">
        <v>1227</v>
      </c>
      <c r="E509" t="s">
        <v>865</v>
      </c>
      <c r="F509" t="s">
        <v>987</v>
      </c>
      <c r="G509" t="s">
        <v>834</v>
      </c>
      <c r="H509" t="s">
        <v>808</v>
      </c>
      <c r="I509" s="12" t="s">
        <v>1107</v>
      </c>
      <c r="J509" s="12"/>
      <c r="K509" s="12" t="s">
        <v>1062</v>
      </c>
      <c r="L509" s="12" t="s">
        <v>1110</v>
      </c>
      <c r="M509" s="12" t="s">
        <v>838</v>
      </c>
      <c r="N509" s="14" t="s">
        <v>1003</v>
      </c>
      <c r="P509" s="16">
        <v>5.2360301069999989E-4</v>
      </c>
      <c r="Q509">
        <v>1</v>
      </c>
      <c r="R509" s="16">
        <v>3.8480444825006021E-4</v>
      </c>
      <c r="S509" t="s">
        <v>1288</v>
      </c>
    </row>
    <row r="510" spans="1:19" x14ac:dyDescent="0.45">
      <c r="A510" s="7">
        <v>522</v>
      </c>
      <c r="B510" s="7" t="s">
        <v>1641</v>
      </c>
      <c r="C510" s="7" t="s">
        <v>1088</v>
      </c>
      <c r="D510" s="7" t="s">
        <v>1000</v>
      </c>
      <c r="E510" t="s">
        <v>867</v>
      </c>
      <c r="F510" t="s">
        <v>987</v>
      </c>
      <c r="G510" t="s">
        <v>834</v>
      </c>
      <c r="H510" t="s">
        <v>808</v>
      </c>
      <c r="I510" s="12" t="s">
        <v>1107</v>
      </c>
      <c r="J510" s="12"/>
      <c r="K510" s="12" t="s">
        <v>1062</v>
      </c>
      <c r="L510" s="12" t="s">
        <v>1110</v>
      </c>
      <c r="M510" s="12" t="s">
        <v>838</v>
      </c>
      <c r="N510" s="14" t="s">
        <v>1003</v>
      </c>
      <c r="P510" s="16">
        <v>5.2360301069999989E-4</v>
      </c>
      <c r="Q510">
        <v>1</v>
      </c>
      <c r="R510" s="16">
        <v>3.8480444825006021E-4</v>
      </c>
      <c r="S510" t="s">
        <v>1288</v>
      </c>
    </row>
    <row r="511" spans="1:19" x14ac:dyDescent="0.45">
      <c r="A511" s="7">
        <v>523</v>
      </c>
      <c r="B511" s="7" t="s">
        <v>1637</v>
      </c>
      <c r="C511" s="7" t="s">
        <v>1090</v>
      </c>
      <c r="D511" s="7" t="s">
        <v>1228</v>
      </c>
      <c r="E511" t="s">
        <v>950</v>
      </c>
      <c r="F511" t="s">
        <v>987</v>
      </c>
      <c r="G511" t="s">
        <v>834</v>
      </c>
      <c r="H511" t="s">
        <v>808</v>
      </c>
      <c r="I511" s="12" t="s">
        <v>1107</v>
      </c>
      <c r="J511" s="12"/>
      <c r="K511" s="12" t="s">
        <v>1062</v>
      </c>
      <c r="L511" s="12" t="s">
        <v>1110</v>
      </c>
      <c r="M511" s="12" t="s">
        <v>838</v>
      </c>
      <c r="N511" s="14" t="s">
        <v>1003</v>
      </c>
      <c r="P511" s="16">
        <v>5.2360301069999989E-4</v>
      </c>
      <c r="Q511">
        <v>1</v>
      </c>
      <c r="R511" s="16">
        <v>3.8480444825006021E-4</v>
      </c>
      <c r="S511" t="s">
        <v>1288</v>
      </c>
    </row>
    <row r="512" spans="1:19" x14ac:dyDescent="0.45">
      <c r="A512" s="7">
        <v>525</v>
      </c>
      <c r="B512" s="7" t="s">
        <v>1265</v>
      </c>
      <c r="C512" s="3" t="s">
        <v>1266</v>
      </c>
      <c r="D512" s="3" t="s">
        <v>1267</v>
      </c>
      <c r="E512" t="s">
        <v>1273</v>
      </c>
      <c r="F512" t="s">
        <v>986</v>
      </c>
      <c r="G512" t="s">
        <v>830</v>
      </c>
      <c r="H512" t="s">
        <v>768</v>
      </c>
      <c r="I512" s="12" t="s">
        <v>1107</v>
      </c>
      <c r="J512" s="12"/>
      <c r="K512" s="12" t="s">
        <v>1062</v>
      </c>
      <c r="L512" s="12" t="s">
        <v>1110</v>
      </c>
      <c r="M512" s="12" t="s">
        <v>838</v>
      </c>
      <c r="N512" s="14" t="s">
        <v>1003</v>
      </c>
      <c r="P512" s="16">
        <v>7.3578728159999984E-4</v>
      </c>
      <c r="Q512" s="22">
        <v>0.75</v>
      </c>
      <c r="R512" s="16">
        <v>4.0555661418034081E-4</v>
      </c>
    </row>
    <row r="513" spans="1:18" x14ac:dyDescent="0.45">
      <c r="A513" s="7">
        <v>526</v>
      </c>
      <c r="B513" s="7" t="s">
        <v>1265</v>
      </c>
      <c r="C513" s="3" t="s">
        <v>1266</v>
      </c>
      <c r="D513" s="3" t="s">
        <v>1267</v>
      </c>
      <c r="E513" t="s">
        <v>1273</v>
      </c>
      <c r="F513" t="s">
        <v>987</v>
      </c>
      <c r="G513" t="s">
        <v>830</v>
      </c>
      <c r="H513" t="s">
        <v>768</v>
      </c>
      <c r="I513" s="12" t="s">
        <v>1107</v>
      </c>
      <c r="J513" s="12"/>
      <c r="K513" s="12" t="s">
        <v>1062</v>
      </c>
      <c r="L513" s="12" t="s">
        <v>1110</v>
      </c>
      <c r="M513" s="12" t="s">
        <v>838</v>
      </c>
      <c r="N513" s="14" t="s">
        <v>1003</v>
      </c>
      <c r="P513" s="16">
        <v>3.8080218959999989E-4</v>
      </c>
      <c r="Q513" s="22">
        <v>0.75</v>
      </c>
      <c r="R513" s="16">
        <v>2.0989333540912374E-4</v>
      </c>
    </row>
    <row r="514" spans="1:18" x14ac:dyDescent="0.45">
      <c r="A514" s="7">
        <v>527</v>
      </c>
      <c r="B514" s="7" t="s">
        <v>1271</v>
      </c>
      <c r="C514" s="3" t="s">
        <v>1522</v>
      </c>
      <c r="D514" s="3" t="s">
        <v>1523</v>
      </c>
      <c r="E514" t="s">
        <v>1274</v>
      </c>
      <c r="F514" t="s">
        <v>984</v>
      </c>
      <c r="G514" t="s">
        <v>830</v>
      </c>
      <c r="H514" t="s">
        <v>768</v>
      </c>
      <c r="I514" s="12" t="s">
        <v>1107</v>
      </c>
      <c r="J514" s="12"/>
      <c r="K514" s="12" t="s">
        <v>1062</v>
      </c>
      <c r="L514" s="12" t="s">
        <v>1110</v>
      </c>
      <c r="M514" s="12" t="s">
        <v>838</v>
      </c>
      <c r="N514" s="14"/>
      <c r="P514" s="16">
        <v>1.5146030592000004E-3</v>
      </c>
      <c r="Q514" s="22">
        <v>1</v>
      </c>
      <c r="R514" s="16">
        <v>1.1131066525651464E-3</v>
      </c>
    </row>
    <row r="515" spans="1:18" x14ac:dyDescent="0.45">
      <c r="A515" s="7">
        <v>528</v>
      </c>
      <c r="B515" s="7" t="s">
        <v>1271</v>
      </c>
      <c r="C515" s="3" t="s">
        <v>1522</v>
      </c>
      <c r="D515" s="3" t="s">
        <v>1523</v>
      </c>
      <c r="E515" t="s">
        <v>1274</v>
      </c>
      <c r="F515" t="s">
        <v>985</v>
      </c>
      <c r="G515" t="s">
        <v>830</v>
      </c>
      <c r="H515" t="s">
        <v>768</v>
      </c>
      <c r="I515" s="12" t="s">
        <v>1107</v>
      </c>
      <c r="J515" s="12"/>
      <c r="K515" s="12" t="s">
        <v>1062</v>
      </c>
      <c r="L515" s="12" t="s">
        <v>1110</v>
      </c>
      <c r="M515" s="12" t="s">
        <v>838</v>
      </c>
      <c r="N515" s="14"/>
      <c r="P515" s="16">
        <v>1.3080662784E-3</v>
      </c>
      <c r="Q515" s="22">
        <v>1</v>
      </c>
      <c r="R515" s="16">
        <v>9.6131938176080805E-4</v>
      </c>
    </row>
    <row r="516" spans="1:18" x14ac:dyDescent="0.45">
      <c r="A516" s="7">
        <v>529</v>
      </c>
      <c r="B516" s="7" t="s">
        <v>1271</v>
      </c>
      <c r="C516" s="3" t="s">
        <v>1522</v>
      </c>
      <c r="D516" s="3" t="s">
        <v>1523</v>
      </c>
      <c r="E516" t="s">
        <v>1274</v>
      </c>
      <c r="F516" t="s">
        <v>1010</v>
      </c>
      <c r="G516" t="s">
        <v>830</v>
      </c>
      <c r="H516" t="s">
        <v>768</v>
      </c>
      <c r="I516" s="12" t="s">
        <v>1107</v>
      </c>
      <c r="J516" s="12"/>
      <c r="K516" s="12" t="s">
        <v>1062</v>
      </c>
      <c r="L516" s="12" t="s">
        <v>1110</v>
      </c>
      <c r="M516" s="12" t="s">
        <v>838</v>
      </c>
      <c r="N516" s="14"/>
      <c r="P516" s="16">
        <v>1.0154725055999999E-3</v>
      </c>
      <c r="Q516" s="22">
        <v>1</v>
      </c>
      <c r="R516" s="16">
        <v>7.4628741478799572E-4</v>
      </c>
    </row>
    <row r="517" spans="1:18" x14ac:dyDescent="0.45">
      <c r="A517" s="7">
        <v>530</v>
      </c>
      <c r="B517" s="7" t="s">
        <v>1271</v>
      </c>
      <c r="C517" s="3" t="s">
        <v>1522</v>
      </c>
      <c r="D517" s="3" t="s">
        <v>1523</v>
      </c>
      <c r="E517" t="s">
        <v>1274</v>
      </c>
      <c r="F517" t="s">
        <v>971</v>
      </c>
      <c r="G517" t="s">
        <v>830</v>
      </c>
      <c r="H517" t="s">
        <v>768</v>
      </c>
      <c r="I517" s="12" t="s">
        <v>1107</v>
      </c>
      <c r="J517" s="12"/>
      <c r="K517" s="12" t="s">
        <v>1062</v>
      </c>
      <c r="L517" s="12" t="s">
        <v>1110</v>
      </c>
      <c r="M517" s="12" t="s">
        <v>838</v>
      </c>
      <c r="N517" s="14"/>
      <c r="P517" s="16">
        <v>8.519642208E-4</v>
      </c>
      <c r="Q517" s="22">
        <v>1</v>
      </c>
      <c r="R517" s="16">
        <v>6.2612249206789468E-4</v>
      </c>
    </row>
    <row r="518" spans="1:18" x14ac:dyDescent="0.45">
      <c r="A518" s="7">
        <v>531</v>
      </c>
      <c r="B518" s="7" t="s">
        <v>1271</v>
      </c>
      <c r="C518" s="3" t="s">
        <v>1522</v>
      </c>
      <c r="D518" s="3" t="s">
        <v>1523</v>
      </c>
      <c r="E518" t="s">
        <v>1274</v>
      </c>
      <c r="F518" t="s">
        <v>986</v>
      </c>
      <c r="G518" t="s">
        <v>830</v>
      </c>
      <c r="H518" t="s">
        <v>768</v>
      </c>
      <c r="I518" s="12" t="s">
        <v>1107</v>
      </c>
      <c r="J518" s="12"/>
      <c r="K518" s="12" t="s">
        <v>1062</v>
      </c>
      <c r="L518" s="12" t="s">
        <v>1110</v>
      </c>
      <c r="M518" s="12" t="s">
        <v>838</v>
      </c>
      <c r="N518" s="14"/>
      <c r="P518" s="16">
        <v>7.3578728159999984E-4</v>
      </c>
      <c r="Q518" s="22">
        <v>1</v>
      </c>
      <c r="R518" s="16">
        <v>5.4074215224045438E-4</v>
      </c>
    </row>
    <row r="519" spans="1:18" x14ac:dyDescent="0.45">
      <c r="A519" s="7">
        <v>532</v>
      </c>
      <c r="B519" s="7" t="s">
        <v>1271</v>
      </c>
      <c r="C519" s="3" t="s">
        <v>1522</v>
      </c>
      <c r="D519" s="3" t="s">
        <v>1523</v>
      </c>
      <c r="E519" t="s">
        <v>1274</v>
      </c>
      <c r="F519" t="s">
        <v>987</v>
      </c>
      <c r="G519" t="s">
        <v>830</v>
      </c>
      <c r="H519" t="s">
        <v>768</v>
      </c>
      <c r="I519" s="12" t="s">
        <v>1107</v>
      </c>
      <c r="J519" s="12"/>
      <c r="K519" s="12" t="s">
        <v>1062</v>
      </c>
      <c r="L519" s="12" t="s">
        <v>1110</v>
      </c>
      <c r="M519" s="12" t="s">
        <v>838</v>
      </c>
      <c r="N519" s="14"/>
      <c r="P519" s="16">
        <v>3.8080218959999989E-4</v>
      </c>
      <c r="Q519" s="22">
        <v>1</v>
      </c>
      <c r="R519" s="16">
        <v>2.798577805454983E-4</v>
      </c>
    </row>
    <row r="520" spans="1:18" x14ac:dyDescent="0.45">
      <c r="A520" s="7">
        <v>533</v>
      </c>
      <c r="B520" s="7" t="s">
        <v>1270</v>
      </c>
      <c r="C520" s="3" t="s">
        <v>1275</v>
      </c>
      <c r="D520" s="3" t="s">
        <v>1276</v>
      </c>
      <c r="E520" t="s">
        <v>1277</v>
      </c>
      <c r="F520" t="s">
        <v>984</v>
      </c>
      <c r="G520" t="s">
        <v>830</v>
      </c>
      <c r="H520" t="s">
        <v>768</v>
      </c>
      <c r="I520" s="12" t="s">
        <v>1107</v>
      </c>
      <c r="J520" s="12"/>
      <c r="K520" s="12" t="s">
        <v>1062</v>
      </c>
      <c r="L520" s="12" t="s">
        <v>1110</v>
      </c>
      <c r="M520" s="12" t="s">
        <v>838</v>
      </c>
      <c r="N520" s="14"/>
      <c r="P520" s="16">
        <v>1.5146030592000004E-3</v>
      </c>
      <c r="Q520" s="22">
        <v>1</v>
      </c>
      <c r="R520" s="16">
        <v>1.1131066525651464E-3</v>
      </c>
    </row>
    <row r="521" spans="1:18" x14ac:dyDescent="0.45">
      <c r="A521" s="7">
        <v>534</v>
      </c>
      <c r="B521" s="7" t="s">
        <v>1270</v>
      </c>
      <c r="C521" s="3" t="s">
        <v>1275</v>
      </c>
      <c r="D521" s="3" t="s">
        <v>1276</v>
      </c>
      <c r="E521" t="s">
        <v>1277</v>
      </c>
      <c r="F521" t="s">
        <v>985</v>
      </c>
      <c r="G521" t="s">
        <v>830</v>
      </c>
      <c r="H521" t="s">
        <v>768</v>
      </c>
      <c r="I521" s="12" t="s">
        <v>1107</v>
      </c>
      <c r="J521" s="12"/>
      <c r="K521" s="12" t="s">
        <v>1062</v>
      </c>
      <c r="L521" s="12" t="s">
        <v>1110</v>
      </c>
      <c r="M521" s="12" t="s">
        <v>838</v>
      </c>
      <c r="N521" s="14"/>
      <c r="P521" s="16">
        <v>1.3080662784E-3</v>
      </c>
      <c r="Q521" s="22">
        <v>1</v>
      </c>
      <c r="R521" s="16">
        <v>9.6131938176080805E-4</v>
      </c>
    </row>
    <row r="522" spans="1:18" x14ac:dyDescent="0.45">
      <c r="A522" s="7">
        <v>535</v>
      </c>
      <c r="B522" s="7" t="s">
        <v>1270</v>
      </c>
      <c r="C522" s="3" t="s">
        <v>1275</v>
      </c>
      <c r="D522" s="3" t="s">
        <v>1276</v>
      </c>
      <c r="E522" t="s">
        <v>1277</v>
      </c>
      <c r="F522" t="s">
        <v>1010</v>
      </c>
      <c r="G522" t="s">
        <v>830</v>
      </c>
      <c r="H522" t="s">
        <v>768</v>
      </c>
      <c r="I522" s="12" t="s">
        <v>1107</v>
      </c>
      <c r="J522" s="12"/>
      <c r="K522" s="12" t="s">
        <v>1062</v>
      </c>
      <c r="L522" s="12" t="s">
        <v>1110</v>
      </c>
      <c r="M522" s="12" t="s">
        <v>838</v>
      </c>
      <c r="N522" s="14"/>
      <c r="P522" s="16">
        <v>1.0154725055999999E-3</v>
      </c>
      <c r="Q522" s="22">
        <v>1</v>
      </c>
      <c r="R522" s="16">
        <v>7.4628741478799572E-4</v>
      </c>
    </row>
    <row r="523" spans="1:18" x14ac:dyDescent="0.45">
      <c r="A523" s="7">
        <v>536</v>
      </c>
      <c r="B523" s="7" t="s">
        <v>1270</v>
      </c>
      <c r="C523" s="3" t="s">
        <v>1275</v>
      </c>
      <c r="D523" s="3" t="s">
        <v>1276</v>
      </c>
      <c r="E523" t="s">
        <v>1277</v>
      </c>
      <c r="F523" t="s">
        <v>971</v>
      </c>
      <c r="G523" t="s">
        <v>830</v>
      </c>
      <c r="H523" t="s">
        <v>768</v>
      </c>
      <c r="I523" s="12" t="s">
        <v>1107</v>
      </c>
      <c r="J523" s="12"/>
      <c r="K523" s="12" t="s">
        <v>1062</v>
      </c>
      <c r="L523" s="12" t="s">
        <v>1110</v>
      </c>
      <c r="M523" s="12" t="s">
        <v>838</v>
      </c>
      <c r="N523" s="14"/>
      <c r="P523" s="16">
        <v>8.519642208E-4</v>
      </c>
      <c r="Q523" s="22">
        <v>1</v>
      </c>
      <c r="R523" s="16">
        <v>6.2612249206789468E-4</v>
      </c>
    </row>
    <row r="524" spans="1:18" x14ac:dyDescent="0.45">
      <c r="A524" s="7">
        <v>537</v>
      </c>
      <c r="B524" s="7" t="s">
        <v>1270</v>
      </c>
      <c r="C524" s="3" t="s">
        <v>1275</v>
      </c>
      <c r="D524" s="3" t="s">
        <v>1276</v>
      </c>
      <c r="E524" t="s">
        <v>1277</v>
      </c>
      <c r="F524" t="s">
        <v>986</v>
      </c>
      <c r="G524" t="s">
        <v>830</v>
      </c>
      <c r="H524" t="s">
        <v>768</v>
      </c>
      <c r="I524" s="12" t="s">
        <v>1107</v>
      </c>
      <c r="J524" s="12"/>
      <c r="K524" s="12" t="s">
        <v>1062</v>
      </c>
      <c r="L524" s="12" t="s">
        <v>1110</v>
      </c>
      <c r="M524" s="12" t="s">
        <v>838</v>
      </c>
      <c r="N524" s="14"/>
      <c r="P524" s="16">
        <v>7.3578728159999984E-4</v>
      </c>
      <c r="Q524" s="22">
        <v>1</v>
      </c>
      <c r="R524" s="16">
        <v>5.4074215224045438E-4</v>
      </c>
    </row>
    <row r="525" spans="1:18" x14ac:dyDescent="0.45">
      <c r="A525" s="7">
        <v>538</v>
      </c>
      <c r="B525" s="7" t="s">
        <v>1270</v>
      </c>
      <c r="C525" s="3" t="s">
        <v>1275</v>
      </c>
      <c r="D525" s="3" t="s">
        <v>1276</v>
      </c>
      <c r="E525" t="s">
        <v>1277</v>
      </c>
      <c r="F525" t="s">
        <v>987</v>
      </c>
      <c r="G525" t="s">
        <v>830</v>
      </c>
      <c r="H525" t="s">
        <v>768</v>
      </c>
      <c r="I525" s="12" t="s">
        <v>1107</v>
      </c>
      <c r="J525" s="12"/>
      <c r="K525" s="12" t="s">
        <v>1062</v>
      </c>
      <c r="L525" s="12" t="s">
        <v>1110</v>
      </c>
      <c r="M525" s="12" t="s">
        <v>838</v>
      </c>
      <c r="N525" s="14"/>
      <c r="P525" s="16">
        <v>3.8080218959999989E-4</v>
      </c>
      <c r="Q525" s="22">
        <v>1</v>
      </c>
      <c r="R525" s="16">
        <v>2.798577805454983E-4</v>
      </c>
    </row>
    <row r="526" spans="1:18" x14ac:dyDescent="0.45">
      <c r="A526" s="7">
        <v>543</v>
      </c>
      <c r="B526" s="7" t="s">
        <v>1279</v>
      </c>
      <c r="C526" s="7" t="s">
        <v>1280</v>
      </c>
      <c r="D526" s="7" t="s">
        <v>1281</v>
      </c>
      <c r="E526" t="s">
        <v>147</v>
      </c>
      <c r="F526" t="s">
        <v>984</v>
      </c>
      <c r="G526" t="s">
        <v>831</v>
      </c>
      <c r="H526" t="s">
        <v>768</v>
      </c>
      <c r="I526" s="12" t="s">
        <v>1107</v>
      </c>
      <c r="K526" s="12" t="s">
        <v>1062</v>
      </c>
      <c r="L526" t="s">
        <v>1111</v>
      </c>
      <c r="M526" s="12" t="s">
        <v>838</v>
      </c>
      <c r="N526" s="12" t="s">
        <v>1190</v>
      </c>
      <c r="O526" s="14" t="s">
        <v>1282</v>
      </c>
      <c r="P526" s="16">
        <v>5.1971673599999991E-4</v>
      </c>
      <c r="Q526" s="22">
        <v>1</v>
      </c>
      <c r="R526" s="16">
        <v>3.819483611743148E-4</v>
      </c>
    </row>
    <row r="527" spans="1:18" x14ac:dyDescent="0.45">
      <c r="A527" s="7">
        <v>544</v>
      </c>
      <c r="B527" s="7" t="s">
        <v>1265</v>
      </c>
      <c r="C527" s="3" t="s">
        <v>1266</v>
      </c>
      <c r="D527" s="3" t="s">
        <v>1272</v>
      </c>
      <c r="E527" t="s">
        <v>1268</v>
      </c>
      <c r="F527" t="s">
        <v>987</v>
      </c>
      <c r="G527" t="s">
        <v>830</v>
      </c>
      <c r="H527" t="s">
        <v>768</v>
      </c>
      <c r="I527" s="12" t="s">
        <v>1107</v>
      </c>
      <c r="J527" s="12"/>
      <c r="K527" s="12" t="s">
        <v>1062</v>
      </c>
      <c r="L527" s="12" t="s">
        <v>1110</v>
      </c>
      <c r="M527" s="12" t="s">
        <v>838</v>
      </c>
      <c r="N527" s="14"/>
      <c r="P527" s="16">
        <v>3.8080218959999989E-4</v>
      </c>
      <c r="Q527" s="22">
        <v>0.25</v>
      </c>
      <c r="R527" s="16">
        <v>6.9964445136374575E-5</v>
      </c>
    </row>
    <row r="528" spans="1:18" x14ac:dyDescent="0.45">
      <c r="A528" s="7">
        <v>568</v>
      </c>
      <c r="B528" s="7" t="s">
        <v>1634</v>
      </c>
      <c r="C528" s="3" t="s">
        <v>1294</v>
      </c>
      <c r="D528" s="3" t="s">
        <v>1295</v>
      </c>
      <c r="E528" t="s">
        <v>1296</v>
      </c>
      <c r="F528" t="s">
        <v>1010</v>
      </c>
      <c r="G528" t="s">
        <v>830</v>
      </c>
      <c r="H528" t="s">
        <v>808</v>
      </c>
      <c r="I528" s="12" t="s">
        <v>1107</v>
      </c>
      <c r="K528" s="12" t="s">
        <v>1062</v>
      </c>
      <c r="L528" s="12" t="s">
        <v>1110</v>
      </c>
      <c r="M528" s="12" t="s">
        <v>838</v>
      </c>
      <c r="N528" s="14" t="s">
        <v>1414</v>
      </c>
      <c r="P528" s="26">
        <v>1E-3</v>
      </c>
      <c r="Q528" s="22">
        <v>1</v>
      </c>
      <c r="R528" s="16">
        <v>7.3491641641941442E-4</v>
      </c>
    </row>
    <row r="529" spans="1:18" x14ac:dyDescent="0.45">
      <c r="A529" s="7">
        <v>574</v>
      </c>
      <c r="B529" s="7" t="s">
        <v>1425</v>
      </c>
      <c r="C529" s="3" t="s">
        <v>1426</v>
      </c>
      <c r="D529" s="3" t="s">
        <v>1427</v>
      </c>
      <c r="E529" t="s">
        <v>1428</v>
      </c>
      <c r="F529" t="s">
        <v>984</v>
      </c>
      <c r="G529" t="s">
        <v>830</v>
      </c>
      <c r="H529" t="s">
        <v>808</v>
      </c>
      <c r="I529" s="12" t="s">
        <v>1107</v>
      </c>
      <c r="J529" t="s">
        <v>1292</v>
      </c>
      <c r="K529" s="12" t="s">
        <v>1062</v>
      </c>
      <c r="L529" s="12" t="s">
        <v>1110</v>
      </c>
      <c r="M529" s="12" t="s">
        <v>838</v>
      </c>
      <c r="N529" t="s">
        <v>1403</v>
      </c>
      <c r="O529" t="s">
        <v>1429</v>
      </c>
      <c r="P529" s="31">
        <v>0.01</v>
      </c>
      <c r="Q529">
        <v>1</v>
      </c>
      <c r="R529">
        <v>1.2E-4</v>
      </c>
    </row>
    <row r="530" spans="1:18" x14ac:dyDescent="0.45">
      <c r="A530" s="7">
        <v>574</v>
      </c>
      <c r="B530" s="7" t="s">
        <v>1538</v>
      </c>
      <c r="C530" s="3" t="s">
        <v>1300</v>
      </c>
      <c r="D530" s="3" t="s">
        <v>1301</v>
      </c>
      <c r="E530" t="s">
        <v>1302</v>
      </c>
      <c r="F530" t="s">
        <v>1010</v>
      </c>
      <c r="G530" t="s">
        <v>830</v>
      </c>
      <c r="H530" t="s">
        <v>768</v>
      </c>
      <c r="I530" s="12" t="s">
        <v>1107</v>
      </c>
      <c r="K530" s="12" t="s">
        <v>1062</v>
      </c>
      <c r="L530" s="12" t="s">
        <v>1110</v>
      </c>
      <c r="M530" s="12" t="s">
        <v>838</v>
      </c>
      <c r="N530" s="14" t="s">
        <v>1414</v>
      </c>
      <c r="P530" s="26">
        <v>1E-3</v>
      </c>
      <c r="Q530" s="22">
        <v>1</v>
      </c>
      <c r="R530" s="16">
        <v>7.3491641641941442E-4</v>
      </c>
    </row>
    <row r="531" spans="1:18" x14ac:dyDescent="0.45">
      <c r="A531" s="7">
        <v>575</v>
      </c>
      <c r="B531" s="7" t="s">
        <v>1425</v>
      </c>
      <c r="C531" s="3" t="s">
        <v>1426</v>
      </c>
      <c r="D531" s="3" t="s">
        <v>1427</v>
      </c>
      <c r="E531" t="s">
        <v>1428</v>
      </c>
      <c r="F531" t="s">
        <v>985</v>
      </c>
      <c r="G531" t="s">
        <v>830</v>
      </c>
      <c r="H531" t="s">
        <v>808</v>
      </c>
      <c r="I531" s="12" t="s">
        <v>1107</v>
      </c>
      <c r="J531" t="s">
        <v>1292</v>
      </c>
      <c r="K531" s="12" t="s">
        <v>1062</v>
      </c>
      <c r="L531" s="12" t="s">
        <v>1110</v>
      </c>
      <c r="M531" s="12" t="s">
        <v>838</v>
      </c>
      <c r="N531" t="s">
        <v>1403</v>
      </c>
      <c r="O531" t="s">
        <v>1430</v>
      </c>
      <c r="P531" s="31">
        <v>0.01</v>
      </c>
      <c r="Q531">
        <v>1</v>
      </c>
      <c r="R531">
        <v>1.2E-4</v>
      </c>
    </row>
    <row r="532" spans="1:18" x14ac:dyDescent="0.45">
      <c r="A532" s="29">
        <v>575</v>
      </c>
      <c r="B532" s="7" t="s">
        <v>1547</v>
      </c>
      <c r="C532" s="7" t="s">
        <v>1627</v>
      </c>
      <c r="D532" s="7" t="s">
        <v>1554</v>
      </c>
      <c r="F532" t="s">
        <v>984</v>
      </c>
      <c r="G532" t="s">
        <v>833</v>
      </c>
      <c r="H532" t="s">
        <v>808</v>
      </c>
      <c r="I532" s="12" t="s">
        <v>1107</v>
      </c>
      <c r="J532" s="12"/>
      <c r="K532" s="12" t="s">
        <v>1062</v>
      </c>
      <c r="L532" s="12" t="s">
        <v>1110</v>
      </c>
      <c r="M532" s="12" t="s">
        <v>838</v>
      </c>
      <c r="N532" t="s">
        <v>1488</v>
      </c>
      <c r="O532" t="s">
        <v>1416</v>
      </c>
      <c r="P532" s="26">
        <v>2E-3</v>
      </c>
      <c r="Q532" s="22">
        <v>1</v>
      </c>
      <c r="R532" s="16">
        <v>1.4698328328388288E-3</v>
      </c>
    </row>
    <row r="533" spans="1:18" x14ac:dyDescent="0.45">
      <c r="A533" s="7">
        <v>576</v>
      </c>
      <c r="B533" s="7" t="s">
        <v>1425</v>
      </c>
      <c r="C533" s="3" t="s">
        <v>1426</v>
      </c>
      <c r="D533" s="3" t="s">
        <v>1427</v>
      </c>
      <c r="E533" t="s">
        <v>1428</v>
      </c>
      <c r="F533" t="s">
        <v>1010</v>
      </c>
      <c r="G533" t="s">
        <v>830</v>
      </c>
      <c r="H533" t="s">
        <v>808</v>
      </c>
      <c r="I533" s="12" t="s">
        <v>1107</v>
      </c>
      <c r="J533" t="s">
        <v>1292</v>
      </c>
      <c r="K533" s="12" t="s">
        <v>1062</v>
      </c>
      <c r="L533" s="12" t="s">
        <v>1110</v>
      </c>
      <c r="M533" s="12" t="s">
        <v>838</v>
      </c>
      <c r="N533" t="s">
        <v>1403</v>
      </c>
      <c r="O533" t="s">
        <v>1431</v>
      </c>
      <c r="P533" s="31">
        <v>0.01</v>
      </c>
      <c r="Q533">
        <v>1</v>
      </c>
      <c r="R533">
        <v>1.2E-4</v>
      </c>
    </row>
    <row r="534" spans="1:18" x14ac:dyDescent="0.45">
      <c r="A534" s="7">
        <v>576</v>
      </c>
      <c r="B534" s="7" t="s">
        <v>1547</v>
      </c>
      <c r="C534" s="7" t="s">
        <v>1627</v>
      </c>
      <c r="D534" s="7" t="s">
        <v>1554</v>
      </c>
      <c r="F534" t="s">
        <v>985</v>
      </c>
      <c r="G534" t="s">
        <v>833</v>
      </c>
      <c r="H534" t="s">
        <v>808</v>
      </c>
      <c r="I534" s="12" t="s">
        <v>1107</v>
      </c>
      <c r="J534" s="12"/>
      <c r="K534" s="12" t="s">
        <v>1062</v>
      </c>
      <c r="L534" s="12" t="s">
        <v>1110</v>
      </c>
      <c r="M534" s="12" t="s">
        <v>838</v>
      </c>
      <c r="N534" t="s">
        <v>1488</v>
      </c>
      <c r="O534" t="s">
        <v>1417</v>
      </c>
      <c r="P534" s="26">
        <v>2E-3</v>
      </c>
      <c r="Q534" s="22">
        <v>1</v>
      </c>
      <c r="R534" s="16">
        <v>1.4698328328388288E-3</v>
      </c>
    </row>
    <row r="535" spans="1:18" x14ac:dyDescent="0.45">
      <c r="A535" s="7">
        <v>577</v>
      </c>
      <c r="B535" s="7" t="s">
        <v>1432</v>
      </c>
      <c r="C535" s="3" t="s">
        <v>1433</v>
      </c>
      <c r="D535" s="3" t="s">
        <v>1434</v>
      </c>
      <c r="E535" t="s">
        <v>1435</v>
      </c>
      <c r="F535" t="s">
        <v>984</v>
      </c>
      <c r="G535" t="s">
        <v>830</v>
      </c>
      <c r="H535" t="s">
        <v>808</v>
      </c>
      <c r="I535" s="12" t="s">
        <v>1107</v>
      </c>
      <c r="J535" t="s">
        <v>1292</v>
      </c>
      <c r="K535" s="12" t="s">
        <v>1062</v>
      </c>
      <c r="L535" s="12" t="s">
        <v>1110</v>
      </c>
      <c r="M535" s="12" t="s">
        <v>838</v>
      </c>
      <c r="N535" t="s">
        <v>1403</v>
      </c>
      <c r="O535" t="s">
        <v>1436</v>
      </c>
      <c r="P535" s="31">
        <v>0.01</v>
      </c>
      <c r="Q535">
        <v>1</v>
      </c>
      <c r="R535">
        <v>1.2E-4</v>
      </c>
    </row>
    <row r="536" spans="1:18" x14ac:dyDescent="0.45">
      <c r="A536" s="29">
        <v>577</v>
      </c>
      <c r="B536" s="7" t="s">
        <v>1547</v>
      </c>
      <c r="C536" s="7" t="s">
        <v>1627</v>
      </c>
      <c r="D536" s="7" t="s">
        <v>1554</v>
      </c>
      <c r="F536" t="s">
        <v>1010</v>
      </c>
      <c r="G536" t="s">
        <v>833</v>
      </c>
      <c r="H536" t="s">
        <v>808</v>
      </c>
      <c r="I536" s="12" t="s">
        <v>1107</v>
      </c>
      <c r="J536" s="12"/>
      <c r="K536" s="12" t="s">
        <v>1062</v>
      </c>
      <c r="L536" s="12" t="s">
        <v>1110</v>
      </c>
      <c r="M536" s="12" t="s">
        <v>838</v>
      </c>
      <c r="N536" t="s">
        <v>1488</v>
      </c>
      <c r="O536" t="s">
        <v>1418</v>
      </c>
      <c r="P536" s="26">
        <v>2E-3</v>
      </c>
      <c r="Q536" s="22">
        <v>1</v>
      </c>
      <c r="R536" s="16">
        <v>1.4698328328388288E-3</v>
      </c>
    </row>
    <row r="537" spans="1:18" x14ac:dyDescent="0.45">
      <c r="A537" s="7">
        <v>578</v>
      </c>
      <c r="B537" s="7" t="s">
        <v>1432</v>
      </c>
      <c r="C537" s="3" t="s">
        <v>1433</v>
      </c>
      <c r="D537" s="3" t="s">
        <v>1434</v>
      </c>
      <c r="E537" t="s">
        <v>1435</v>
      </c>
      <c r="F537" t="s">
        <v>985</v>
      </c>
      <c r="G537" t="s">
        <v>830</v>
      </c>
      <c r="H537" t="s">
        <v>808</v>
      </c>
      <c r="I537" s="12" t="s">
        <v>1107</v>
      </c>
      <c r="J537" t="s">
        <v>1292</v>
      </c>
      <c r="K537" s="12" t="s">
        <v>1062</v>
      </c>
      <c r="L537" s="12" t="s">
        <v>1110</v>
      </c>
      <c r="M537" s="12" t="s">
        <v>838</v>
      </c>
      <c r="N537" t="s">
        <v>1403</v>
      </c>
      <c r="O537" t="s">
        <v>1437</v>
      </c>
      <c r="P537" s="31">
        <v>0.01</v>
      </c>
      <c r="Q537">
        <v>1</v>
      </c>
      <c r="R537">
        <v>1.2E-4</v>
      </c>
    </row>
    <row r="538" spans="1:18" x14ac:dyDescent="0.45">
      <c r="A538" s="7">
        <v>579</v>
      </c>
      <c r="B538" s="7" t="s">
        <v>1432</v>
      </c>
      <c r="C538" s="3" t="s">
        <v>1433</v>
      </c>
      <c r="D538" s="3" t="s">
        <v>1434</v>
      </c>
      <c r="E538" t="s">
        <v>1435</v>
      </c>
      <c r="F538" t="s">
        <v>1010</v>
      </c>
      <c r="G538" t="s">
        <v>830</v>
      </c>
      <c r="H538" t="s">
        <v>808</v>
      </c>
      <c r="I538" s="12" t="s">
        <v>1107</v>
      </c>
      <c r="J538" t="s">
        <v>1292</v>
      </c>
      <c r="K538" s="12" t="s">
        <v>1062</v>
      </c>
      <c r="L538" s="12" t="s">
        <v>1110</v>
      </c>
      <c r="M538" s="12" t="s">
        <v>838</v>
      </c>
      <c r="N538" t="s">
        <v>1403</v>
      </c>
      <c r="O538" t="s">
        <v>1438</v>
      </c>
      <c r="P538" s="31">
        <v>0.01</v>
      </c>
      <c r="Q538">
        <v>1</v>
      </c>
      <c r="R538">
        <v>1.2E-4</v>
      </c>
    </row>
    <row r="539" spans="1:18" x14ac:dyDescent="0.45">
      <c r="A539" s="7">
        <v>580</v>
      </c>
      <c r="B539" s="7" t="s">
        <v>1532</v>
      </c>
      <c r="C539" s="3" t="s">
        <v>1439</v>
      </c>
      <c r="D539" s="3" t="s">
        <v>1440</v>
      </c>
      <c r="E539" t="s">
        <v>1441</v>
      </c>
      <c r="F539" t="s">
        <v>984</v>
      </c>
      <c r="G539" t="s">
        <v>830</v>
      </c>
      <c r="H539" t="s">
        <v>808</v>
      </c>
      <c r="I539" s="12" t="s">
        <v>1107</v>
      </c>
      <c r="J539" t="s">
        <v>1292</v>
      </c>
      <c r="K539" s="12" t="s">
        <v>1062</v>
      </c>
      <c r="L539" s="12" t="s">
        <v>1110</v>
      </c>
      <c r="M539" s="12" t="s">
        <v>838</v>
      </c>
      <c r="N539" t="s">
        <v>1403</v>
      </c>
      <c r="O539" t="s">
        <v>1442</v>
      </c>
      <c r="P539" s="31">
        <v>0.01</v>
      </c>
      <c r="Q539">
        <v>1</v>
      </c>
      <c r="R539">
        <v>1.2E-4</v>
      </c>
    </row>
    <row r="540" spans="1:18" x14ac:dyDescent="0.45">
      <c r="A540" s="7">
        <v>581</v>
      </c>
      <c r="B540" s="7" t="s">
        <v>1532</v>
      </c>
      <c r="C540" s="3" t="s">
        <v>1439</v>
      </c>
      <c r="D540" s="3" t="s">
        <v>1440</v>
      </c>
      <c r="E540" t="s">
        <v>1441</v>
      </c>
      <c r="F540" t="s">
        <v>985</v>
      </c>
      <c r="G540" t="s">
        <v>830</v>
      </c>
      <c r="H540" t="s">
        <v>808</v>
      </c>
      <c r="I540" s="12" t="s">
        <v>1107</v>
      </c>
      <c r="J540" t="s">
        <v>1292</v>
      </c>
      <c r="K540" s="12" t="s">
        <v>1062</v>
      </c>
      <c r="L540" s="12" t="s">
        <v>1110</v>
      </c>
      <c r="M540" s="12" t="s">
        <v>838</v>
      </c>
      <c r="N540" t="s">
        <v>1403</v>
      </c>
      <c r="O540" t="s">
        <v>1443</v>
      </c>
      <c r="P540" s="31">
        <v>0.01</v>
      </c>
      <c r="Q540">
        <v>1</v>
      </c>
      <c r="R540">
        <v>1.2E-4</v>
      </c>
    </row>
    <row r="541" spans="1:18" x14ac:dyDescent="0.45">
      <c r="A541" s="7">
        <v>582</v>
      </c>
      <c r="B541" s="7" t="s">
        <v>1532</v>
      </c>
      <c r="C541" s="3" t="s">
        <v>1439</v>
      </c>
      <c r="D541" s="3" t="s">
        <v>1440</v>
      </c>
      <c r="E541" t="s">
        <v>1441</v>
      </c>
      <c r="F541" t="s">
        <v>1010</v>
      </c>
      <c r="G541" t="s">
        <v>830</v>
      </c>
      <c r="H541" t="s">
        <v>808</v>
      </c>
      <c r="I541" s="12" t="s">
        <v>1107</v>
      </c>
      <c r="J541" t="s">
        <v>1292</v>
      </c>
      <c r="K541" s="12" t="s">
        <v>1062</v>
      </c>
      <c r="L541" s="12" t="s">
        <v>1110</v>
      </c>
      <c r="M541" s="12" t="s">
        <v>838</v>
      </c>
      <c r="N541" t="s">
        <v>1403</v>
      </c>
      <c r="O541" t="s">
        <v>1444</v>
      </c>
      <c r="P541" s="31">
        <v>0.01</v>
      </c>
      <c r="Q541">
        <v>1</v>
      </c>
      <c r="R541">
        <v>1.2E-4</v>
      </c>
    </row>
    <row r="542" spans="1:18" x14ac:dyDescent="0.45">
      <c r="A542" s="7">
        <v>583</v>
      </c>
      <c r="B542" s="7" t="s">
        <v>1533</v>
      </c>
      <c r="C542" s="3" t="s">
        <v>1445</v>
      </c>
      <c r="D542" s="3" t="s">
        <v>1446</v>
      </c>
      <c r="E542" t="s">
        <v>1447</v>
      </c>
      <c r="F542" t="s">
        <v>984</v>
      </c>
      <c r="G542" t="s">
        <v>830</v>
      </c>
      <c r="H542" t="s">
        <v>808</v>
      </c>
      <c r="I542" s="12" t="s">
        <v>1107</v>
      </c>
      <c r="J542" t="s">
        <v>1292</v>
      </c>
      <c r="K542" s="12" t="s">
        <v>1062</v>
      </c>
      <c r="L542" s="12" t="s">
        <v>1110</v>
      </c>
      <c r="M542" s="12" t="s">
        <v>838</v>
      </c>
      <c r="N542" t="s">
        <v>1403</v>
      </c>
      <c r="O542" t="s">
        <v>1448</v>
      </c>
      <c r="P542" s="31">
        <v>0.01</v>
      </c>
      <c r="Q542">
        <v>1</v>
      </c>
      <c r="R542">
        <v>1.2E-4</v>
      </c>
    </row>
    <row r="543" spans="1:18" x14ac:dyDescent="0.45">
      <c r="A543" s="7">
        <v>584</v>
      </c>
      <c r="B543" s="7" t="s">
        <v>1533</v>
      </c>
      <c r="C543" s="3" t="s">
        <v>1445</v>
      </c>
      <c r="D543" s="3" t="s">
        <v>1446</v>
      </c>
      <c r="E543" t="s">
        <v>1447</v>
      </c>
      <c r="F543" t="s">
        <v>985</v>
      </c>
      <c r="G543" t="s">
        <v>830</v>
      </c>
      <c r="H543" t="s">
        <v>808</v>
      </c>
      <c r="I543" s="12" t="s">
        <v>1107</v>
      </c>
      <c r="J543" t="s">
        <v>1292</v>
      </c>
      <c r="K543" s="12" t="s">
        <v>1062</v>
      </c>
      <c r="L543" s="12" t="s">
        <v>1110</v>
      </c>
      <c r="M543" s="12" t="s">
        <v>838</v>
      </c>
      <c r="N543" t="s">
        <v>1403</v>
      </c>
      <c r="O543" t="s">
        <v>1449</v>
      </c>
      <c r="P543" s="31">
        <v>0.01</v>
      </c>
      <c r="Q543">
        <v>1</v>
      </c>
      <c r="R543">
        <v>1.2E-4</v>
      </c>
    </row>
    <row r="544" spans="1:18" x14ac:dyDescent="0.45">
      <c r="A544" s="7">
        <v>585</v>
      </c>
      <c r="B544" s="7" t="s">
        <v>1533</v>
      </c>
      <c r="C544" s="3" t="s">
        <v>1445</v>
      </c>
      <c r="D544" s="3" t="s">
        <v>1446</v>
      </c>
      <c r="E544" t="s">
        <v>1447</v>
      </c>
      <c r="F544" t="s">
        <v>1010</v>
      </c>
      <c r="G544" t="s">
        <v>830</v>
      </c>
      <c r="H544" t="s">
        <v>808</v>
      </c>
      <c r="I544" s="12" t="s">
        <v>1107</v>
      </c>
      <c r="J544" t="s">
        <v>1292</v>
      </c>
      <c r="K544" s="12" t="s">
        <v>1062</v>
      </c>
      <c r="L544" s="12" t="s">
        <v>1110</v>
      </c>
      <c r="M544" s="12" t="s">
        <v>838</v>
      </c>
      <c r="N544" t="s">
        <v>1403</v>
      </c>
      <c r="O544" t="s">
        <v>1450</v>
      </c>
      <c r="P544" s="31">
        <v>0.01</v>
      </c>
      <c r="Q544">
        <v>1</v>
      </c>
      <c r="R544">
        <v>1.2E-4</v>
      </c>
    </row>
    <row r="545" spans="1:18" x14ac:dyDescent="0.45">
      <c r="A545" s="7">
        <v>586</v>
      </c>
      <c r="B545" s="7" t="s">
        <v>1545</v>
      </c>
      <c r="C545" s="7" t="s">
        <v>1548</v>
      </c>
      <c r="D545" s="7" t="s">
        <v>1551</v>
      </c>
      <c r="E545" t="s">
        <v>1451</v>
      </c>
      <c r="F545" t="s">
        <v>984</v>
      </c>
      <c r="G545" t="s">
        <v>833</v>
      </c>
      <c r="H545" t="s">
        <v>808</v>
      </c>
      <c r="I545" t="s">
        <v>1107</v>
      </c>
      <c r="J545" t="s">
        <v>1292</v>
      </c>
      <c r="K545" t="s">
        <v>1062</v>
      </c>
      <c r="L545" t="s">
        <v>1110</v>
      </c>
      <c r="M545" s="12" t="s">
        <v>838</v>
      </c>
      <c r="N545" t="s">
        <v>1488</v>
      </c>
      <c r="O545" t="s">
        <v>1452</v>
      </c>
      <c r="P545" s="31">
        <v>1E-4</v>
      </c>
      <c r="Q545">
        <v>1</v>
      </c>
      <c r="R545">
        <v>1.2E-4</v>
      </c>
    </row>
    <row r="546" spans="1:18" x14ac:dyDescent="0.45">
      <c r="A546" s="7">
        <v>587</v>
      </c>
      <c r="B546" s="7" t="s">
        <v>1545</v>
      </c>
      <c r="C546" s="7" t="s">
        <v>1548</v>
      </c>
      <c r="D546" s="7" t="s">
        <v>1551</v>
      </c>
      <c r="E546" t="s">
        <v>1451</v>
      </c>
      <c r="F546" t="s">
        <v>985</v>
      </c>
      <c r="G546" t="s">
        <v>833</v>
      </c>
      <c r="H546" t="s">
        <v>808</v>
      </c>
      <c r="I546" t="s">
        <v>1107</v>
      </c>
      <c r="J546" t="s">
        <v>1292</v>
      </c>
      <c r="K546" t="s">
        <v>1062</v>
      </c>
      <c r="L546" t="s">
        <v>1110</v>
      </c>
      <c r="M546" s="12" t="s">
        <v>838</v>
      </c>
      <c r="N546" t="s">
        <v>1488</v>
      </c>
      <c r="O546" t="s">
        <v>1453</v>
      </c>
      <c r="P546" s="31">
        <v>1E-4</v>
      </c>
      <c r="Q546">
        <v>1</v>
      </c>
      <c r="R546">
        <v>1.2E-4</v>
      </c>
    </row>
    <row r="547" spans="1:18" x14ac:dyDescent="0.45">
      <c r="A547" s="7">
        <v>588</v>
      </c>
      <c r="B547" s="7" t="s">
        <v>1545</v>
      </c>
      <c r="C547" s="7" t="s">
        <v>1548</v>
      </c>
      <c r="D547" s="7" t="s">
        <v>1551</v>
      </c>
      <c r="E547" t="s">
        <v>1451</v>
      </c>
      <c r="F547" t="s">
        <v>1010</v>
      </c>
      <c r="G547" t="s">
        <v>833</v>
      </c>
      <c r="H547" t="s">
        <v>808</v>
      </c>
      <c r="I547" t="s">
        <v>1107</v>
      </c>
      <c r="J547" t="s">
        <v>1292</v>
      </c>
      <c r="K547" t="s">
        <v>1062</v>
      </c>
      <c r="L547" t="s">
        <v>1110</v>
      </c>
      <c r="M547" s="12" t="s">
        <v>838</v>
      </c>
      <c r="N547" t="s">
        <v>1488</v>
      </c>
      <c r="O547" t="s">
        <v>1454</v>
      </c>
      <c r="P547" s="31">
        <v>1E-4</v>
      </c>
      <c r="Q547">
        <v>1</v>
      </c>
      <c r="R547">
        <v>1.2E-4</v>
      </c>
    </row>
    <row r="548" spans="1:18" x14ac:dyDescent="0.45">
      <c r="A548" s="7">
        <v>589</v>
      </c>
      <c r="B548" s="7" t="s">
        <v>1543</v>
      </c>
      <c r="C548" s="7" t="s">
        <v>1628</v>
      </c>
      <c r="D548" s="7" t="s">
        <v>1549</v>
      </c>
      <c r="E548" t="s">
        <v>1455</v>
      </c>
      <c r="F548" t="s">
        <v>984</v>
      </c>
      <c r="G548" t="s">
        <v>833</v>
      </c>
      <c r="H548" t="s">
        <v>808</v>
      </c>
      <c r="I548" t="s">
        <v>1107</v>
      </c>
      <c r="J548" t="s">
        <v>1292</v>
      </c>
      <c r="K548" t="s">
        <v>1062</v>
      </c>
      <c r="L548" t="s">
        <v>1110</v>
      </c>
      <c r="M548" s="12" t="s">
        <v>838</v>
      </c>
      <c r="N548" t="s">
        <v>1488</v>
      </c>
      <c r="O548" t="s">
        <v>1456</v>
      </c>
      <c r="P548" s="31">
        <v>1E-4</v>
      </c>
      <c r="Q548">
        <v>1</v>
      </c>
      <c r="R548">
        <v>1.2E-4</v>
      </c>
    </row>
    <row r="549" spans="1:18" x14ac:dyDescent="0.45">
      <c r="A549" s="7">
        <v>590</v>
      </c>
      <c r="B549" s="7" t="s">
        <v>1543</v>
      </c>
      <c r="C549" s="7" t="s">
        <v>1628</v>
      </c>
      <c r="D549" s="7" t="s">
        <v>1549</v>
      </c>
      <c r="E549" t="s">
        <v>1455</v>
      </c>
      <c r="F549" t="s">
        <v>985</v>
      </c>
      <c r="G549" t="s">
        <v>833</v>
      </c>
      <c r="H549" t="s">
        <v>808</v>
      </c>
      <c r="I549" t="s">
        <v>1107</v>
      </c>
      <c r="J549" t="s">
        <v>1292</v>
      </c>
      <c r="K549" t="s">
        <v>1062</v>
      </c>
      <c r="L549" t="s">
        <v>1110</v>
      </c>
      <c r="M549" s="12" t="s">
        <v>838</v>
      </c>
      <c r="N549" t="s">
        <v>1488</v>
      </c>
      <c r="O549" t="s">
        <v>1457</v>
      </c>
      <c r="P549" s="31">
        <v>1E-4</v>
      </c>
      <c r="Q549">
        <v>1</v>
      </c>
      <c r="R549">
        <v>1.2E-4</v>
      </c>
    </row>
    <row r="550" spans="1:18" x14ac:dyDescent="0.45">
      <c r="A550" s="7">
        <v>591</v>
      </c>
      <c r="B550" s="7" t="s">
        <v>1543</v>
      </c>
      <c r="C550" s="7" t="s">
        <v>1628</v>
      </c>
      <c r="D550" s="7" t="s">
        <v>1549</v>
      </c>
      <c r="E550" t="s">
        <v>1455</v>
      </c>
      <c r="F550" t="s">
        <v>1010</v>
      </c>
      <c r="G550" t="s">
        <v>833</v>
      </c>
      <c r="H550" t="s">
        <v>808</v>
      </c>
      <c r="I550" t="s">
        <v>1107</v>
      </c>
      <c r="J550" t="s">
        <v>1292</v>
      </c>
      <c r="K550" t="s">
        <v>1062</v>
      </c>
      <c r="L550" t="s">
        <v>1110</v>
      </c>
      <c r="M550" s="12" t="s">
        <v>838</v>
      </c>
      <c r="N550" t="s">
        <v>1488</v>
      </c>
      <c r="O550" t="s">
        <v>1458</v>
      </c>
      <c r="P550" s="31">
        <v>1E-4</v>
      </c>
      <c r="Q550">
        <v>1</v>
      </c>
      <c r="R550">
        <v>1.2E-4</v>
      </c>
    </row>
    <row r="551" spans="1:18" x14ac:dyDescent="0.45">
      <c r="A551" s="7">
        <v>592</v>
      </c>
      <c r="B551" s="7" t="s">
        <v>1459</v>
      </c>
      <c r="C551" s="3" t="s">
        <v>1460</v>
      </c>
      <c r="D551" s="3" t="s">
        <v>1461</v>
      </c>
      <c r="E551" t="s">
        <v>1462</v>
      </c>
      <c r="F551" t="s">
        <v>990</v>
      </c>
      <c r="G551" t="s">
        <v>830</v>
      </c>
      <c r="H551" t="s">
        <v>808</v>
      </c>
      <c r="I551" s="12" t="s">
        <v>1107</v>
      </c>
      <c r="J551" t="s">
        <v>1292</v>
      </c>
      <c r="K551" s="12" t="s">
        <v>1062</v>
      </c>
      <c r="L551" s="12" t="s">
        <v>1110</v>
      </c>
      <c r="M551" s="12" t="s">
        <v>838</v>
      </c>
      <c r="N551" t="s">
        <v>1403</v>
      </c>
      <c r="O551" t="s">
        <v>1463</v>
      </c>
      <c r="P551" s="31">
        <v>0.01</v>
      </c>
      <c r="Q551">
        <v>1</v>
      </c>
      <c r="R551">
        <v>1.2E-4</v>
      </c>
    </row>
    <row r="552" spans="1:18" x14ac:dyDescent="0.45">
      <c r="A552" s="7">
        <v>593</v>
      </c>
      <c r="B552" s="7" t="s">
        <v>1464</v>
      </c>
      <c r="C552" s="3" t="s">
        <v>1465</v>
      </c>
      <c r="D552" s="3" t="s">
        <v>1466</v>
      </c>
      <c r="E552" t="s">
        <v>1467</v>
      </c>
      <c r="F552" t="s">
        <v>990</v>
      </c>
      <c r="G552" t="s">
        <v>830</v>
      </c>
      <c r="H552" t="s">
        <v>808</v>
      </c>
      <c r="I552" s="12" t="s">
        <v>1107</v>
      </c>
      <c r="J552" t="s">
        <v>1292</v>
      </c>
      <c r="K552" s="12" t="s">
        <v>1062</v>
      </c>
      <c r="L552" s="12" t="s">
        <v>1110</v>
      </c>
      <c r="M552" s="12" t="s">
        <v>838</v>
      </c>
      <c r="N552" t="s">
        <v>1403</v>
      </c>
      <c r="O552" t="s">
        <v>1468</v>
      </c>
      <c r="P552" s="31">
        <v>0.01</v>
      </c>
      <c r="Q552">
        <v>1</v>
      </c>
      <c r="R552">
        <v>1.2E-4</v>
      </c>
    </row>
    <row r="553" spans="1:18" x14ac:dyDescent="0.45">
      <c r="A553" s="7">
        <v>594</v>
      </c>
      <c r="B553" s="7" t="s">
        <v>1469</v>
      </c>
      <c r="C553" s="3" t="s">
        <v>1470</v>
      </c>
      <c r="D553" s="3" t="s">
        <v>1471</v>
      </c>
      <c r="E553" t="s">
        <v>1472</v>
      </c>
      <c r="F553" t="s">
        <v>990</v>
      </c>
      <c r="G553" t="s">
        <v>830</v>
      </c>
      <c r="H553" t="s">
        <v>808</v>
      </c>
      <c r="I553" s="12" t="s">
        <v>1107</v>
      </c>
      <c r="J553" t="s">
        <v>1292</v>
      </c>
      <c r="K553" s="12" t="s">
        <v>1062</v>
      </c>
      <c r="L553" s="12" t="s">
        <v>1110</v>
      </c>
      <c r="M553" s="12" t="s">
        <v>838</v>
      </c>
      <c r="N553" t="s">
        <v>1403</v>
      </c>
      <c r="O553" t="s">
        <v>1473</v>
      </c>
      <c r="P553" s="31">
        <v>0.01</v>
      </c>
      <c r="Q553">
        <v>1</v>
      </c>
      <c r="R553">
        <v>1.2E-4</v>
      </c>
    </row>
    <row r="554" spans="1:18" x14ac:dyDescent="0.45">
      <c r="A554" s="7">
        <v>595</v>
      </c>
      <c r="B554" s="7" t="s">
        <v>1544</v>
      </c>
      <c r="C554" s="7" t="s">
        <v>1629</v>
      </c>
      <c r="D554" s="7" t="s">
        <v>1550</v>
      </c>
      <c r="E554" t="s">
        <v>1474</v>
      </c>
      <c r="F554" t="s">
        <v>984</v>
      </c>
      <c r="G554" t="s">
        <v>833</v>
      </c>
      <c r="H554" t="s">
        <v>808</v>
      </c>
      <c r="I554" t="s">
        <v>1107</v>
      </c>
      <c r="J554" t="s">
        <v>1292</v>
      </c>
      <c r="K554" t="s">
        <v>1062</v>
      </c>
      <c r="L554" t="s">
        <v>1110</v>
      </c>
      <c r="M554" s="12" t="s">
        <v>838</v>
      </c>
      <c r="N554" t="s">
        <v>1488</v>
      </c>
      <c r="O554" t="s">
        <v>1475</v>
      </c>
      <c r="P554" s="31">
        <v>1E-4</v>
      </c>
      <c r="Q554">
        <v>1</v>
      </c>
      <c r="R554">
        <v>1.2E-4</v>
      </c>
    </row>
    <row r="555" spans="1:18" x14ac:dyDescent="0.45">
      <c r="A555" s="7">
        <v>596</v>
      </c>
      <c r="B555" s="7" t="s">
        <v>1544</v>
      </c>
      <c r="C555" s="7" t="s">
        <v>1629</v>
      </c>
      <c r="D555" s="7" t="s">
        <v>1550</v>
      </c>
      <c r="E555" t="s">
        <v>1474</v>
      </c>
      <c r="F555" t="s">
        <v>985</v>
      </c>
      <c r="G555" t="s">
        <v>833</v>
      </c>
      <c r="H555" t="s">
        <v>808</v>
      </c>
      <c r="I555" t="s">
        <v>1107</v>
      </c>
      <c r="J555" t="s">
        <v>1292</v>
      </c>
      <c r="K555" t="s">
        <v>1062</v>
      </c>
      <c r="L555" t="s">
        <v>1110</v>
      </c>
      <c r="M555" s="12" t="s">
        <v>838</v>
      </c>
      <c r="N555" t="s">
        <v>1488</v>
      </c>
      <c r="O555" t="s">
        <v>1476</v>
      </c>
      <c r="P555" s="31">
        <v>1E-4</v>
      </c>
      <c r="Q555">
        <v>1</v>
      </c>
      <c r="R555">
        <v>1.2E-4</v>
      </c>
    </row>
    <row r="556" spans="1:18" x14ac:dyDescent="0.45">
      <c r="A556" s="7">
        <v>597</v>
      </c>
      <c r="B556" s="7" t="s">
        <v>1544</v>
      </c>
      <c r="C556" s="7" t="s">
        <v>1629</v>
      </c>
      <c r="D556" s="7" t="s">
        <v>1550</v>
      </c>
      <c r="E556" t="s">
        <v>1474</v>
      </c>
      <c r="F556" t="s">
        <v>1010</v>
      </c>
      <c r="G556" t="s">
        <v>833</v>
      </c>
      <c r="H556" t="s">
        <v>808</v>
      </c>
      <c r="I556" t="s">
        <v>1107</v>
      </c>
      <c r="J556" t="s">
        <v>1292</v>
      </c>
      <c r="K556" t="s">
        <v>1062</v>
      </c>
      <c r="L556" t="s">
        <v>1110</v>
      </c>
      <c r="M556" s="12" t="s">
        <v>838</v>
      </c>
      <c r="N556" t="s">
        <v>1488</v>
      </c>
      <c r="O556" t="s">
        <v>1477</v>
      </c>
      <c r="P556" s="31">
        <v>1E-4</v>
      </c>
      <c r="Q556">
        <v>1</v>
      </c>
      <c r="R556">
        <v>1.2E-4</v>
      </c>
    </row>
    <row r="557" spans="1:18" x14ac:dyDescent="0.45">
      <c r="A557" s="7">
        <v>598</v>
      </c>
      <c r="B557" s="7" t="s">
        <v>1534</v>
      </c>
      <c r="C557" s="3" t="s">
        <v>1364</v>
      </c>
      <c r="D557" s="3" t="s">
        <v>1365</v>
      </c>
      <c r="E557" t="s">
        <v>1478</v>
      </c>
      <c r="F557" t="s">
        <v>984</v>
      </c>
      <c r="G557" t="s">
        <v>830</v>
      </c>
      <c r="H557" t="s">
        <v>808</v>
      </c>
      <c r="I557" s="12" t="s">
        <v>1107</v>
      </c>
      <c r="J557" t="s">
        <v>1292</v>
      </c>
      <c r="K557" s="12" t="s">
        <v>1062</v>
      </c>
      <c r="L557" s="12" t="s">
        <v>1110</v>
      </c>
      <c r="M557" s="12" t="s">
        <v>838</v>
      </c>
      <c r="N557" t="s">
        <v>1403</v>
      </c>
      <c r="O557" t="s">
        <v>1479</v>
      </c>
      <c r="P557" s="31">
        <v>0.01</v>
      </c>
      <c r="Q557">
        <v>1</v>
      </c>
      <c r="R557">
        <v>1.2E-4</v>
      </c>
    </row>
    <row r="558" spans="1:18" x14ac:dyDescent="0.45">
      <c r="A558" s="7">
        <v>599</v>
      </c>
      <c r="B558" s="7" t="s">
        <v>1534</v>
      </c>
      <c r="C558" s="3" t="s">
        <v>1364</v>
      </c>
      <c r="D558" s="3" t="s">
        <v>1365</v>
      </c>
      <c r="E558" t="s">
        <v>1478</v>
      </c>
      <c r="F558" t="s">
        <v>985</v>
      </c>
      <c r="G558" t="s">
        <v>830</v>
      </c>
      <c r="H558" t="s">
        <v>808</v>
      </c>
      <c r="I558" s="12" t="s">
        <v>1107</v>
      </c>
      <c r="J558" t="s">
        <v>1292</v>
      </c>
      <c r="K558" s="12" t="s">
        <v>1062</v>
      </c>
      <c r="L558" s="12" t="s">
        <v>1110</v>
      </c>
      <c r="M558" s="12" t="s">
        <v>838</v>
      </c>
      <c r="N558" t="s">
        <v>1403</v>
      </c>
      <c r="O558" t="s">
        <v>1480</v>
      </c>
      <c r="P558" s="31">
        <v>0.01</v>
      </c>
      <c r="Q558">
        <v>1</v>
      </c>
      <c r="R558">
        <v>1.2E-4</v>
      </c>
    </row>
    <row r="559" spans="1:18" x14ac:dyDescent="0.45">
      <c r="A559" s="7">
        <v>600</v>
      </c>
      <c r="B559" s="7" t="s">
        <v>1534</v>
      </c>
      <c r="C559" s="3" t="s">
        <v>1364</v>
      </c>
      <c r="D559" s="3" t="s">
        <v>1365</v>
      </c>
      <c r="E559" t="s">
        <v>1478</v>
      </c>
      <c r="F559" t="s">
        <v>1010</v>
      </c>
      <c r="G559" t="s">
        <v>830</v>
      </c>
      <c r="H559" t="s">
        <v>808</v>
      </c>
      <c r="I559" s="12" t="s">
        <v>1107</v>
      </c>
      <c r="J559" t="s">
        <v>1292</v>
      </c>
      <c r="K559" s="12" t="s">
        <v>1062</v>
      </c>
      <c r="L559" s="12" t="s">
        <v>1110</v>
      </c>
      <c r="M559" s="12" t="s">
        <v>838</v>
      </c>
      <c r="N559" t="s">
        <v>1403</v>
      </c>
      <c r="O559" t="s">
        <v>1481</v>
      </c>
      <c r="P559" s="31">
        <v>0.01</v>
      </c>
      <c r="Q559">
        <v>1</v>
      </c>
      <c r="R559">
        <v>1.2E-4</v>
      </c>
    </row>
    <row r="560" spans="1:18" x14ac:dyDescent="0.45">
      <c r="A560" s="7">
        <v>601</v>
      </c>
      <c r="B560" s="7" t="s">
        <v>1535</v>
      </c>
      <c r="C560" s="3" t="s">
        <v>1482</v>
      </c>
      <c r="D560" s="3" t="s">
        <v>1483</v>
      </c>
      <c r="E560" t="s">
        <v>1484</v>
      </c>
      <c r="F560" t="s">
        <v>984</v>
      </c>
      <c r="G560" t="s">
        <v>830</v>
      </c>
      <c r="H560" t="s">
        <v>808</v>
      </c>
      <c r="I560" s="12" t="s">
        <v>1107</v>
      </c>
      <c r="J560" t="s">
        <v>1292</v>
      </c>
      <c r="K560" s="12" t="s">
        <v>1062</v>
      </c>
      <c r="L560" s="12" t="s">
        <v>1110</v>
      </c>
      <c r="M560" s="12" t="s">
        <v>838</v>
      </c>
      <c r="N560" t="s">
        <v>1403</v>
      </c>
      <c r="O560" t="s">
        <v>1485</v>
      </c>
      <c r="P560" s="31">
        <v>0.01</v>
      </c>
      <c r="Q560">
        <v>1</v>
      </c>
      <c r="R560">
        <v>1.2E-4</v>
      </c>
    </row>
    <row r="561" spans="1:18" x14ac:dyDescent="0.45">
      <c r="A561" s="7">
        <v>602</v>
      </c>
      <c r="B561" s="7" t="s">
        <v>1535</v>
      </c>
      <c r="C561" s="3" t="s">
        <v>1482</v>
      </c>
      <c r="D561" s="3" t="s">
        <v>1483</v>
      </c>
      <c r="E561" t="s">
        <v>1484</v>
      </c>
      <c r="F561" t="s">
        <v>985</v>
      </c>
      <c r="G561" t="s">
        <v>830</v>
      </c>
      <c r="H561" t="s">
        <v>808</v>
      </c>
      <c r="I561" s="12" t="s">
        <v>1107</v>
      </c>
      <c r="J561" t="s">
        <v>1292</v>
      </c>
      <c r="K561" s="12" t="s">
        <v>1062</v>
      </c>
      <c r="L561" s="12" t="s">
        <v>1110</v>
      </c>
      <c r="M561" s="12" t="s">
        <v>838</v>
      </c>
      <c r="N561" t="s">
        <v>1403</v>
      </c>
      <c r="O561" t="s">
        <v>1486</v>
      </c>
      <c r="P561" s="31">
        <v>0.01</v>
      </c>
      <c r="Q561">
        <v>1</v>
      </c>
      <c r="R561">
        <v>1.2E-4</v>
      </c>
    </row>
    <row r="562" spans="1:18" x14ac:dyDescent="0.45">
      <c r="A562" s="7">
        <v>603</v>
      </c>
      <c r="B562" s="7" t="s">
        <v>1535</v>
      </c>
      <c r="C562" s="3" t="s">
        <v>1482</v>
      </c>
      <c r="D562" s="3" t="s">
        <v>1483</v>
      </c>
      <c r="E562" t="s">
        <v>1484</v>
      </c>
      <c r="F562" t="s">
        <v>1010</v>
      </c>
      <c r="G562" t="s">
        <v>830</v>
      </c>
      <c r="H562" t="s">
        <v>808</v>
      </c>
      <c r="I562" s="12" t="s">
        <v>1107</v>
      </c>
      <c r="J562" t="s">
        <v>1292</v>
      </c>
      <c r="K562" s="12" t="s">
        <v>1062</v>
      </c>
      <c r="L562" s="12" t="s">
        <v>1110</v>
      </c>
      <c r="M562" s="12" t="s">
        <v>838</v>
      </c>
      <c r="N562" t="s">
        <v>1403</v>
      </c>
      <c r="O562" t="s">
        <v>1487</v>
      </c>
      <c r="P562" s="31">
        <v>0.01</v>
      </c>
      <c r="Q562">
        <v>1</v>
      </c>
      <c r="R562">
        <v>1.2E-4</v>
      </c>
    </row>
    <row r="563" spans="1:18" x14ac:dyDescent="0.45">
      <c r="A563" s="7">
        <v>604</v>
      </c>
      <c r="B563" s="7" t="s">
        <v>1490</v>
      </c>
      <c r="C563" s="3" t="s">
        <v>1515</v>
      </c>
      <c r="D563" s="3" t="s">
        <v>1491</v>
      </c>
      <c r="E563" t="s">
        <v>1501</v>
      </c>
      <c r="F563" t="s">
        <v>1010</v>
      </c>
      <c r="G563" t="s">
        <v>832</v>
      </c>
      <c r="H563" t="s">
        <v>808</v>
      </c>
      <c r="I563" t="s">
        <v>1107</v>
      </c>
      <c r="K563" t="s">
        <v>1062</v>
      </c>
      <c r="L563" t="s">
        <v>1110</v>
      </c>
      <c r="M563" t="s">
        <v>1492</v>
      </c>
      <c r="O563" t="s">
        <v>1498</v>
      </c>
      <c r="P563">
        <v>1E-4</v>
      </c>
      <c r="Q563">
        <v>1</v>
      </c>
      <c r="R563">
        <v>1.2E-4</v>
      </c>
    </row>
    <row r="564" spans="1:18" x14ac:dyDescent="0.45">
      <c r="A564" s="7">
        <v>605</v>
      </c>
      <c r="B564" s="7" t="s">
        <v>1494</v>
      </c>
      <c r="C564" s="3" t="s">
        <v>1516</v>
      </c>
      <c r="D564" s="3" t="s">
        <v>1496</v>
      </c>
      <c r="E564" t="s">
        <v>1502</v>
      </c>
      <c r="F564" t="s">
        <v>1010</v>
      </c>
      <c r="G564" t="s">
        <v>832</v>
      </c>
      <c r="H564" t="s">
        <v>783</v>
      </c>
      <c r="I564" t="s">
        <v>1107</v>
      </c>
      <c r="K564" t="s">
        <v>1062</v>
      </c>
      <c r="L564" t="s">
        <v>1110</v>
      </c>
      <c r="M564" t="s">
        <v>1492</v>
      </c>
      <c r="O564" t="s">
        <v>1493</v>
      </c>
      <c r="P564">
        <v>1E-4</v>
      </c>
      <c r="Q564">
        <v>1</v>
      </c>
      <c r="R564">
        <v>1.2E-4</v>
      </c>
    </row>
    <row r="565" spans="1:18" x14ac:dyDescent="0.45">
      <c r="A565" s="7">
        <v>606</v>
      </c>
      <c r="B565" s="7" t="s">
        <v>1495</v>
      </c>
      <c r="C565" s="3" t="s">
        <v>1500</v>
      </c>
      <c r="D565" s="3" t="s">
        <v>1497</v>
      </c>
      <c r="E565" t="s">
        <v>1503</v>
      </c>
      <c r="F565" t="s">
        <v>1010</v>
      </c>
      <c r="G565" t="s">
        <v>832</v>
      </c>
      <c r="H565" t="s">
        <v>768</v>
      </c>
      <c r="I565" t="s">
        <v>1107</v>
      </c>
      <c r="K565" t="s">
        <v>1062</v>
      </c>
      <c r="L565" t="s">
        <v>1110</v>
      </c>
      <c r="M565" t="s">
        <v>1492</v>
      </c>
      <c r="O565" t="s">
        <v>1499</v>
      </c>
      <c r="P565">
        <v>1E-4</v>
      </c>
      <c r="Q565">
        <v>1</v>
      </c>
      <c r="R565">
        <v>1.2E-4</v>
      </c>
    </row>
    <row r="566" spans="1:18" x14ac:dyDescent="0.45">
      <c r="A566" s="7">
        <v>608</v>
      </c>
      <c r="B566" s="7" t="s">
        <v>1513</v>
      </c>
      <c r="C566" s="3" t="s">
        <v>1518</v>
      </c>
      <c r="D566" s="3" t="s">
        <v>1514</v>
      </c>
      <c r="F566" t="s">
        <v>984</v>
      </c>
      <c r="G566" t="s">
        <v>832</v>
      </c>
      <c r="H566" t="s">
        <v>783</v>
      </c>
      <c r="I566" s="12" t="s">
        <v>1107</v>
      </c>
      <c r="K566" s="12" t="s">
        <v>1062</v>
      </c>
      <c r="M566" s="12" t="s">
        <v>838</v>
      </c>
      <c r="N566" s="14" t="s">
        <v>1003</v>
      </c>
      <c r="P566" s="16">
        <v>5.0000000000000001E-3</v>
      </c>
      <c r="Q566" s="22">
        <v>1</v>
      </c>
      <c r="R566" s="16">
        <v>3.6745820820970722E-3</v>
      </c>
    </row>
    <row r="567" spans="1:18" x14ac:dyDescent="0.45">
      <c r="A567" s="7">
        <v>609</v>
      </c>
      <c r="B567" s="7" t="s">
        <v>1513</v>
      </c>
      <c r="C567" s="3" t="s">
        <v>1518</v>
      </c>
      <c r="D567" s="3" t="s">
        <v>1514</v>
      </c>
      <c r="F567" t="s">
        <v>985</v>
      </c>
      <c r="G567" t="s">
        <v>832</v>
      </c>
      <c r="H567" t="s">
        <v>783</v>
      </c>
      <c r="I567" s="12" t="s">
        <v>1107</v>
      </c>
      <c r="K567" s="12" t="s">
        <v>1062</v>
      </c>
      <c r="M567" s="12" t="s">
        <v>838</v>
      </c>
      <c r="N567" s="14" t="s">
        <v>1003</v>
      </c>
      <c r="P567" s="16">
        <v>5.0000000000000001E-3</v>
      </c>
      <c r="Q567" s="22">
        <v>1</v>
      </c>
      <c r="R567" s="16">
        <v>3.6745820820970722E-3</v>
      </c>
    </row>
    <row r="568" spans="1:18" x14ac:dyDescent="0.45">
      <c r="A568" s="7">
        <v>610</v>
      </c>
      <c r="B568" s="7" t="s">
        <v>1513</v>
      </c>
      <c r="C568" s="3" t="s">
        <v>1518</v>
      </c>
      <c r="D568" s="3" t="s">
        <v>1514</v>
      </c>
      <c r="F568" t="s">
        <v>1010</v>
      </c>
      <c r="G568" t="s">
        <v>832</v>
      </c>
      <c r="H568" t="s">
        <v>783</v>
      </c>
      <c r="I568" s="12" t="s">
        <v>1107</v>
      </c>
      <c r="K568" s="12" t="s">
        <v>1062</v>
      </c>
      <c r="M568" s="12" t="s">
        <v>838</v>
      </c>
      <c r="N568" s="14" t="s">
        <v>1003</v>
      </c>
      <c r="P568" s="16">
        <v>5.0000000000000001E-3</v>
      </c>
      <c r="Q568" s="22">
        <v>1</v>
      </c>
      <c r="R568" s="16">
        <v>3.6745820820970722E-3</v>
      </c>
    </row>
    <row r="569" spans="1:18" x14ac:dyDescent="0.45">
      <c r="A569" s="7">
        <v>611</v>
      </c>
      <c r="B569" s="7" t="s">
        <v>1513</v>
      </c>
      <c r="C569" s="3" t="s">
        <v>1518</v>
      </c>
      <c r="D569" s="3" t="s">
        <v>1514</v>
      </c>
      <c r="F569" t="s">
        <v>971</v>
      </c>
      <c r="G569" t="s">
        <v>832</v>
      </c>
      <c r="H569" t="s">
        <v>783</v>
      </c>
      <c r="I569" s="12" t="s">
        <v>1107</v>
      </c>
      <c r="K569" s="12" t="s">
        <v>1062</v>
      </c>
      <c r="M569" s="12" t="s">
        <v>838</v>
      </c>
      <c r="N569" s="14" t="s">
        <v>1003</v>
      </c>
      <c r="P569" s="16">
        <v>5.0000000000000001E-3</v>
      </c>
      <c r="Q569" s="22">
        <v>1</v>
      </c>
      <c r="R569" s="16">
        <v>3.6745820820970722E-3</v>
      </c>
    </row>
    <row r="570" spans="1:18" x14ac:dyDescent="0.45">
      <c r="A570" s="7">
        <v>612</v>
      </c>
      <c r="B570" s="7" t="s">
        <v>1510</v>
      </c>
      <c r="C570" s="3" t="s">
        <v>1517</v>
      </c>
      <c r="D570" s="3" t="s">
        <v>1511</v>
      </c>
      <c r="F570" t="s">
        <v>984</v>
      </c>
      <c r="G570" t="s">
        <v>832</v>
      </c>
      <c r="H570" t="s">
        <v>808</v>
      </c>
      <c r="I570" s="12" t="s">
        <v>1107</v>
      </c>
      <c r="K570" s="12" t="s">
        <v>1062</v>
      </c>
      <c r="M570" s="12" t="s">
        <v>838</v>
      </c>
      <c r="N570" s="12" t="s">
        <v>1190</v>
      </c>
      <c r="P570" s="16">
        <v>5.0000000000000001E-3</v>
      </c>
      <c r="Q570" s="22">
        <v>1</v>
      </c>
      <c r="R570" s="16">
        <v>3.6745820820970722E-3</v>
      </c>
    </row>
    <row r="571" spans="1:18" x14ac:dyDescent="0.45">
      <c r="A571" s="7">
        <v>613</v>
      </c>
      <c r="B571" s="7" t="s">
        <v>1510</v>
      </c>
      <c r="C571" s="3" t="s">
        <v>1517</v>
      </c>
      <c r="D571" s="3" t="s">
        <v>1512</v>
      </c>
      <c r="F571" t="s">
        <v>984</v>
      </c>
      <c r="G571" t="s">
        <v>832</v>
      </c>
      <c r="H571" t="s">
        <v>808</v>
      </c>
      <c r="I571" s="12" t="s">
        <v>1107</v>
      </c>
      <c r="K571" s="12" t="s">
        <v>1062</v>
      </c>
      <c r="M571" s="12" t="s">
        <v>838</v>
      </c>
      <c r="N571" s="14" t="s">
        <v>1003</v>
      </c>
      <c r="P571" s="16">
        <v>5.0000000000000001E-3</v>
      </c>
      <c r="Q571" s="22">
        <v>1</v>
      </c>
      <c r="R571" s="16">
        <v>3.6745820820970722E-3</v>
      </c>
    </row>
    <row r="572" spans="1:18" x14ac:dyDescent="0.45">
      <c r="A572" s="7">
        <v>614</v>
      </c>
      <c r="B572" s="7" t="s">
        <v>1510</v>
      </c>
      <c r="C572" s="3" t="s">
        <v>1517</v>
      </c>
      <c r="D572" s="3" t="s">
        <v>1511</v>
      </c>
      <c r="F572" t="s">
        <v>985</v>
      </c>
      <c r="G572" t="s">
        <v>832</v>
      </c>
      <c r="H572" t="s">
        <v>808</v>
      </c>
      <c r="I572" s="12" t="s">
        <v>1107</v>
      </c>
      <c r="K572" s="12" t="s">
        <v>1062</v>
      </c>
      <c r="M572" s="12" t="s">
        <v>838</v>
      </c>
      <c r="N572" s="12" t="s">
        <v>1190</v>
      </c>
      <c r="P572" s="16">
        <v>5.0000000000000001E-3</v>
      </c>
      <c r="Q572" s="22">
        <v>1</v>
      </c>
      <c r="R572" s="16">
        <v>3.6745820820970722E-3</v>
      </c>
    </row>
    <row r="573" spans="1:18" x14ac:dyDescent="0.45">
      <c r="A573" s="7">
        <v>615</v>
      </c>
      <c r="B573" s="7" t="s">
        <v>1510</v>
      </c>
      <c r="C573" s="3" t="s">
        <v>1517</v>
      </c>
      <c r="D573" s="3" t="s">
        <v>1512</v>
      </c>
      <c r="F573" t="s">
        <v>985</v>
      </c>
      <c r="G573" t="s">
        <v>832</v>
      </c>
      <c r="H573" t="s">
        <v>808</v>
      </c>
      <c r="I573" s="12" t="s">
        <v>1107</v>
      </c>
      <c r="K573" s="12" t="s">
        <v>1062</v>
      </c>
      <c r="M573" s="12" t="s">
        <v>838</v>
      </c>
      <c r="N573" s="14" t="s">
        <v>1003</v>
      </c>
      <c r="P573" s="16">
        <v>5.0000000000000001E-3</v>
      </c>
      <c r="Q573" s="22">
        <v>1</v>
      </c>
      <c r="R573" s="16">
        <v>3.6745820820970722E-3</v>
      </c>
    </row>
    <row r="574" spans="1:18" x14ac:dyDescent="0.45">
      <c r="A574" s="7">
        <v>616</v>
      </c>
      <c r="B574" s="7" t="s">
        <v>1510</v>
      </c>
      <c r="C574" s="3" t="s">
        <v>1517</v>
      </c>
      <c r="D574" s="3" t="s">
        <v>1511</v>
      </c>
      <c r="F574" t="s">
        <v>1010</v>
      </c>
      <c r="G574" t="s">
        <v>832</v>
      </c>
      <c r="H574" t="s">
        <v>808</v>
      </c>
      <c r="I574" s="12" t="s">
        <v>1107</v>
      </c>
      <c r="K574" s="12" t="s">
        <v>1062</v>
      </c>
      <c r="M574" s="12" t="s">
        <v>838</v>
      </c>
      <c r="N574" s="12" t="s">
        <v>1190</v>
      </c>
      <c r="P574" s="16">
        <v>5.0000000000000001E-3</v>
      </c>
      <c r="Q574" s="22">
        <v>1</v>
      </c>
      <c r="R574" s="16">
        <v>3.6745820820970722E-3</v>
      </c>
    </row>
    <row r="575" spans="1:18" x14ac:dyDescent="0.45">
      <c r="A575" s="7">
        <v>617</v>
      </c>
      <c r="B575" s="7" t="s">
        <v>1510</v>
      </c>
      <c r="C575" s="3" t="s">
        <v>1517</v>
      </c>
      <c r="D575" s="3" t="s">
        <v>1512</v>
      </c>
      <c r="F575" t="s">
        <v>1010</v>
      </c>
      <c r="G575" t="s">
        <v>832</v>
      </c>
      <c r="H575" t="s">
        <v>808</v>
      </c>
      <c r="I575" s="12" t="s">
        <v>1107</v>
      </c>
      <c r="K575" s="12" t="s">
        <v>1062</v>
      </c>
      <c r="M575" s="12" t="s">
        <v>838</v>
      </c>
      <c r="N575" s="14" t="s">
        <v>1003</v>
      </c>
      <c r="P575" s="16">
        <v>5.0000000000000001E-3</v>
      </c>
      <c r="Q575" s="22">
        <v>1</v>
      </c>
      <c r="R575" s="16">
        <v>3.6745820820970722E-3</v>
      </c>
    </row>
    <row r="576" spans="1:18" x14ac:dyDescent="0.45">
      <c r="A576" s="7">
        <v>618</v>
      </c>
      <c r="B576" s="7" t="s">
        <v>1510</v>
      </c>
      <c r="C576" s="3" t="s">
        <v>1517</v>
      </c>
      <c r="D576" s="3" t="s">
        <v>1511</v>
      </c>
      <c r="F576" t="s">
        <v>971</v>
      </c>
      <c r="G576" t="s">
        <v>832</v>
      </c>
      <c r="H576" t="s">
        <v>808</v>
      </c>
      <c r="I576" s="12" t="s">
        <v>1107</v>
      </c>
      <c r="K576" s="12" t="s">
        <v>1062</v>
      </c>
      <c r="M576" s="12" t="s">
        <v>838</v>
      </c>
      <c r="N576" s="12" t="s">
        <v>1190</v>
      </c>
      <c r="P576" s="16">
        <v>5.0000000000000001E-3</v>
      </c>
      <c r="Q576" s="22">
        <v>1</v>
      </c>
      <c r="R576" s="16">
        <v>3.6745820820970722E-3</v>
      </c>
    </row>
    <row r="577" spans="1:18" x14ac:dyDescent="0.45">
      <c r="A577" s="7">
        <v>619</v>
      </c>
      <c r="B577" s="7" t="s">
        <v>1510</v>
      </c>
      <c r="C577" s="3" t="s">
        <v>1517</v>
      </c>
      <c r="D577" s="3" t="s">
        <v>1512</v>
      </c>
      <c r="F577" t="s">
        <v>971</v>
      </c>
      <c r="G577" t="s">
        <v>832</v>
      </c>
      <c r="H577" t="s">
        <v>808</v>
      </c>
      <c r="I577" s="12" t="s">
        <v>1107</v>
      </c>
      <c r="K577" s="12" t="s">
        <v>1062</v>
      </c>
      <c r="M577" s="12" t="s">
        <v>838</v>
      </c>
      <c r="N577" s="14" t="s">
        <v>1003</v>
      </c>
      <c r="P577" s="16">
        <v>5.0000000000000001E-3</v>
      </c>
      <c r="Q577" s="22">
        <v>1</v>
      </c>
      <c r="R577" s="16">
        <v>3.6745820820970722E-3</v>
      </c>
    </row>
    <row r="578" spans="1:18" x14ac:dyDescent="0.45">
      <c r="A578" s="7">
        <v>620</v>
      </c>
      <c r="B578" s="7" t="s">
        <v>1510</v>
      </c>
      <c r="C578" s="3" t="s">
        <v>1517</v>
      </c>
      <c r="D578" s="3" t="s">
        <v>1511</v>
      </c>
      <c r="F578" t="s">
        <v>986</v>
      </c>
      <c r="G578" t="s">
        <v>832</v>
      </c>
      <c r="H578" t="s">
        <v>808</v>
      </c>
      <c r="I578" s="12" t="s">
        <v>1107</v>
      </c>
      <c r="K578" s="12" t="s">
        <v>1062</v>
      </c>
      <c r="M578" s="12" t="s">
        <v>838</v>
      </c>
      <c r="N578" s="12" t="s">
        <v>1190</v>
      </c>
      <c r="P578" s="16">
        <v>5.0000000000000001E-3</v>
      </c>
      <c r="Q578" s="22">
        <v>1</v>
      </c>
      <c r="R578" s="16">
        <v>3.6745820820970722E-3</v>
      </c>
    </row>
    <row r="579" spans="1:18" x14ac:dyDescent="0.45">
      <c r="A579" s="7">
        <v>621</v>
      </c>
      <c r="B579" s="7" t="s">
        <v>1510</v>
      </c>
      <c r="C579" s="3" t="s">
        <v>1517</v>
      </c>
      <c r="D579" s="3" t="s">
        <v>1512</v>
      </c>
      <c r="F579" t="s">
        <v>986</v>
      </c>
      <c r="G579" t="s">
        <v>832</v>
      </c>
      <c r="H579" t="s">
        <v>808</v>
      </c>
      <c r="I579" s="12" t="s">
        <v>1107</v>
      </c>
      <c r="K579" s="12" t="s">
        <v>1062</v>
      </c>
      <c r="M579" s="12" t="s">
        <v>838</v>
      </c>
      <c r="N579" s="14" t="s">
        <v>1003</v>
      </c>
      <c r="P579" s="16">
        <v>5.0000000000000001E-3</v>
      </c>
      <c r="Q579" s="22">
        <v>1</v>
      </c>
      <c r="R579" s="16">
        <v>3.6745820820970722E-3</v>
      </c>
    </row>
    <row r="580" spans="1:18" x14ac:dyDescent="0.45">
      <c r="A580" s="7">
        <v>622</v>
      </c>
      <c r="B580" s="7" t="s">
        <v>1510</v>
      </c>
      <c r="C580" s="3" t="s">
        <v>1517</v>
      </c>
      <c r="D580" s="3" t="s">
        <v>1511</v>
      </c>
      <c r="F580" t="s">
        <v>987</v>
      </c>
      <c r="G580" t="s">
        <v>832</v>
      </c>
      <c r="H580" t="s">
        <v>808</v>
      </c>
      <c r="I580" s="12" t="s">
        <v>1107</v>
      </c>
      <c r="K580" s="12" t="s">
        <v>1062</v>
      </c>
      <c r="M580" s="12" t="s">
        <v>838</v>
      </c>
      <c r="N580" s="12" t="s">
        <v>1190</v>
      </c>
      <c r="P580" s="16">
        <v>5.0000000000000001E-3</v>
      </c>
      <c r="Q580" s="22">
        <v>1</v>
      </c>
      <c r="R580" s="16">
        <v>3.6745820820970722E-3</v>
      </c>
    </row>
    <row r="581" spans="1:18" x14ac:dyDescent="0.45">
      <c r="A581" s="7">
        <v>623</v>
      </c>
      <c r="B581" s="7" t="s">
        <v>1513</v>
      </c>
      <c r="C581" s="3" t="s">
        <v>1518</v>
      </c>
      <c r="D581" s="3" t="s">
        <v>1514</v>
      </c>
      <c r="F581" t="s">
        <v>987</v>
      </c>
      <c r="G581" t="s">
        <v>832</v>
      </c>
      <c r="H581" t="s">
        <v>808</v>
      </c>
      <c r="I581" s="12" t="s">
        <v>1107</v>
      </c>
      <c r="K581" s="12" t="s">
        <v>1062</v>
      </c>
      <c r="M581" s="12" t="s">
        <v>838</v>
      </c>
      <c r="N581" s="14" t="s">
        <v>1003</v>
      </c>
      <c r="P581" s="16">
        <v>5.0000000000000001E-3</v>
      </c>
      <c r="Q581" s="22">
        <v>1</v>
      </c>
      <c r="R581" s="16">
        <v>3.6745820820970722E-3</v>
      </c>
    </row>
    <row r="582" spans="1:18" x14ac:dyDescent="0.45">
      <c r="A582" s="7">
        <v>624</v>
      </c>
      <c r="B582" s="7" t="s">
        <v>1513</v>
      </c>
      <c r="C582" s="3" t="s">
        <v>1518</v>
      </c>
      <c r="D582" s="3" t="s">
        <v>1514</v>
      </c>
      <c r="F582" t="s">
        <v>986</v>
      </c>
      <c r="G582" t="s">
        <v>832</v>
      </c>
      <c r="H582" t="s">
        <v>783</v>
      </c>
      <c r="I582" s="12" t="s">
        <v>1107</v>
      </c>
      <c r="K582" s="12" t="s">
        <v>1062</v>
      </c>
      <c r="M582" s="12" t="s">
        <v>838</v>
      </c>
      <c r="N582" s="14" t="s">
        <v>1003</v>
      </c>
      <c r="P582" s="16">
        <v>5.0000000000000001E-3</v>
      </c>
      <c r="Q582" s="22">
        <v>1</v>
      </c>
      <c r="R582" s="16">
        <v>3.6745820820970722E-3</v>
      </c>
    </row>
    <row r="583" spans="1:18" x14ac:dyDescent="0.45">
      <c r="A583" s="7">
        <v>625</v>
      </c>
      <c r="B583" s="7" t="s">
        <v>1513</v>
      </c>
      <c r="C583" s="3" t="s">
        <v>1518</v>
      </c>
      <c r="D583" s="3" t="s">
        <v>1514</v>
      </c>
      <c r="F583" t="s">
        <v>987</v>
      </c>
      <c r="G583" t="s">
        <v>832</v>
      </c>
      <c r="H583" t="s">
        <v>783</v>
      </c>
      <c r="I583" s="12" t="s">
        <v>1107</v>
      </c>
      <c r="K583" s="12" t="s">
        <v>1062</v>
      </c>
      <c r="M583" s="12" t="s">
        <v>838</v>
      </c>
      <c r="N583" s="14" t="s">
        <v>1003</v>
      </c>
      <c r="P583" s="16">
        <v>5.0000000000000001E-3</v>
      </c>
      <c r="Q583" s="22">
        <v>1</v>
      </c>
      <c r="R583" s="16">
        <v>3.6745820820970722E-3</v>
      </c>
    </row>
    <row r="584" spans="1:18" x14ac:dyDescent="0.45">
      <c r="A584" s="7">
        <v>626</v>
      </c>
      <c r="B584" s="7" t="s">
        <v>1513</v>
      </c>
      <c r="C584" s="3" t="s">
        <v>1518</v>
      </c>
      <c r="D584" s="7" t="s">
        <v>1524</v>
      </c>
      <c r="F584" t="s">
        <v>984</v>
      </c>
      <c r="G584" t="s">
        <v>832</v>
      </c>
      <c r="H584" t="s">
        <v>783</v>
      </c>
      <c r="I584" s="12" t="s">
        <v>1107</v>
      </c>
      <c r="K584" s="12" t="s">
        <v>1062</v>
      </c>
      <c r="M584" s="12" t="s">
        <v>838</v>
      </c>
      <c r="P584" s="16">
        <v>5.0000000000000001E-3</v>
      </c>
      <c r="Q584" s="22">
        <v>1</v>
      </c>
      <c r="R584" s="16">
        <v>3.6745820820970722E-3</v>
      </c>
    </row>
    <row r="585" spans="1:18" x14ac:dyDescent="0.45">
      <c r="A585" s="7">
        <v>627</v>
      </c>
      <c r="B585" s="7" t="s">
        <v>1513</v>
      </c>
      <c r="C585" s="3" t="s">
        <v>1518</v>
      </c>
      <c r="D585" s="7" t="s">
        <v>1524</v>
      </c>
      <c r="F585" t="s">
        <v>985</v>
      </c>
      <c r="G585" t="s">
        <v>832</v>
      </c>
      <c r="H585" t="s">
        <v>783</v>
      </c>
      <c r="I585" s="12" t="s">
        <v>1107</v>
      </c>
      <c r="K585" s="12" t="s">
        <v>1062</v>
      </c>
      <c r="M585" s="12" t="s">
        <v>838</v>
      </c>
      <c r="P585" s="16">
        <v>5.0000000000000001E-3</v>
      </c>
      <c r="Q585" s="22">
        <v>1</v>
      </c>
      <c r="R585" s="16">
        <v>3.6745820820970722E-3</v>
      </c>
    </row>
    <row r="586" spans="1:18" x14ac:dyDescent="0.45">
      <c r="A586" s="7">
        <v>628</v>
      </c>
      <c r="B586" s="7" t="s">
        <v>1513</v>
      </c>
      <c r="C586" s="3" t="s">
        <v>1518</v>
      </c>
      <c r="D586" s="7" t="s">
        <v>1524</v>
      </c>
      <c r="F586" t="s">
        <v>1010</v>
      </c>
      <c r="G586" t="s">
        <v>832</v>
      </c>
      <c r="H586" t="s">
        <v>783</v>
      </c>
      <c r="I586" s="12" t="s">
        <v>1107</v>
      </c>
      <c r="K586" s="12" t="s">
        <v>1062</v>
      </c>
      <c r="M586" s="12" t="s">
        <v>838</v>
      </c>
      <c r="P586" s="16">
        <v>5.0000000000000001E-3</v>
      </c>
      <c r="Q586" s="22">
        <v>1</v>
      </c>
      <c r="R586" s="16">
        <v>3.6745820820970722E-3</v>
      </c>
    </row>
    <row r="587" spans="1:18" x14ac:dyDescent="0.45">
      <c r="A587" s="7">
        <v>629</v>
      </c>
      <c r="B587" s="7" t="s">
        <v>1513</v>
      </c>
      <c r="C587" s="3" t="s">
        <v>1518</v>
      </c>
      <c r="D587" s="7" t="s">
        <v>1524</v>
      </c>
      <c r="F587" t="s">
        <v>971</v>
      </c>
      <c r="G587" t="s">
        <v>832</v>
      </c>
      <c r="H587" t="s">
        <v>783</v>
      </c>
      <c r="I587" s="12" t="s">
        <v>1107</v>
      </c>
      <c r="K587" s="12" t="s">
        <v>1062</v>
      </c>
      <c r="M587" s="12" t="s">
        <v>838</v>
      </c>
      <c r="P587" s="16">
        <v>5.0000000000000001E-3</v>
      </c>
      <c r="Q587" s="22">
        <v>1</v>
      </c>
      <c r="R587" s="16">
        <v>3.6745820820970722E-3</v>
      </c>
    </row>
    <row r="588" spans="1:18" x14ac:dyDescent="0.45">
      <c r="A588" s="7">
        <v>630</v>
      </c>
      <c r="B588" s="7" t="s">
        <v>1513</v>
      </c>
      <c r="C588" s="3" t="s">
        <v>1518</v>
      </c>
      <c r="D588" s="7" t="s">
        <v>1524</v>
      </c>
      <c r="F588" t="s">
        <v>986</v>
      </c>
      <c r="G588" t="s">
        <v>832</v>
      </c>
      <c r="H588" t="s">
        <v>783</v>
      </c>
      <c r="I588" s="12" t="s">
        <v>1107</v>
      </c>
      <c r="K588" s="12" t="s">
        <v>1062</v>
      </c>
      <c r="M588" s="12" t="s">
        <v>838</v>
      </c>
      <c r="P588" s="16">
        <v>5.0000000000000001E-3</v>
      </c>
      <c r="Q588" s="22">
        <v>1</v>
      </c>
      <c r="R588" s="16">
        <v>3.6745820820970722E-3</v>
      </c>
    </row>
    <row r="589" spans="1:18" x14ac:dyDescent="0.45">
      <c r="A589" s="7">
        <v>631</v>
      </c>
      <c r="B589" s="7" t="s">
        <v>1513</v>
      </c>
      <c r="C589" s="3" t="s">
        <v>1518</v>
      </c>
      <c r="D589" s="7" t="s">
        <v>1524</v>
      </c>
      <c r="F589" t="s">
        <v>987</v>
      </c>
      <c r="G589" t="s">
        <v>832</v>
      </c>
      <c r="H589" t="s">
        <v>783</v>
      </c>
      <c r="I589" s="12" t="s">
        <v>1107</v>
      </c>
      <c r="K589" s="12" t="s">
        <v>1062</v>
      </c>
      <c r="M589" s="12" t="s">
        <v>838</v>
      </c>
      <c r="P589" s="16">
        <v>5.0000000000000001E-3</v>
      </c>
      <c r="Q589" s="22">
        <v>1</v>
      </c>
      <c r="R589" s="16">
        <v>3.6745820820970722E-3</v>
      </c>
    </row>
    <row r="590" spans="1:18" x14ac:dyDescent="0.45">
      <c r="A590" s="7">
        <v>632</v>
      </c>
      <c r="B590" s="7" t="s">
        <v>1580</v>
      </c>
      <c r="C590" s="7" t="s">
        <v>1576</v>
      </c>
      <c r="D590" s="7" t="s">
        <v>1585</v>
      </c>
      <c r="F590" t="s">
        <v>984</v>
      </c>
      <c r="G590" t="s">
        <v>831</v>
      </c>
      <c r="H590" t="s">
        <v>768</v>
      </c>
      <c r="I590" s="14" t="s">
        <v>806</v>
      </c>
      <c r="K590" s="12" t="s">
        <v>1062</v>
      </c>
      <c r="L590" s="12" t="s">
        <v>1110</v>
      </c>
      <c r="M590" s="12" t="s">
        <v>838</v>
      </c>
      <c r="N590" s="12" t="s">
        <v>1190</v>
      </c>
      <c r="P590" s="16">
        <v>1.2621692159999998E-3</v>
      </c>
      <c r="Q590" s="22">
        <v>0.75</v>
      </c>
      <c r="R590" s="16">
        <v>6.9569165785321636E-4</v>
      </c>
    </row>
    <row r="591" spans="1:18" x14ac:dyDescent="0.45">
      <c r="A591" s="7">
        <v>633</v>
      </c>
      <c r="B591" s="7" t="s">
        <v>1580</v>
      </c>
      <c r="C591" s="7" t="s">
        <v>1576</v>
      </c>
      <c r="D591" s="7" t="s">
        <v>1585</v>
      </c>
      <c r="F591" t="s">
        <v>971</v>
      </c>
      <c r="G591" t="s">
        <v>831</v>
      </c>
      <c r="H591" t="s">
        <v>768</v>
      </c>
      <c r="I591" s="14" t="s">
        <v>806</v>
      </c>
      <c r="K591" s="12" t="s">
        <v>1062</v>
      </c>
      <c r="L591" s="12" t="s">
        <v>1110</v>
      </c>
      <c r="M591" s="12" t="s">
        <v>838</v>
      </c>
      <c r="N591" s="12" t="s">
        <v>1190</v>
      </c>
      <c r="P591" s="16">
        <v>7.099701839999999E-4</v>
      </c>
      <c r="Q591" s="22">
        <v>0.75</v>
      </c>
      <c r="R591" s="16">
        <v>3.9132655754243415E-4</v>
      </c>
    </row>
    <row r="592" spans="1:18" x14ac:dyDescent="0.45">
      <c r="A592" s="7">
        <v>634</v>
      </c>
      <c r="B592" s="7" t="s">
        <v>1580</v>
      </c>
      <c r="C592" s="7" t="s">
        <v>1576</v>
      </c>
      <c r="D592" s="7" t="s">
        <v>1585</v>
      </c>
      <c r="F592" t="s">
        <v>985</v>
      </c>
      <c r="G592" t="s">
        <v>831</v>
      </c>
      <c r="H592" t="s">
        <v>768</v>
      </c>
      <c r="I592" s="14" t="s">
        <v>806</v>
      </c>
      <c r="K592" s="12" t="s">
        <v>1062</v>
      </c>
      <c r="L592" s="12" t="s">
        <v>1110</v>
      </c>
      <c r="M592" s="12" t="s">
        <v>838</v>
      </c>
      <c r="N592" s="12" t="s">
        <v>1190</v>
      </c>
      <c r="P592" s="16">
        <v>1.0900552320000001E-3</v>
      </c>
      <c r="Q592" s="22">
        <v>0.75</v>
      </c>
      <c r="R592" s="16">
        <v>6.0082461360050506E-4</v>
      </c>
    </row>
    <row r="593" spans="1:19" x14ac:dyDescent="0.45">
      <c r="A593" s="7">
        <v>635</v>
      </c>
      <c r="B593" s="7" t="s">
        <v>1580</v>
      </c>
      <c r="C593" s="7" t="s">
        <v>1576</v>
      </c>
      <c r="D593" s="7" t="s">
        <v>1585</v>
      </c>
      <c r="F593" t="s">
        <v>986</v>
      </c>
      <c r="G593" t="s">
        <v>831</v>
      </c>
      <c r="H593" t="s">
        <v>768</v>
      </c>
      <c r="I593" s="14" t="s">
        <v>806</v>
      </c>
      <c r="K593" s="12" t="s">
        <v>1062</v>
      </c>
      <c r="L593" s="12" t="s">
        <v>1110</v>
      </c>
      <c r="M593" s="12" t="s">
        <v>838</v>
      </c>
      <c r="N593" s="12" t="s">
        <v>1190</v>
      </c>
      <c r="P593" s="16">
        <v>6.1315606800000006E-4</v>
      </c>
      <c r="Q593" s="22">
        <v>0.75</v>
      </c>
      <c r="R593" s="16">
        <v>3.3796384515028411E-4</v>
      </c>
    </row>
    <row r="594" spans="1:19" x14ac:dyDescent="0.45">
      <c r="A594" s="7">
        <v>636</v>
      </c>
      <c r="B594" s="7" t="s">
        <v>1565</v>
      </c>
      <c r="C594" s="7" t="s">
        <v>1566</v>
      </c>
      <c r="D594" s="7" t="s">
        <v>1567</v>
      </c>
      <c r="F594" t="s">
        <v>984</v>
      </c>
      <c r="G594" t="s">
        <v>833</v>
      </c>
      <c r="H594" t="s">
        <v>808</v>
      </c>
      <c r="I594" s="12" t="s">
        <v>1107</v>
      </c>
      <c r="K594" s="12" t="s">
        <v>1062</v>
      </c>
      <c r="L594" s="12" t="s">
        <v>1110</v>
      </c>
      <c r="M594" s="12" t="s">
        <v>838</v>
      </c>
      <c r="N594" s="12" t="s">
        <v>1190</v>
      </c>
      <c r="O594" t="s">
        <v>1570</v>
      </c>
      <c r="P594" s="16">
        <v>1.6197838272000004E-3</v>
      </c>
      <c r="Q594" s="22">
        <v>1</v>
      </c>
      <c r="R594" s="16">
        <v>1.1904057256599482E-3</v>
      </c>
    </row>
    <row r="595" spans="1:19" x14ac:dyDescent="0.45">
      <c r="A595" s="7">
        <v>637</v>
      </c>
      <c r="B595" s="7" t="s">
        <v>1565</v>
      </c>
      <c r="C595" s="7" t="s">
        <v>1566</v>
      </c>
      <c r="D595" s="7" t="s">
        <v>1567</v>
      </c>
      <c r="F595" t="s">
        <v>971</v>
      </c>
      <c r="G595" t="s">
        <v>833</v>
      </c>
      <c r="H595" t="s">
        <v>808</v>
      </c>
      <c r="I595" s="12" t="s">
        <v>1107</v>
      </c>
      <c r="K595" s="12" t="s">
        <v>1062</v>
      </c>
      <c r="L595" s="12" t="s">
        <v>1110</v>
      </c>
      <c r="M595" s="12" t="s">
        <v>838</v>
      </c>
      <c r="N595" s="12" t="s">
        <v>1190</v>
      </c>
      <c r="O595" t="s">
        <v>1571</v>
      </c>
      <c r="P595" s="16">
        <v>9.1112840280000026E-4</v>
      </c>
      <c r="Q595" s="22">
        <v>1</v>
      </c>
      <c r="R595" s="16">
        <v>6.6960322068372092E-4</v>
      </c>
    </row>
    <row r="596" spans="1:19" x14ac:dyDescent="0.45">
      <c r="A596" s="7">
        <v>638</v>
      </c>
      <c r="B596" s="7" t="s">
        <v>1565</v>
      </c>
      <c r="C596" s="7" t="s">
        <v>1566</v>
      </c>
      <c r="D596" s="7" t="s">
        <v>1567</v>
      </c>
      <c r="F596" t="s">
        <v>985</v>
      </c>
      <c r="G596" t="s">
        <v>833</v>
      </c>
      <c r="H596" t="s">
        <v>808</v>
      </c>
      <c r="I596" s="12" t="s">
        <v>1107</v>
      </c>
      <c r="K596" s="12" t="s">
        <v>1062</v>
      </c>
      <c r="L596" s="12" t="s">
        <v>1110</v>
      </c>
      <c r="M596" s="12" t="s">
        <v>838</v>
      </c>
      <c r="N596" s="12" t="s">
        <v>1190</v>
      </c>
      <c r="P596" s="16">
        <v>1.3989042144000002E-3</v>
      </c>
      <c r="Q596" s="22">
        <v>1</v>
      </c>
      <c r="R596" s="16">
        <v>1.0280776721608644E-3</v>
      </c>
    </row>
    <row r="597" spans="1:19" x14ac:dyDescent="0.45">
      <c r="A597" s="7">
        <v>639</v>
      </c>
      <c r="B597" s="7" t="s">
        <v>1565</v>
      </c>
      <c r="C597" s="7" t="s">
        <v>1566</v>
      </c>
      <c r="D597" s="7" t="s">
        <v>1567</v>
      </c>
      <c r="F597" t="s">
        <v>986</v>
      </c>
      <c r="G597" t="s">
        <v>833</v>
      </c>
      <c r="H597" t="s">
        <v>808</v>
      </c>
      <c r="I597" s="12" t="s">
        <v>1107</v>
      </c>
      <c r="K597" s="12" t="s">
        <v>1062</v>
      </c>
      <c r="L597" s="12" t="s">
        <v>1110</v>
      </c>
      <c r="M597" s="12" t="s">
        <v>838</v>
      </c>
      <c r="N597" s="12" t="s">
        <v>1190</v>
      </c>
      <c r="P597" s="16">
        <v>7.8688362060000026E-4</v>
      </c>
      <c r="Q597" s="22">
        <v>1</v>
      </c>
      <c r="R597" s="16">
        <v>5.7829369059048629E-4</v>
      </c>
    </row>
    <row r="598" spans="1:19" x14ac:dyDescent="0.45">
      <c r="A598" s="7">
        <v>640</v>
      </c>
      <c r="B598" s="7" t="s">
        <v>1565</v>
      </c>
      <c r="C598" s="7" t="s">
        <v>1566</v>
      </c>
      <c r="D598" s="7" t="s">
        <v>1567</v>
      </c>
      <c r="F598" t="s">
        <v>1010</v>
      </c>
      <c r="G598" t="s">
        <v>833</v>
      </c>
      <c r="H598" t="s">
        <v>808</v>
      </c>
      <c r="I598" s="12" t="s">
        <v>1107</v>
      </c>
      <c r="K598" s="12" t="s">
        <v>1062</v>
      </c>
      <c r="L598" s="12" t="s">
        <v>1110</v>
      </c>
      <c r="M598" s="12" t="s">
        <v>838</v>
      </c>
      <c r="N598" s="12" t="s">
        <v>1190</v>
      </c>
      <c r="P598" s="16">
        <v>1.0859914296000002E-3</v>
      </c>
      <c r="Q598" s="22">
        <v>1</v>
      </c>
      <c r="R598" s="16">
        <v>7.9811292970382891E-4</v>
      </c>
    </row>
    <row r="599" spans="1:19" x14ac:dyDescent="0.45">
      <c r="A599" s="7">
        <v>641</v>
      </c>
      <c r="B599" s="7" t="s">
        <v>1565</v>
      </c>
      <c r="C599" s="7" t="s">
        <v>1566</v>
      </c>
      <c r="D599" s="7" t="s">
        <v>1567</v>
      </c>
      <c r="F599" t="s">
        <v>987</v>
      </c>
      <c r="G599" t="s">
        <v>833</v>
      </c>
      <c r="H599" t="s">
        <v>808</v>
      </c>
      <c r="I599" s="12" t="s">
        <v>1107</v>
      </c>
      <c r="K599" s="12" t="s">
        <v>1062</v>
      </c>
      <c r="L599" s="12" t="s">
        <v>1110</v>
      </c>
      <c r="M599" s="12" t="s">
        <v>838</v>
      </c>
      <c r="N599" s="12" t="s">
        <v>1190</v>
      </c>
      <c r="P599" s="16">
        <v>4.0724678609999992E-4</v>
      </c>
      <c r="Q599" s="22">
        <v>1</v>
      </c>
      <c r="R599" s="16">
        <v>2.9929234863893575E-4</v>
      </c>
    </row>
    <row r="600" spans="1:19" x14ac:dyDescent="0.45">
      <c r="A600" s="7">
        <v>642</v>
      </c>
      <c r="B600" s="7" t="s">
        <v>1565</v>
      </c>
      <c r="C600" s="7" t="s">
        <v>1566</v>
      </c>
      <c r="D600" s="7" t="s">
        <v>1567</v>
      </c>
      <c r="F600" t="s">
        <v>988</v>
      </c>
      <c r="G600" t="s">
        <v>833</v>
      </c>
      <c r="H600" t="s">
        <v>808</v>
      </c>
      <c r="I600" s="12" t="s">
        <v>1107</v>
      </c>
      <c r="K600" s="12" t="s">
        <v>1062</v>
      </c>
      <c r="L600" s="12" t="s">
        <v>1110</v>
      </c>
      <c r="M600" s="12" t="s">
        <v>838</v>
      </c>
      <c r="N600" s="12" t="s">
        <v>1190</v>
      </c>
      <c r="P600" s="16">
        <v>1.0859914296000002E-3</v>
      </c>
      <c r="Q600" s="22">
        <v>1</v>
      </c>
      <c r="R600" s="16">
        <v>7.9811292970382891E-4</v>
      </c>
    </row>
    <row r="601" spans="1:19" x14ac:dyDescent="0.45">
      <c r="A601" s="7">
        <v>643</v>
      </c>
      <c r="B601" s="7" t="s">
        <v>1624</v>
      </c>
      <c r="C601" s="7" t="s">
        <v>1568</v>
      </c>
      <c r="D601" s="7" t="s">
        <v>1569</v>
      </c>
      <c r="F601" t="s">
        <v>990</v>
      </c>
      <c r="G601" t="s">
        <v>833</v>
      </c>
      <c r="H601" t="s">
        <v>808</v>
      </c>
      <c r="I601" s="12" t="s">
        <v>1107</v>
      </c>
      <c r="K601" s="12" t="s">
        <v>1062</v>
      </c>
      <c r="L601" s="12" t="s">
        <v>1110</v>
      </c>
      <c r="M601" s="12" t="s">
        <v>838</v>
      </c>
      <c r="N601" s="12" t="s">
        <v>1190</v>
      </c>
      <c r="P601" s="16">
        <v>1.0859914296000002E-3</v>
      </c>
      <c r="Q601" s="22">
        <v>1</v>
      </c>
      <c r="R601" s="16">
        <v>7.9811292970382891E-4</v>
      </c>
    </row>
    <row r="602" spans="1:19" x14ac:dyDescent="0.45">
      <c r="A602" s="7">
        <v>644</v>
      </c>
      <c r="B602" s="7" t="s">
        <v>1580</v>
      </c>
      <c r="C602" s="7" t="s">
        <v>1576</v>
      </c>
      <c r="D602" s="7" t="s">
        <v>1585</v>
      </c>
      <c r="F602" t="s">
        <v>1010</v>
      </c>
      <c r="G602" t="s">
        <v>831</v>
      </c>
      <c r="H602" t="s">
        <v>768</v>
      </c>
      <c r="I602" s="14" t="s">
        <v>806</v>
      </c>
      <c r="K602" s="12" t="s">
        <v>1062</v>
      </c>
      <c r="L602" s="12" t="s">
        <v>1110</v>
      </c>
      <c r="M602" s="12" t="s">
        <v>838</v>
      </c>
      <c r="N602" s="12" t="s">
        <v>1190</v>
      </c>
      <c r="P602" s="16">
        <v>8.4622708800000004E-4</v>
      </c>
      <c r="Q602" s="22">
        <v>0.75</v>
      </c>
      <c r="R602" s="16">
        <v>4.6642963424249731E-4</v>
      </c>
    </row>
    <row r="603" spans="1:19" x14ac:dyDescent="0.45">
      <c r="A603" s="7">
        <v>645</v>
      </c>
      <c r="B603" s="7" t="s">
        <v>1580</v>
      </c>
      <c r="C603" s="7" t="s">
        <v>1576</v>
      </c>
      <c r="D603" s="7" t="s">
        <v>1585</v>
      </c>
      <c r="F603" t="s">
        <v>987</v>
      </c>
      <c r="G603" t="s">
        <v>831</v>
      </c>
      <c r="H603" t="s">
        <v>768</v>
      </c>
      <c r="I603" s="14" t="s">
        <v>806</v>
      </c>
      <c r="K603" s="12" t="s">
        <v>1062</v>
      </c>
      <c r="L603" s="12" t="s">
        <v>1110</v>
      </c>
      <c r="M603" s="12" t="s">
        <v>838</v>
      </c>
      <c r="N603" s="12" t="s">
        <v>1190</v>
      </c>
      <c r="P603" s="16">
        <v>3.1733515799999988E-4</v>
      </c>
      <c r="Q603" s="22">
        <v>0.75</v>
      </c>
      <c r="R603" s="16">
        <v>1.7491111284093644E-4</v>
      </c>
    </row>
    <row r="604" spans="1:19" x14ac:dyDescent="0.45">
      <c r="A604" s="7">
        <v>646</v>
      </c>
      <c r="B604" s="7" t="s">
        <v>1579</v>
      </c>
      <c r="C604" s="7" t="s">
        <v>1578</v>
      </c>
      <c r="D604" s="7" t="s">
        <v>1583</v>
      </c>
      <c r="F604" t="s">
        <v>988</v>
      </c>
      <c r="G604" t="s">
        <v>831</v>
      </c>
      <c r="H604" t="s">
        <v>768</v>
      </c>
      <c r="I604" s="14" t="s">
        <v>806</v>
      </c>
      <c r="K604" s="12" t="s">
        <v>1062</v>
      </c>
      <c r="L604" s="12" t="s">
        <v>1110</v>
      </c>
      <c r="M604" s="12" t="s">
        <v>838</v>
      </c>
      <c r="N604" s="12" t="s">
        <v>1190</v>
      </c>
      <c r="P604" s="16">
        <v>8.4622708800000004E-4</v>
      </c>
      <c r="Q604" s="22">
        <v>1</v>
      </c>
      <c r="R604" s="16">
        <v>6.2190617898999652E-4</v>
      </c>
    </row>
    <row r="605" spans="1:19" x14ac:dyDescent="0.45">
      <c r="A605" s="7">
        <v>647</v>
      </c>
      <c r="B605" s="7" t="s">
        <v>1581</v>
      </c>
      <c r="C605" s="7" t="s">
        <v>1577</v>
      </c>
      <c r="D605" s="7" t="s">
        <v>1584</v>
      </c>
      <c r="F605" t="s">
        <v>990</v>
      </c>
      <c r="G605" t="s">
        <v>831</v>
      </c>
      <c r="H605" t="s">
        <v>768</v>
      </c>
      <c r="I605" s="14" t="s">
        <v>806</v>
      </c>
      <c r="K605" s="12" t="s">
        <v>1062</v>
      </c>
      <c r="L605" s="12" t="s">
        <v>1110</v>
      </c>
      <c r="M605" s="12" t="s">
        <v>838</v>
      </c>
      <c r="N605" s="12" t="s">
        <v>1190</v>
      </c>
      <c r="P605" s="16">
        <v>8.4622708800000004E-4</v>
      </c>
      <c r="Q605" s="22">
        <v>1</v>
      </c>
      <c r="R605" s="16">
        <v>6.2190617898999652E-4</v>
      </c>
    </row>
    <row r="606" spans="1:19" x14ac:dyDescent="0.45">
      <c r="A606" s="7">
        <v>648</v>
      </c>
      <c r="B606" s="7" t="s">
        <v>1580</v>
      </c>
      <c r="C606" s="7" t="s">
        <v>1576</v>
      </c>
      <c r="D606" s="7" t="s">
        <v>1582</v>
      </c>
      <c r="F606" t="s">
        <v>984</v>
      </c>
      <c r="G606" t="s">
        <v>831</v>
      </c>
      <c r="H606" t="s">
        <v>768</v>
      </c>
      <c r="I606" s="14" t="s">
        <v>806</v>
      </c>
      <c r="K606" s="12" t="s">
        <v>1062</v>
      </c>
      <c r="L606" s="12" t="s">
        <v>1110</v>
      </c>
      <c r="M606" s="12" t="s">
        <v>838</v>
      </c>
      <c r="N606" s="14" t="s">
        <v>1003</v>
      </c>
      <c r="P606" s="16">
        <v>1.2621692159999998E-3</v>
      </c>
      <c r="Q606" s="22">
        <v>0.25</v>
      </c>
      <c r="R606" s="16">
        <v>2.3189721928440542E-4</v>
      </c>
      <c r="S606" t="s">
        <v>1288</v>
      </c>
    </row>
    <row r="607" spans="1:19" x14ac:dyDescent="0.45">
      <c r="A607" s="7">
        <v>649</v>
      </c>
      <c r="B607" s="7" t="s">
        <v>1580</v>
      </c>
      <c r="C607" s="7" t="s">
        <v>1576</v>
      </c>
      <c r="D607" s="7" t="s">
        <v>1582</v>
      </c>
      <c r="F607" t="s">
        <v>971</v>
      </c>
      <c r="G607" t="s">
        <v>831</v>
      </c>
      <c r="H607" t="s">
        <v>768</v>
      </c>
      <c r="I607" s="14" t="s">
        <v>806</v>
      </c>
      <c r="K607" s="12" t="s">
        <v>1062</v>
      </c>
      <c r="L607" s="12" t="s">
        <v>1110</v>
      </c>
      <c r="M607" s="12" t="s">
        <v>838</v>
      </c>
      <c r="N607" s="14" t="s">
        <v>1003</v>
      </c>
      <c r="P607" s="16">
        <v>7.099701839999999E-4</v>
      </c>
      <c r="Q607" s="22">
        <v>0.25</v>
      </c>
      <c r="R607" s="16">
        <v>1.3044218584747804E-4</v>
      </c>
      <c r="S607" t="s">
        <v>1288</v>
      </c>
    </row>
    <row r="608" spans="1:19" x14ac:dyDescent="0.45">
      <c r="A608" s="7">
        <v>650</v>
      </c>
      <c r="B608" s="7" t="s">
        <v>1580</v>
      </c>
      <c r="C608" s="7" t="s">
        <v>1576</v>
      </c>
      <c r="D608" s="7" t="s">
        <v>1582</v>
      </c>
      <c r="F608" t="s">
        <v>985</v>
      </c>
      <c r="G608" t="s">
        <v>831</v>
      </c>
      <c r="H608" t="s">
        <v>768</v>
      </c>
      <c r="I608" s="14" t="s">
        <v>806</v>
      </c>
      <c r="K608" s="12" t="s">
        <v>1062</v>
      </c>
      <c r="L608" s="12" t="s">
        <v>1110</v>
      </c>
      <c r="M608" s="12" t="s">
        <v>838</v>
      </c>
      <c r="N608" s="14" t="s">
        <v>1003</v>
      </c>
      <c r="P608" s="16">
        <v>1.0900552320000001E-3</v>
      </c>
      <c r="Q608" s="22">
        <v>0.25</v>
      </c>
      <c r="R608" s="16">
        <v>2.0027487120016836E-4</v>
      </c>
      <c r="S608" t="s">
        <v>1288</v>
      </c>
    </row>
    <row r="609" spans="1:19" x14ac:dyDescent="0.45">
      <c r="A609" s="7">
        <v>651</v>
      </c>
      <c r="B609" s="7" t="s">
        <v>1580</v>
      </c>
      <c r="C609" s="7" t="s">
        <v>1576</v>
      </c>
      <c r="D609" s="7" t="s">
        <v>1582</v>
      </c>
      <c r="F609" t="s">
        <v>986</v>
      </c>
      <c r="G609" t="s">
        <v>831</v>
      </c>
      <c r="H609" t="s">
        <v>768</v>
      </c>
      <c r="I609" s="14" t="s">
        <v>806</v>
      </c>
      <c r="K609" s="12" t="s">
        <v>1062</v>
      </c>
      <c r="L609" s="12" t="s">
        <v>1110</v>
      </c>
      <c r="M609" s="12" t="s">
        <v>838</v>
      </c>
      <c r="N609" s="14" t="s">
        <v>1003</v>
      </c>
      <c r="P609" s="16">
        <v>6.1315606800000006E-4</v>
      </c>
      <c r="Q609" s="22">
        <v>0.25</v>
      </c>
      <c r="R609" s="16">
        <v>1.1265461505009471E-4</v>
      </c>
      <c r="S609" t="s">
        <v>1288</v>
      </c>
    </row>
    <row r="610" spans="1:19" x14ac:dyDescent="0.45">
      <c r="A610" s="7">
        <v>652</v>
      </c>
      <c r="B610" s="7" t="s">
        <v>1580</v>
      </c>
      <c r="C610" s="7" t="s">
        <v>1576</v>
      </c>
      <c r="D610" s="7" t="s">
        <v>1582</v>
      </c>
      <c r="F610" t="s">
        <v>1010</v>
      </c>
      <c r="G610" t="s">
        <v>831</v>
      </c>
      <c r="H610" t="s">
        <v>768</v>
      </c>
      <c r="I610" s="14" t="s">
        <v>806</v>
      </c>
      <c r="K610" s="12" t="s">
        <v>1062</v>
      </c>
      <c r="L610" s="12" t="s">
        <v>1110</v>
      </c>
      <c r="M610" s="12" t="s">
        <v>838</v>
      </c>
      <c r="N610" s="14" t="s">
        <v>1003</v>
      </c>
      <c r="P610" s="16">
        <v>8.4622708800000004E-4</v>
      </c>
      <c r="Q610" s="22">
        <v>0.25</v>
      </c>
      <c r="R610" s="16">
        <v>1.5547654474749913E-4</v>
      </c>
      <c r="S610" t="s">
        <v>1288</v>
      </c>
    </row>
    <row r="611" spans="1:19" x14ac:dyDescent="0.45">
      <c r="A611" s="7">
        <v>653</v>
      </c>
      <c r="B611" s="7" t="s">
        <v>1580</v>
      </c>
      <c r="C611" s="7" t="s">
        <v>1576</v>
      </c>
      <c r="D611" s="7" t="s">
        <v>1582</v>
      </c>
      <c r="F611" t="s">
        <v>987</v>
      </c>
      <c r="G611" t="s">
        <v>831</v>
      </c>
      <c r="H611" t="s">
        <v>768</v>
      </c>
      <c r="I611" s="14" t="s">
        <v>806</v>
      </c>
      <c r="K611" s="12" t="s">
        <v>1062</v>
      </c>
      <c r="L611" s="12" t="s">
        <v>1110</v>
      </c>
      <c r="M611" s="12" t="s">
        <v>838</v>
      </c>
      <c r="N611" s="14" t="s">
        <v>1003</v>
      </c>
      <c r="P611" s="16">
        <v>3.1733515799999988E-4</v>
      </c>
      <c r="Q611" s="22">
        <v>0.25</v>
      </c>
      <c r="R611" s="16">
        <v>5.8303704280312143E-5</v>
      </c>
      <c r="S611" t="s">
        <v>1288</v>
      </c>
    </row>
    <row r="612" spans="1:19" x14ac:dyDescent="0.45">
      <c r="A612" s="7">
        <v>657</v>
      </c>
      <c r="B612" s="7" t="s">
        <v>1587</v>
      </c>
      <c r="C612" s="7" t="s">
        <v>1594</v>
      </c>
      <c r="D612" s="7" t="s">
        <v>1600</v>
      </c>
      <c r="E612" t="s">
        <v>873</v>
      </c>
      <c r="F612" t="s">
        <v>995</v>
      </c>
      <c r="G612" t="s">
        <v>831</v>
      </c>
      <c r="H612" t="s">
        <v>768</v>
      </c>
      <c r="I612" t="s">
        <v>806</v>
      </c>
      <c r="K612" s="12" t="s">
        <v>1062</v>
      </c>
      <c r="L612" s="12" t="s">
        <v>1110</v>
      </c>
      <c r="M612" s="12" t="s">
        <v>838</v>
      </c>
      <c r="N612" s="12" t="s">
        <v>1190</v>
      </c>
      <c r="P612" s="16">
        <v>3.1733515799999988E-4</v>
      </c>
      <c r="Q612" s="22">
        <v>1</v>
      </c>
      <c r="R612" s="16">
        <v>2.3321481712124857E-4</v>
      </c>
    </row>
    <row r="613" spans="1:19" x14ac:dyDescent="0.45">
      <c r="A613" s="7">
        <v>658</v>
      </c>
      <c r="B613" s="7" t="s">
        <v>1589</v>
      </c>
      <c r="C613" s="7" t="s">
        <v>1595</v>
      </c>
      <c r="D613" s="7" t="s">
        <v>1601</v>
      </c>
      <c r="E613" t="s">
        <v>521</v>
      </c>
      <c r="F613" t="s">
        <v>989</v>
      </c>
      <c r="G613" t="s">
        <v>831</v>
      </c>
      <c r="H613" t="s">
        <v>768</v>
      </c>
      <c r="I613" t="s">
        <v>806</v>
      </c>
      <c r="K613" s="12" t="s">
        <v>1062</v>
      </c>
      <c r="L613" s="12" t="s">
        <v>1110</v>
      </c>
      <c r="M613" s="12" t="s">
        <v>838</v>
      </c>
      <c r="N613" s="12" t="s">
        <v>1190</v>
      </c>
      <c r="P613" s="16">
        <v>8.4622708800000004E-4</v>
      </c>
      <c r="Q613" s="22">
        <v>1</v>
      </c>
      <c r="R613" s="16">
        <v>6.2190617898999652E-4</v>
      </c>
    </row>
    <row r="614" spans="1:19" x14ac:dyDescent="0.45">
      <c r="A614" s="7">
        <v>659</v>
      </c>
      <c r="B614" s="7" t="s">
        <v>1590</v>
      </c>
      <c r="C614" s="7" t="s">
        <v>1596</v>
      </c>
      <c r="D614" s="7" t="s">
        <v>1602</v>
      </c>
      <c r="F614" t="s">
        <v>990</v>
      </c>
      <c r="G614" t="s">
        <v>831</v>
      </c>
      <c r="H614" t="s">
        <v>768</v>
      </c>
      <c r="I614" t="s">
        <v>806</v>
      </c>
      <c r="K614" s="12" t="s">
        <v>1062</v>
      </c>
      <c r="L614" s="12" t="s">
        <v>1110</v>
      </c>
      <c r="M614" t="s">
        <v>836</v>
      </c>
      <c r="N614" s="12" t="s">
        <v>1190</v>
      </c>
      <c r="P614" s="16">
        <v>2.1155677200000001E-4</v>
      </c>
      <c r="Q614" s="22">
        <v>1</v>
      </c>
      <c r="R614" s="16">
        <v>1.5547654474749913E-4</v>
      </c>
    </row>
    <row r="615" spans="1:19" x14ac:dyDescent="0.45">
      <c r="A615" s="7">
        <v>660</v>
      </c>
      <c r="B615" s="7" t="s">
        <v>1591</v>
      </c>
      <c r="C615" s="7" t="s">
        <v>1597</v>
      </c>
      <c r="D615" s="7" t="s">
        <v>1603</v>
      </c>
      <c r="E615" t="s">
        <v>1607</v>
      </c>
      <c r="F615" t="s">
        <v>984</v>
      </c>
      <c r="G615" t="s">
        <v>831</v>
      </c>
      <c r="H615" t="s">
        <v>768</v>
      </c>
      <c r="I615" t="s">
        <v>806</v>
      </c>
      <c r="K615" s="12" t="s">
        <v>1062</v>
      </c>
      <c r="L615" t="s">
        <v>1111</v>
      </c>
      <c r="M615" s="12" t="s">
        <v>838</v>
      </c>
      <c r="N615" s="12" t="s">
        <v>1190</v>
      </c>
      <c r="P615" s="16">
        <v>2.2273574399999996E-4</v>
      </c>
      <c r="Q615" s="22">
        <v>1</v>
      </c>
      <c r="R615" s="16">
        <v>1.6369215478899204E-4</v>
      </c>
    </row>
    <row r="616" spans="1:19" x14ac:dyDescent="0.45">
      <c r="A616" s="7">
        <v>661</v>
      </c>
      <c r="B616" s="7" t="s">
        <v>1591</v>
      </c>
      <c r="C616" s="7" t="s">
        <v>1597</v>
      </c>
      <c r="D616" s="7" t="s">
        <v>1604</v>
      </c>
      <c r="E616" t="s">
        <v>1608</v>
      </c>
      <c r="F616" t="s">
        <v>984</v>
      </c>
      <c r="G616" t="s">
        <v>831</v>
      </c>
      <c r="H616" t="s">
        <v>768</v>
      </c>
      <c r="I616" t="s">
        <v>806</v>
      </c>
      <c r="K616" s="12" t="s">
        <v>1062</v>
      </c>
      <c r="L616" t="s">
        <v>1111</v>
      </c>
      <c r="M616" s="12" t="s">
        <v>838</v>
      </c>
      <c r="N616" s="14" t="s">
        <v>1003</v>
      </c>
      <c r="P616" s="16">
        <v>2.2273574399999996E-4</v>
      </c>
      <c r="Q616" s="22">
        <v>1</v>
      </c>
      <c r="R616" s="16">
        <v>1.6369215478899204E-4</v>
      </c>
    </row>
    <row r="617" spans="1:19" x14ac:dyDescent="0.45">
      <c r="A617" s="7">
        <v>662</v>
      </c>
      <c r="B617" s="7" t="s">
        <v>1591</v>
      </c>
      <c r="C617" s="7" t="s">
        <v>1597</v>
      </c>
      <c r="D617" s="7" t="s">
        <v>1603</v>
      </c>
      <c r="E617" t="s">
        <v>1607</v>
      </c>
      <c r="F617" t="s">
        <v>985</v>
      </c>
      <c r="G617" t="s">
        <v>831</v>
      </c>
      <c r="H617" t="s">
        <v>768</v>
      </c>
      <c r="I617" t="s">
        <v>806</v>
      </c>
      <c r="K617" s="12" t="s">
        <v>1062</v>
      </c>
      <c r="L617" t="s">
        <v>1111</v>
      </c>
      <c r="M617" s="12" t="s">
        <v>838</v>
      </c>
      <c r="N617" s="12" t="s">
        <v>1190</v>
      </c>
      <c r="P617" s="16">
        <v>1.92362688E-4</v>
      </c>
      <c r="Q617" s="22">
        <v>1</v>
      </c>
      <c r="R617" s="16">
        <v>1.4137049731776589E-4</v>
      </c>
    </row>
    <row r="618" spans="1:19" x14ac:dyDescent="0.45">
      <c r="A618" s="7">
        <v>663</v>
      </c>
      <c r="B618" s="7" t="s">
        <v>1591</v>
      </c>
      <c r="C618" s="7" t="s">
        <v>1597</v>
      </c>
      <c r="D618" s="7" t="s">
        <v>1604</v>
      </c>
      <c r="E618" t="s">
        <v>1608</v>
      </c>
      <c r="F618" t="s">
        <v>985</v>
      </c>
      <c r="G618" t="s">
        <v>831</v>
      </c>
      <c r="H618" t="s">
        <v>768</v>
      </c>
      <c r="I618" t="s">
        <v>806</v>
      </c>
      <c r="K618" s="12" t="s">
        <v>1062</v>
      </c>
      <c r="L618" t="s">
        <v>1111</v>
      </c>
      <c r="M618" s="12" t="s">
        <v>838</v>
      </c>
      <c r="N618" s="14" t="s">
        <v>1003</v>
      </c>
      <c r="P618" s="16">
        <v>1.92362688E-4</v>
      </c>
      <c r="Q618" s="22">
        <v>1</v>
      </c>
      <c r="R618" s="16">
        <v>1.4137049731776589E-4</v>
      </c>
    </row>
    <row r="619" spans="1:19" x14ac:dyDescent="0.45">
      <c r="A619" s="7">
        <v>664</v>
      </c>
      <c r="B619" s="7" t="s">
        <v>1591</v>
      </c>
      <c r="C619" s="7" t="s">
        <v>1597</v>
      </c>
      <c r="D619" s="7" t="s">
        <v>1603</v>
      </c>
      <c r="E619" t="s">
        <v>1607</v>
      </c>
      <c r="F619" t="s">
        <v>1010</v>
      </c>
      <c r="G619" t="s">
        <v>831</v>
      </c>
      <c r="H619" t="s">
        <v>768</v>
      </c>
      <c r="I619" t="s">
        <v>806</v>
      </c>
      <c r="K619" s="12" t="s">
        <v>1062</v>
      </c>
      <c r="L619" t="s">
        <v>1111</v>
      </c>
      <c r="M619" s="12" t="s">
        <v>838</v>
      </c>
      <c r="N619" s="12" t="s">
        <v>1190</v>
      </c>
      <c r="P619" s="16">
        <v>1.4933419200000001E-4</v>
      </c>
      <c r="Q619" s="22">
        <v>1</v>
      </c>
      <c r="R619" s="16">
        <v>1.0974814923352879E-4</v>
      </c>
    </row>
    <row r="620" spans="1:19" x14ac:dyDescent="0.45">
      <c r="A620" s="7">
        <v>665</v>
      </c>
      <c r="B620" s="7" t="s">
        <v>1591</v>
      </c>
      <c r="C620" s="7" t="s">
        <v>1597</v>
      </c>
      <c r="D620" s="7" t="s">
        <v>1604</v>
      </c>
      <c r="E620" t="s">
        <v>1608</v>
      </c>
      <c r="F620" t="s">
        <v>1010</v>
      </c>
      <c r="G620" t="s">
        <v>831</v>
      </c>
      <c r="H620" t="s">
        <v>768</v>
      </c>
      <c r="I620" t="s">
        <v>806</v>
      </c>
      <c r="K620" s="12" t="s">
        <v>1062</v>
      </c>
      <c r="L620" t="s">
        <v>1111</v>
      </c>
      <c r="M620" s="12" t="s">
        <v>838</v>
      </c>
      <c r="N620" s="14" t="s">
        <v>1003</v>
      </c>
      <c r="P620" s="16">
        <v>1.4933419200000001E-4</v>
      </c>
      <c r="Q620" s="22">
        <v>1</v>
      </c>
      <c r="R620" s="16">
        <v>1.0974814923352879E-4</v>
      </c>
    </row>
    <row r="621" spans="1:19" x14ac:dyDescent="0.45">
      <c r="A621" s="7">
        <v>666</v>
      </c>
      <c r="B621" s="7" t="s">
        <v>1592</v>
      </c>
      <c r="C621" s="7" t="s">
        <v>1598</v>
      </c>
      <c r="D621" s="7" t="s">
        <v>1605</v>
      </c>
      <c r="E621" t="s">
        <v>1607</v>
      </c>
      <c r="F621" t="s">
        <v>990</v>
      </c>
      <c r="G621" t="s">
        <v>831</v>
      </c>
      <c r="H621" t="s">
        <v>768</v>
      </c>
      <c r="I621" t="s">
        <v>806</v>
      </c>
      <c r="K621" s="12" t="s">
        <v>1062</v>
      </c>
      <c r="L621" t="s">
        <v>1111</v>
      </c>
      <c r="M621" s="12" t="s">
        <v>838</v>
      </c>
      <c r="N621" s="12" t="s">
        <v>1190</v>
      </c>
      <c r="P621" s="16">
        <v>1.4933419200000001E-4</v>
      </c>
      <c r="Q621" s="22">
        <v>1</v>
      </c>
      <c r="R621" s="16">
        <v>1.0974814923352879E-4</v>
      </c>
    </row>
    <row r="622" spans="1:19" x14ac:dyDescent="0.45">
      <c r="A622" s="7">
        <v>667</v>
      </c>
      <c r="B622" s="7" t="s">
        <v>1593</v>
      </c>
      <c r="C622" s="7" t="s">
        <v>1599</v>
      </c>
      <c r="D622" s="7" t="s">
        <v>1606</v>
      </c>
      <c r="E622" t="s">
        <v>1607</v>
      </c>
      <c r="F622" t="s">
        <v>988</v>
      </c>
      <c r="G622" t="s">
        <v>831</v>
      </c>
      <c r="H622" t="s">
        <v>768</v>
      </c>
      <c r="I622" t="s">
        <v>806</v>
      </c>
      <c r="K622" s="12" t="s">
        <v>1062</v>
      </c>
      <c r="L622" t="s">
        <v>1111</v>
      </c>
      <c r="M622" s="12" t="s">
        <v>838</v>
      </c>
      <c r="N622" s="12" t="s">
        <v>1190</v>
      </c>
      <c r="P622" s="16">
        <v>1.4933419200000001E-4</v>
      </c>
      <c r="Q622" s="22">
        <v>1</v>
      </c>
      <c r="R622" s="16">
        <v>1.0974814923352879E-4</v>
      </c>
    </row>
    <row r="623" spans="1:19" x14ac:dyDescent="0.45">
      <c r="A623" s="7">
        <v>668</v>
      </c>
      <c r="B623" s="7" t="s">
        <v>1591</v>
      </c>
      <c r="C623" s="7" t="s">
        <v>1597</v>
      </c>
      <c r="D623" s="7" t="s">
        <v>1603</v>
      </c>
      <c r="E623" t="s">
        <v>1607</v>
      </c>
      <c r="F623" t="s">
        <v>971</v>
      </c>
      <c r="G623" t="s">
        <v>831</v>
      </c>
      <c r="H623" t="s">
        <v>768</v>
      </c>
      <c r="I623" t="s">
        <v>806</v>
      </c>
      <c r="K623" s="12" t="s">
        <v>1062</v>
      </c>
      <c r="L623" t="s">
        <v>1111</v>
      </c>
      <c r="M623" s="12" t="s">
        <v>838</v>
      </c>
      <c r="N623" s="12" t="s">
        <v>1190</v>
      </c>
      <c r="P623" s="16">
        <v>1.2528885599999998E-4</v>
      </c>
      <c r="Q623" s="22">
        <v>1</v>
      </c>
      <c r="R623" s="16">
        <v>9.2076837068808031E-5</v>
      </c>
    </row>
    <row r="624" spans="1:19" x14ac:dyDescent="0.45">
      <c r="A624" s="7">
        <v>669</v>
      </c>
      <c r="B624" s="7" t="s">
        <v>1591</v>
      </c>
      <c r="C624" s="7" t="s">
        <v>1597</v>
      </c>
      <c r="D624" s="7" t="s">
        <v>1604</v>
      </c>
      <c r="E624" t="s">
        <v>1608</v>
      </c>
      <c r="F624" t="s">
        <v>971</v>
      </c>
      <c r="G624" t="s">
        <v>831</v>
      </c>
      <c r="H624" t="s">
        <v>768</v>
      </c>
      <c r="I624" t="s">
        <v>806</v>
      </c>
      <c r="K624" s="12" t="s">
        <v>1062</v>
      </c>
      <c r="L624" t="s">
        <v>1111</v>
      </c>
      <c r="M624" s="12" t="s">
        <v>838</v>
      </c>
      <c r="N624" s="14" t="s">
        <v>1003</v>
      </c>
      <c r="P624" s="16">
        <v>1.2528885599999998E-4</v>
      </c>
      <c r="Q624" s="22">
        <v>1</v>
      </c>
      <c r="R624" s="16">
        <v>9.2076837068808031E-5</v>
      </c>
    </row>
    <row r="625" spans="1:18" x14ac:dyDescent="0.45">
      <c r="A625" s="7">
        <v>670</v>
      </c>
      <c r="B625" s="7" t="s">
        <v>1591</v>
      </c>
      <c r="C625" s="7" t="s">
        <v>1597</v>
      </c>
      <c r="D625" s="7" t="s">
        <v>1603</v>
      </c>
      <c r="E625" t="s">
        <v>1607</v>
      </c>
      <c r="F625" t="s">
        <v>986</v>
      </c>
      <c r="G625" t="s">
        <v>831</v>
      </c>
      <c r="H625" t="s">
        <v>768</v>
      </c>
      <c r="I625" t="s">
        <v>806</v>
      </c>
      <c r="K625" s="12" t="s">
        <v>1062</v>
      </c>
      <c r="L625" t="s">
        <v>1111</v>
      </c>
      <c r="M625" s="12" t="s">
        <v>838</v>
      </c>
      <c r="N625" s="12" t="s">
        <v>1190</v>
      </c>
      <c r="P625" s="16">
        <v>1.0820401200000002E-4</v>
      </c>
      <c r="Q625" s="22">
        <v>1</v>
      </c>
      <c r="R625" s="16">
        <v>7.952090474124332E-5</v>
      </c>
    </row>
    <row r="626" spans="1:18" x14ac:dyDescent="0.45">
      <c r="A626" s="7">
        <v>671</v>
      </c>
      <c r="B626" s="7" t="s">
        <v>1591</v>
      </c>
      <c r="C626" s="7" t="s">
        <v>1597</v>
      </c>
      <c r="D626" s="7" t="s">
        <v>1604</v>
      </c>
      <c r="E626" t="s">
        <v>1608</v>
      </c>
      <c r="F626" t="s">
        <v>986</v>
      </c>
      <c r="G626" t="s">
        <v>831</v>
      </c>
      <c r="H626" t="s">
        <v>768</v>
      </c>
      <c r="I626" t="s">
        <v>806</v>
      </c>
      <c r="K626" s="12" t="s">
        <v>1062</v>
      </c>
      <c r="L626" t="s">
        <v>1111</v>
      </c>
      <c r="M626" s="12" t="s">
        <v>838</v>
      </c>
      <c r="N626" s="14" t="s">
        <v>1003</v>
      </c>
      <c r="P626" s="16">
        <v>1.0820401200000002E-4</v>
      </c>
      <c r="Q626" s="22">
        <v>1</v>
      </c>
      <c r="R626" s="16">
        <v>7.952090474124332E-5</v>
      </c>
    </row>
    <row r="627" spans="1:18" x14ac:dyDescent="0.45">
      <c r="A627" s="7">
        <v>672</v>
      </c>
      <c r="B627" s="7" t="s">
        <v>1591</v>
      </c>
      <c r="C627" s="7" t="s">
        <v>1597</v>
      </c>
      <c r="D627" s="7" t="s">
        <v>1603</v>
      </c>
      <c r="E627" t="s">
        <v>1607</v>
      </c>
      <c r="F627" t="s">
        <v>987</v>
      </c>
      <c r="G627" t="s">
        <v>831</v>
      </c>
      <c r="H627" t="s">
        <v>768</v>
      </c>
      <c r="I627" t="s">
        <v>806</v>
      </c>
      <c r="K627" s="12" t="s">
        <v>1062</v>
      </c>
      <c r="L627" t="s">
        <v>1111</v>
      </c>
      <c r="M627" s="12" t="s">
        <v>838</v>
      </c>
      <c r="N627" s="12" t="s">
        <v>1190</v>
      </c>
      <c r="P627" s="16">
        <v>5.600032199999998E-5</v>
      </c>
      <c r="Q627" s="22">
        <v>1</v>
      </c>
      <c r="R627" s="16">
        <v>4.1155555962573276E-5</v>
      </c>
    </row>
    <row r="628" spans="1:18" x14ac:dyDescent="0.45">
      <c r="A628" s="7">
        <v>673</v>
      </c>
      <c r="B628" s="7" t="s">
        <v>1591</v>
      </c>
      <c r="C628" s="7" t="s">
        <v>1597</v>
      </c>
      <c r="D628" s="7" t="s">
        <v>1604</v>
      </c>
      <c r="E628" t="s">
        <v>1607</v>
      </c>
      <c r="F628" t="s">
        <v>987</v>
      </c>
      <c r="G628" t="s">
        <v>831</v>
      </c>
      <c r="H628" t="s">
        <v>768</v>
      </c>
      <c r="I628" t="s">
        <v>806</v>
      </c>
      <c r="J628" s="12"/>
      <c r="K628" s="12" t="s">
        <v>1062</v>
      </c>
      <c r="L628" t="s">
        <v>1111</v>
      </c>
      <c r="M628" s="12" t="s">
        <v>838</v>
      </c>
      <c r="N628" s="14" t="s">
        <v>1003</v>
      </c>
      <c r="P628" s="16">
        <v>5.600032199999998E-5</v>
      </c>
      <c r="Q628" s="22">
        <v>1</v>
      </c>
      <c r="R628" s="16">
        <v>4.1155555962573276E-5</v>
      </c>
    </row>
    <row r="629" spans="1:18" x14ac:dyDescent="0.45">
      <c r="A629" s="7">
        <v>675</v>
      </c>
      <c r="B629" s="7" t="s">
        <v>1611</v>
      </c>
      <c r="C629" s="7" t="s">
        <v>1612</v>
      </c>
      <c r="D629" s="7" t="s">
        <v>1613</v>
      </c>
      <c r="E629" t="s">
        <v>1610</v>
      </c>
      <c r="F629" t="s">
        <v>984</v>
      </c>
      <c r="G629" t="s">
        <v>832</v>
      </c>
      <c r="H629" t="s">
        <v>808</v>
      </c>
      <c r="I629" t="s">
        <v>806</v>
      </c>
      <c r="K629" s="12" t="s">
        <v>1062</v>
      </c>
      <c r="L629" s="12" t="s">
        <v>1110</v>
      </c>
      <c r="M629" s="12" t="s">
        <v>838</v>
      </c>
      <c r="N629" s="12" t="s">
        <v>1190</v>
      </c>
      <c r="P629" s="16">
        <v>2.6776018368000008E-3</v>
      </c>
      <c r="Q629" s="22">
        <v>1</v>
      </c>
      <c r="R629" s="16">
        <v>1.9678135464990983E-3</v>
      </c>
    </row>
    <row r="630" spans="1:18" x14ac:dyDescent="0.45">
      <c r="A630" s="7">
        <v>676</v>
      </c>
      <c r="B630" s="7" t="s">
        <v>1611</v>
      </c>
      <c r="C630" s="7" t="s">
        <v>1612</v>
      </c>
      <c r="D630" s="7" t="s">
        <v>1614</v>
      </c>
      <c r="E630" t="s">
        <v>1610</v>
      </c>
      <c r="F630" t="s">
        <v>984</v>
      </c>
      <c r="G630" t="s">
        <v>832</v>
      </c>
      <c r="H630" t="s">
        <v>808</v>
      </c>
      <c r="I630" t="s">
        <v>806</v>
      </c>
      <c r="J630" s="12"/>
      <c r="K630" s="12" t="s">
        <v>1062</v>
      </c>
      <c r="L630" s="12" t="s">
        <v>1110</v>
      </c>
      <c r="M630" s="12" t="s">
        <v>838</v>
      </c>
      <c r="N630" s="14" t="s">
        <v>1003</v>
      </c>
      <c r="P630" s="16">
        <v>2.6776018368000008E-3</v>
      </c>
      <c r="Q630" s="22">
        <v>1</v>
      </c>
      <c r="R630" s="16">
        <v>1.9678135464990983E-3</v>
      </c>
    </row>
    <row r="631" spans="1:18" x14ac:dyDescent="0.45">
      <c r="A631" s="7">
        <v>677</v>
      </c>
      <c r="B631" s="7" t="s">
        <v>1611</v>
      </c>
      <c r="C631" s="7" t="s">
        <v>1612</v>
      </c>
      <c r="D631" s="7" t="s">
        <v>1613</v>
      </c>
      <c r="E631" t="s">
        <v>1610</v>
      </c>
      <c r="F631" t="s">
        <v>985</v>
      </c>
      <c r="G631" t="s">
        <v>832</v>
      </c>
      <c r="H631" t="s">
        <v>808</v>
      </c>
      <c r="I631" t="s">
        <v>806</v>
      </c>
      <c r="K631" s="12" t="s">
        <v>1062</v>
      </c>
      <c r="L631" s="12" t="s">
        <v>1110</v>
      </c>
      <c r="M631" s="12" t="s">
        <v>838</v>
      </c>
      <c r="N631" s="12" t="s">
        <v>1190</v>
      </c>
      <c r="P631" s="16">
        <v>2.3124743135999998E-3</v>
      </c>
      <c r="Q631" s="22">
        <v>1</v>
      </c>
      <c r="R631" s="16">
        <v>1.6994753356128569E-3</v>
      </c>
    </row>
    <row r="632" spans="1:18" x14ac:dyDescent="0.45">
      <c r="A632" s="7">
        <v>678</v>
      </c>
      <c r="B632" s="7" t="s">
        <v>1611</v>
      </c>
      <c r="C632" s="7" t="s">
        <v>1612</v>
      </c>
      <c r="D632" s="7" t="s">
        <v>1614</v>
      </c>
      <c r="E632" t="s">
        <v>1610</v>
      </c>
      <c r="F632" t="s">
        <v>985</v>
      </c>
      <c r="G632" t="s">
        <v>832</v>
      </c>
      <c r="H632" t="s">
        <v>808</v>
      </c>
      <c r="I632" t="s">
        <v>806</v>
      </c>
      <c r="J632" s="12"/>
      <c r="K632" s="12" t="s">
        <v>1062</v>
      </c>
      <c r="L632" s="12" t="s">
        <v>1110</v>
      </c>
      <c r="M632" s="12" t="s">
        <v>838</v>
      </c>
      <c r="N632" s="14" t="s">
        <v>1003</v>
      </c>
      <c r="P632" s="16">
        <v>2.3124743135999998E-3</v>
      </c>
      <c r="Q632" s="22">
        <v>1</v>
      </c>
      <c r="R632" s="16">
        <v>1.6994753356128569E-3</v>
      </c>
    </row>
    <row r="633" spans="1:18" x14ac:dyDescent="0.45">
      <c r="A633" s="7">
        <v>679</v>
      </c>
      <c r="B633" s="7" t="s">
        <v>1611</v>
      </c>
      <c r="C633" s="7" t="s">
        <v>1612</v>
      </c>
      <c r="D633" s="7" t="s">
        <v>1613</v>
      </c>
      <c r="E633" t="s">
        <v>1610</v>
      </c>
      <c r="F633" t="s">
        <v>1010</v>
      </c>
      <c r="G633" t="s">
        <v>832</v>
      </c>
      <c r="H633" t="s">
        <v>808</v>
      </c>
      <c r="I633" t="s">
        <v>806</v>
      </c>
      <c r="K633" s="12" t="s">
        <v>1062</v>
      </c>
      <c r="L633" s="12" t="s">
        <v>1110</v>
      </c>
      <c r="M633" s="12" t="s">
        <v>838</v>
      </c>
      <c r="N633" s="12" t="s">
        <v>1190</v>
      </c>
      <c r="P633" s="16">
        <v>1.7952103224000006E-3</v>
      </c>
      <c r="Q633" s="22">
        <v>1</v>
      </c>
      <c r="R633" s="16">
        <v>1.31932953685735E-3</v>
      </c>
    </row>
    <row r="634" spans="1:18" x14ac:dyDescent="0.45">
      <c r="A634" s="7">
        <v>680</v>
      </c>
      <c r="B634" s="7" t="s">
        <v>1611</v>
      </c>
      <c r="C634" s="7" t="s">
        <v>1612</v>
      </c>
      <c r="D634" s="7" t="s">
        <v>1614</v>
      </c>
      <c r="E634" t="s">
        <v>1610</v>
      </c>
      <c r="F634" t="s">
        <v>1010</v>
      </c>
      <c r="G634" t="s">
        <v>832</v>
      </c>
      <c r="H634" t="s">
        <v>808</v>
      </c>
      <c r="I634" t="s">
        <v>806</v>
      </c>
      <c r="J634" s="12"/>
      <c r="K634" s="12" t="s">
        <v>1062</v>
      </c>
      <c r="L634" s="12" t="s">
        <v>1110</v>
      </c>
      <c r="M634" s="12" t="s">
        <v>838</v>
      </c>
      <c r="N634" s="14" t="s">
        <v>1003</v>
      </c>
      <c r="P634" s="16">
        <v>1.7952103224000006E-3</v>
      </c>
      <c r="Q634" s="22">
        <v>1</v>
      </c>
      <c r="R634" s="16">
        <v>1.31932953685735E-3</v>
      </c>
    </row>
    <row r="635" spans="1:18" x14ac:dyDescent="0.45">
      <c r="A635" s="7">
        <v>681</v>
      </c>
      <c r="B635" s="7" t="s">
        <v>1611</v>
      </c>
      <c r="C635" s="7" t="s">
        <v>1612</v>
      </c>
      <c r="D635" s="7" t="s">
        <v>1613</v>
      </c>
      <c r="E635" t="s">
        <v>1610</v>
      </c>
      <c r="F635" t="s">
        <v>971</v>
      </c>
      <c r="G635" t="s">
        <v>832</v>
      </c>
      <c r="H635" t="s">
        <v>808</v>
      </c>
      <c r="I635" t="s">
        <v>806</v>
      </c>
      <c r="K635" s="12" t="s">
        <v>1062</v>
      </c>
      <c r="L635" s="12" t="s">
        <v>1110</v>
      </c>
      <c r="M635" s="12" t="s">
        <v>838</v>
      </c>
      <c r="N635" s="12" t="s">
        <v>1190</v>
      </c>
      <c r="P635" s="16">
        <v>1.5061510332000001E-3</v>
      </c>
      <c r="Q635" s="22">
        <v>1</v>
      </c>
      <c r="R635" s="16">
        <v>1.1068951199057426E-3</v>
      </c>
    </row>
    <row r="636" spans="1:18" x14ac:dyDescent="0.45">
      <c r="A636" s="7">
        <v>682</v>
      </c>
      <c r="B636" s="7" t="s">
        <v>1611</v>
      </c>
      <c r="C636" s="7" t="s">
        <v>1612</v>
      </c>
      <c r="D636" s="7" t="s">
        <v>1614</v>
      </c>
      <c r="E636" t="s">
        <v>1610</v>
      </c>
      <c r="F636" t="s">
        <v>971</v>
      </c>
      <c r="G636" t="s">
        <v>832</v>
      </c>
      <c r="H636" t="s">
        <v>808</v>
      </c>
      <c r="I636" t="s">
        <v>806</v>
      </c>
      <c r="J636" s="12"/>
      <c r="K636" s="12" t="s">
        <v>1062</v>
      </c>
      <c r="L636" s="12" t="s">
        <v>1110</v>
      </c>
      <c r="M636" s="12" t="s">
        <v>838</v>
      </c>
      <c r="N636" s="14" t="s">
        <v>1003</v>
      </c>
      <c r="P636" s="16">
        <v>1.5061510332000001E-3</v>
      </c>
      <c r="Q636" s="22">
        <v>1</v>
      </c>
      <c r="R636" s="16">
        <v>1.1068951199057426E-3</v>
      </c>
    </row>
    <row r="637" spans="1:18" x14ac:dyDescent="0.45">
      <c r="A637" s="7">
        <v>683</v>
      </c>
      <c r="B637" s="7" t="s">
        <v>1611</v>
      </c>
      <c r="C637" s="7" t="s">
        <v>1612</v>
      </c>
      <c r="D637" s="7" t="s">
        <v>1613</v>
      </c>
      <c r="E637" t="s">
        <v>1610</v>
      </c>
      <c r="F637" t="s">
        <v>986</v>
      </c>
      <c r="G637" t="s">
        <v>832</v>
      </c>
      <c r="H637" t="s">
        <v>808</v>
      </c>
      <c r="I637" t="s">
        <v>806</v>
      </c>
      <c r="K637" s="12" t="s">
        <v>1062</v>
      </c>
      <c r="L637" s="12" t="s">
        <v>1110</v>
      </c>
      <c r="M637" s="12" t="s">
        <v>838</v>
      </c>
      <c r="N637" s="12" t="s">
        <v>1190</v>
      </c>
      <c r="P637" s="16">
        <v>1.3007668014000005E-3</v>
      </c>
      <c r="Q637" s="22">
        <v>1</v>
      </c>
      <c r="R637" s="16">
        <v>9.559548762822325E-4</v>
      </c>
    </row>
    <row r="638" spans="1:18" x14ac:dyDescent="0.45">
      <c r="A638" s="7">
        <v>684</v>
      </c>
      <c r="B638" s="7" t="s">
        <v>1611</v>
      </c>
      <c r="C638" s="7" t="s">
        <v>1612</v>
      </c>
      <c r="D638" s="7" t="s">
        <v>1614</v>
      </c>
      <c r="E638" t="s">
        <v>1610</v>
      </c>
      <c r="F638" t="s">
        <v>986</v>
      </c>
      <c r="G638" t="s">
        <v>832</v>
      </c>
      <c r="H638" t="s">
        <v>808</v>
      </c>
      <c r="I638" t="s">
        <v>806</v>
      </c>
      <c r="J638" s="12"/>
      <c r="K638" s="12" t="s">
        <v>1062</v>
      </c>
      <c r="L638" s="12" t="s">
        <v>1110</v>
      </c>
      <c r="M638" s="12" t="s">
        <v>838</v>
      </c>
      <c r="N638" s="14" t="s">
        <v>1003</v>
      </c>
      <c r="P638" s="16">
        <v>1.3007668014000005E-3</v>
      </c>
      <c r="Q638" s="22">
        <v>1</v>
      </c>
      <c r="R638" s="16">
        <v>9.559548762822325E-4</v>
      </c>
    </row>
    <row r="639" spans="1:18" x14ac:dyDescent="0.45">
      <c r="A639" s="7">
        <v>685</v>
      </c>
      <c r="B639" s="7" t="s">
        <v>1611</v>
      </c>
      <c r="C639" s="7" t="s">
        <v>1612</v>
      </c>
      <c r="D639" s="7" t="s">
        <v>1613</v>
      </c>
      <c r="E639" t="s">
        <v>1610</v>
      </c>
      <c r="F639" t="s">
        <v>987</v>
      </c>
      <c r="G639" t="s">
        <v>832</v>
      </c>
      <c r="H639" t="s">
        <v>808</v>
      </c>
      <c r="I639" t="s">
        <v>806</v>
      </c>
      <c r="K639" s="12" t="s">
        <v>1062</v>
      </c>
      <c r="L639" s="12" t="s">
        <v>1110</v>
      </c>
      <c r="M639" s="12" t="s">
        <v>838</v>
      </c>
      <c r="N639" s="12" t="s">
        <v>1190</v>
      </c>
      <c r="P639" s="16">
        <v>6.7320387090000005E-4</v>
      </c>
      <c r="Q639" s="22">
        <v>1</v>
      </c>
      <c r="R639" s="16">
        <v>4.9474857632150618E-4</v>
      </c>
    </row>
    <row r="640" spans="1:18" x14ac:dyDescent="0.45">
      <c r="A640" s="7">
        <v>686</v>
      </c>
      <c r="B640" s="7" t="s">
        <v>1611</v>
      </c>
      <c r="C640" s="7" t="s">
        <v>1612</v>
      </c>
      <c r="D640" s="7" t="s">
        <v>1614</v>
      </c>
      <c r="E640" t="s">
        <v>1610</v>
      </c>
      <c r="F640" t="s">
        <v>987</v>
      </c>
      <c r="G640" t="s">
        <v>832</v>
      </c>
      <c r="H640" t="s">
        <v>808</v>
      </c>
      <c r="I640" t="s">
        <v>806</v>
      </c>
      <c r="J640" s="12"/>
      <c r="K640" s="12" t="s">
        <v>1062</v>
      </c>
      <c r="L640" s="12" t="s">
        <v>1110</v>
      </c>
      <c r="M640" s="12" t="s">
        <v>838</v>
      </c>
      <c r="N640" s="14" t="s">
        <v>1003</v>
      </c>
      <c r="P640" s="16">
        <v>6.7320387090000005E-4</v>
      </c>
      <c r="Q640" s="22">
        <v>1</v>
      </c>
      <c r="R640" s="16">
        <v>4.9474857632150618E-4</v>
      </c>
    </row>
    <row r="641" spans="1:13" x14ac:dyDescent="0.45">
      <c r="A641" s="7">
        <v>687</v>
      </c>
      <c r="B641" s="7" t="s">
        <v>1615</v>
      </c>
      <c r="C641" s="7" t="s">
        <v>1616</v>
      </c>
      <c r="D641" s="7" t="s">
        <v>1617</v>
      </c>
      <c r="E641" t="s">
        <v>1610</v>
      </c>
      <c r="F641" t="s">
        <v>990</v>
      </c>
      <c r="G641" t="s">
        <v>832</v>
      </c>
      <c r="H641" t="s">
        <v>808</v>
      </c>
      <c r="I641" t="s">
        <v>806</v>
      </c>
      <c r="J641" s="12"/>
      <c r="K641" s="12" t="s">
        <v>1062</v>
      </c>
      <c r="L641" s="12" t="s">
        <v>1110</v>
      </c>
      <c r="M641" s="12" t="s">
        <v>838</v>
      </c>
    </row>
  </sheetData>
  <autoFilter ref="A1:S546" xr:uid="{4DB86BBF-F063-4F27-9467-88F8B07553C0}"/>
  <phoneticPr fontId="19" type="noConversion"/>
  <conditionalFormatting sqref="Q1:Q1048576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A52C-A597-4884-9AC0-911EBB770079}">
  <dimension ref="A1:S686"/>
  <sheetViews>
    <sheetView zoomScale="90" zoomScaleNormal="90" workbookViewId="0">
      <pane ySplit="1" topLeftCell="A283" activePane="bottomLeft" state="frozen"/>
      <selection pane="bottomLeft" activeCell="A299" sqref="A299"/>
    </sheetView>
  </sheetViews>
  <sheetFormatPr defaultRowHeight="14.25" x14ac:dyDescent="0.45"/>
  <cols>
    <col min="1" max="1" width="6.1328125" customWidth="1"/>
    <col min="2" max="2" width="53.73046875" customWidth="1"/>
    <col min="3" max="3" width="71.59765625" customWidth="1"/>
    <col min="4" max="4" width="53.73046875" customWidth="1"/>
    <col min="5" max="5" width="63.6640625" customWidth="1"/>
    <col min="6" max="6" width="15.796875" customWidth="1"/>
    <col min="7" max="13" width="10.33203125" customWidth="1"/>
    <col min="14" max="14" width="20.06640625" customWidth="1"/>
    <col min="15" max="15" width="36.796875" customWidth="1"/>
    <col min="16" max="18" width="19.19921875" customWidth="1"/>
    <col min="19" max="19" width="44.929687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250</v>
      </c>
      <c r="E1" s="1" t="s">
        <v>3</v>
      </c>
      <c r="F1" s="1" t="s">
        <v>844</v>
      </c>
      <c r="G1" s="1" t="s">
        <v>807</v>
      </c>
      <c r="H1" s="1" t="s">
        <v>767</v>
      </c>
      <c r="I1" s="1" t="s">
        <v>781</v>
      </c>
      <c r="J1" s="1" t="s">
        <v>782</v>
      </c>
      <c r="K1" s="1" t="s">
        <v>1061</v>
      </c>
      <c r="L1" s="1" t="s">
        <v>1112</v>
      </c>
      <c r="M1" s="1" t="s">
        <v>973</v>
      </c>
      <c r="N1" s="1" t="s">
        <v>1063</v>
      </c>
      <c r="O1" s="1" t="s">
        <v>4</v>
      </c>
      <c r="P1" s="1" t="s">
        <v>1123</v>
      </c>
      <c r="Q1" s="1" t="s">
        <v>1176</v>
      </c>
      <c r="R1" s="1" t="s">
        <v>1124</v>
      </c>
      <c r="S1" s="1" t="s">
        <v>654</v>
      </c>
    </row>
    <row r="2" spans="1:19" x14ac:dyDescent="0.45">
      <c r="A2" s="3">
        <v>1</v>
      </c>
      <c r="B2" s="3" t="s">
        <v>1143</v>
      </c>
      <c r="C2" s="3" t="s">
        <v>975</v>
      </c>
      <c r="D2" s="3" t="s">
        <v>853</v>
      </c>
      <c r="E2" t="s">
        <v>978</v>
      </c>
      <c r="F2" t="s">
        <v>984</v>
      </c>
      <c r="G2" t="s">
        <v>830</v>
      </c>
      <c r="H2" t="s">
        <v>808</v>
      </c>
      <c r="I2" s="12" t="s">
        <v>1107</v>
      </c>
      <c r="K2" s="12" t="s">
        <v>1062</v>
      </c>
      <c r="L2" s="12" t="s">
        <v>1110</v>
      </c>
      <c r="M2" s="12" t="s">
        <v>838</v>
      </c>
      <c r="N2" s="14" t="s">
        <v>998</v>
      </c>
      <c r="O2" t="s">
        <v>651</v>
      </c>
      <c r="P2" s="16">
        <f>PRODUCT(_xlfn.XLOOKUP(F2,Config!$A$2:$A$15,Config!$B$2:$B$15),_xlfn.XLOOKUP(G2,Config!$C$2:$C$7,Config!$D$2:$D$7),_xlfn.XLOOKUP(H2,Config!$E$2:$E$5,Config!$F$2:$F$5),_xlfn.XLOOKUP(I2,Config!$G$2:$G$3,Config!$H$2:$H$3),_xlfn.XLOOKUP(J2,Config!$I$2:$I$3,Config!$J$2:$J$3),_xlfn.XLOOKUP(K2,Config!$K$2:$K$3,Config!$L$2:$L$3),_xlfn.XLOOKUP(L2,Config!$M$2:$M$3,Config!$N$2:$N$3),_xlfn.XLOOKUP(M2,Config!$O$2:$O$6,Config!$P$2:$P$6))</f>
        <v>4.1651584128000003E-3</v>
      </c>
      <c r="Q2" s="22">
        <f>0.25*0.5</f>
        <v>0.125</v>
      </c>
      <c r="R2" s="16">
        <f>P2*Q2*Config!$B$19</f>
        <v>3.8263041181926902E-4</v>
      </c>
    </row>
    <row r="3" spans="1:19" x14ac:dyDescent="0.45">
      <c r="A3" s="3">
        <v>2</v>
      </c>
      <c r="B3" s="3" t="s">
        <v>1149</v>
      </c>
      <c r="C3" s="3" t="s">
        <v>840</v>
      </c>
      <c r="D3" s="3" t="s">
        <v>841</v>
      </c>
      <c r="E3" t="s">
        <v>977</v>
      </c>
      <c r="F3" t="s">
        <v>984</v>
      </c>
      <c r="G3" t="s">
        <v>830</v>
      </c>
      <c r="H3" t="s">
        <v>808</v>
      </c>
      <c r="I3" s="12" t="s">
        <v>1107</v>
      </c>
      <c r="K3" s="12" t="s">
        <v>1062</v>
      </c>
      <c r="L3" s="12" t="s">
        <v>1110</v>
      </c>
      <c r="M3" s="12" t="s">
        <v>838</v>
      </c>
      <c r="N3" s="12" t="s">
        <v>1190</v>
      </c>
      <c r="O3" t="s">
        <v>1004</v>
      </c>
      <c r="P3" s="16">
        <f>PRODUCT(_xlfn.XLOOKUP(F3,Config!$A$2:$A$15,Config!$B$2:$B$15),_xlfn.XLOOKUP(G3,Config!$C$2:$C$7,Config!$D$2:$D$7),_xlfn.XLOOKUP(H3,Config!$E$2:$E$5,Config!$F$2:$F$5),_xlfn.XLOOKUP(I3,Config!$G$2:$G$3,Config!$H$2:$H$3),_xlfn.XLOOKUP(J3,Config!$I$2:$I$3,Config!$J$2:$J$3),_xlfn.XLOOKUP(K3,Config!$K$2:$K$3,Config!$L$2:$L$3),_xlfn.XLOOKUP(L3,Config!$M$2:$M$3,Config!$N$2:$N$3),_xlfn.XLOOKUP(M3,Config!$O$2:$O$6,Config!$P$2:$P$6))</f>
        <v>4.1651584128000003E-3</v>
      </c>
      <c r="Q3" s="22">
        <v>0.5</v>
      </c>
      <c r="R3" s="16">
        <f>P3*Q3*Config!$B$19</f>
        <v>1.5305216472770761E-3</v>
      </c>
    </row>
    <row r="4" spans="1:19" x14ac:dyDescent="0.45">
      <c r="A4" s="3">
        <v>3</v>
      </c>
      <c r="B4" s="3" t="s">
        <v>1199</v>
      </c>
      <c r="C4" s="3" t="s">
        <v>1200</v>
      </c>
      <c r="D4" s="3" t="s">
        <v>1202</v>
      </c>
      <c r="E4" t="s">
        <v>1182</v>
      </c>
      <c r="F4" t="s">
        <v>984</v>
      </c>
      <c r="G4" t="s">
        <v>830</v>
      </c>
      <c r="H4" t="s">
        <v>808</v>
      </c>
      <c r="I4" s="12" t="s">
        <v>1107</v>
      </c>
      <c r="K4" s="12" t="s">
        <v>1062</v>
      </c>
      <c r="L4" s="12" t="s">
        <v>1110</v>
      </c>
      <c r="M4" s="12" t="s">
        <v>838</v>
      </c>
      <c r="N4" s="12" t="s">
        <v>1190</v>
      </c>
      <c r="O4" s="14" t="s">
        <v>1184</v>
      </c>
      <c r="P4" s="16">
        <f>PRODUCT(_xlfn.XLOOKUP(F4,Config!$A$2:$A$15,Config!$B$2:$B$15),_xlfn.XLOOKUP(G4,Config!$C$2:$C$7,Config!$D$2:$D$7),_xlfn.XLOOKUP(H4,Config!$E$2:$E$5,Config!$F$2:$F$5),_xlfn.XLOOKUP(I4,Config!$G$2:$G$3,Config!$H$2:$H$3),_xlfn.XLOOKUP(J4,Config!$I$2:$I$3,Config!$J$2:$J$3),_xlfn.XLOOKUP(K4,Config!$K$2:$K$3,Config!$L$2:$L$3),_xlfn.XLOOKUP(L4,Config!$M$2:$M$3,Config!$N$2:$N$3),_xlfn.XLOOKUP(M4,Config!$O$2:$O$6,Config!$P$2:$P$6))</f>
        <v>4.1651584128000003E-3</v>
      </c>
      <c r="Q4" s="22">
        <v>0.5</v>
      </c>
      <c r="R4" s="16">
        <f>P4*Q4*Config!$B$19</f>
        <v>1.5305216472770761E-3</v>
      </c>
    </row>
    <row r="5" spans="1:19" x14ac:dyDescent="0.45">
      <c r="A5" s="3">
        <v>4</v>
      </c>
      <c r="B5" s="3" t="s">
        <v>1149</v>
      </c>
      <c r="C5" s="3" t="s">
        <v>840</v>
      </c>
      <c r="D5" s="3" t="s">
        <v>841</v>
      </c>
      <c r="E5" t="s">
        <v>977</v>
      </c>
      <c r="F5" t="s">
        <v>971</v>
      </c>
      <c r="G5" t="s">
        <v>830</v>
      </c>
      <c r="H5" t="s">
        <v>808</v>
      </c>
      <c r="I5" s="12" t="s">
        <v>1107</v>
      </c>
      <c r="K5" s="12" t="s">
        <v>1062</v>
      </c>
      <c r="L5" s="12" t="s">
        <v>1110</v>
      </c>
      <c r="M5" s="12" t="s">
        <v>838</v>
      </c>
      <c r="N5" s="12" t="s">
        <v>1190</v>
      </c>
      <c r="O5" s="14" t="s">
        <v>1005</v>
      </c>
      <c r="P5" s="16">
        <f>PRODUCT(_xlfn.XLOOKUP(F5,Config!$A$2:$A$15,Config!$B$2:$B$15),_xlfn.XLOOKUP(G5,Config!$C$2:$C$7,Config!$D$2:$D$7),_xlfn.XLOOKUP(H5,Config!$E$2:$E$5,Config!$F$2:$F$5),_xlfn.XLOOKUP(I5,Config!$G$2:$G$3,Config!$H$2:$H$3),_xlfn.XLOOKUP(J5,Config!$I$2:$I$3,Config!$J$2:$J$3),_xlfn.XLOOKUP(K5,Config!$K$2:$K$3,Config!$L$2:$L$3),_xlfn.XLOOKUP(L5,Config!$M$2:$M$3,Config!$N$2:$N$3),_xlfn.XLOOKUP(M5,Config!$O$2:$O$6,Config!$P$2:$P$6))</f>
        <v>2.3429016072E-3</v>
      </c>
      <c r="Q5" s="22">
        <v>1</v>
      </c>
      <c r="R5" s="16">
        <f>P5*Q5*Config!$B$19</f>
        <v>1.7218368531867105E-3</v>
      </c>
    </row>
    <row r="6" spans="1:19" x14ac:dyDescent="0.45">
      <c r="A6" s="3">
        <v>5</v>
      </c>
      <c r="B6" s="3" t="s">
        <v>1143</v>
      </c>
      <c r="C6" s="3" t="s">
        <v>975</v>
      </c>
      <c r="D6" s="3" t="s">
        <v>853</v>
      </c>
      <c r="E6" t="s">
        <v>978</v>
      </c>
      <c r="F6" t="s">
        <v>985</v>
      </c>
      <c r="G6" t="s">
        <v>830</v>
      </c>
      <c r="H6" t="s">
        <v>808</v>
      </c>
      <c r="I6" s="12" t="s">
        <v>1107</v>
      </c>
      <c r="K6" s="12" t="s">
        <v>1062</v>
      </c>
      <c r="L6" s="12" t="s">
        <v>1110</v>
      </c>
      <c r="M6" s="12" t="s">
        <v>838</v>
      </c>
      <c r="N6" s="14" t="s">
        <v>998</v>
      </c>
      <c r="O6" s="14" t="s">
        <v>1006</v>
      </c>
      <c r="P6" s="16">
        <f>PRODUCT(_xlfn.XLOOKUP(F6,Config!$A$2:$A$15,Config!$B$2:$B$15),_xlfn.XLOOKUP(G6,Config!$C$2:$C$7,Config!$D$2:$D$7),_xlfn.XLOOKUP(H6,Config!$E$2:$E$5,Config!$F$2:$F$5),_xlfn.XLOOKUP(I6,Config!$G$2:$G$3,Config!$H$2:$H$3),_xlfn.XLOOKUP(J6,Config!$I$2:$I$3,Config!$J$2:$J$3),_xlfn.XLOOKUP(K6,Config!$K$2:$K$3,Config!$L$2:$L$3),_xlfn.XLOOKUP(L6,Config!$M$2:$M$3,Config!$N$2:$N$3),_xlfn.XLOOKUP(M6,Config!$O$2:$O$6,Config!$P$2:$P$6))</f>
        <v>3.5971822656000003E-3</v>
      </c>
      <c r="Q6" s="22">
        <v>0.25</v>
      </c>
      <c r="R6" s="16">
        <f>P6*Q6*Config!$B$19</f>
        <v>6.6090707496055563E-4</v>
      </c>
    </row>
    <row r="7" spans="1:19" x14ac:dyDescent="0.45">
      <c r="A7" s="3">
        <v>6</v>
      </c>
      <c r="B7" s="3" t="s">
        <v>1149</v>
      </c>
      <c r="C7" s="3" t="s">
        <v>840</v>
      </c>
      <c r="D7" s="3" t="s">
        <v>841</v>
      </c>
      <c r="E7" t="s">
        <v>977</v>
      </c>
      <c r="F7" t="s">
        <v>985</v>
      </c>
      <c r="G7" t="s">
        <v>830</v>
      </c>
      <c r="H7" t="s">
        <v>808</v>
      </c>
      <c r="I7" s="12" t="s">
        <v>1107</v>
      </c>
      <c r="K7" s="12" t="s">
        <v>1062</v>
      </c>
      <c r="L7" s="12" t="s">
        <v>1110</v>
      </c>
      <c r="M7" s="12" t="s">
        <v>838</v>
      </c>
      <c r="N7" s="12" t="s">
        <v>1190</v>
      </c>
      <c r="O7" s="14" t="s">
        <v>1007</v>
      </c>
      <c r="P7" s="16">
        <f>PRODUCT(_xlfn.XLOOKUP(F7,Config!$A$2:$A$15,Config!$B$2:$B$15),_xlfn.XLOOKUP(G7,Config!$C$2:$C$7,Config!$D$2:$D$7),_xlfn.XLOOKUP(H7,Config!$E$2:$E$5,Config!$F$2:$F$5),_xlfn.XLOOKUP(I7,Config!$G$2:$G$3,Config!$H$2:$H$3),_xlfn.XLOOKUP(J7,Config!$I$2:$I$3,Config!$J$2:$J$3),_xlfn.XLOOKUP(K7,Config!$K$2:$K$3,Config!$L$2:$L$3),_xlfn.XLOOKUP(L7,Config!$M$2:$M$3,Config!$N$2:$N$3),_xlfn.XLOOKUP(M7,Config!$O$2:$O$6,Config!$P$2:$P$6))</f>
        <v>3.5971822656000003E-3</v>
      </c>
      <c r="Q7" s="22">
        <v>1</v>
      </c>
      <c r="R7" s="16">
        <f>P7*Q7*Config!$B$19</f>
        <v>2.6436282998422225E-3</v>
      </c>
    </row>
    <row r="8" spans="1:19" x14ac:dyDescent="0.45">
      <c r="A8" s="3">
        <v>7</v>
      </c>
      <c r="B8" s="3" t="s">
        <v>1542</v>
      </c>
      <c r="C8" s="3" t="s">
        <v>975</v>
      </c>
      <c r="D8" s="3" t="s">
        <v>853</v>
      </c>
      <c r="E8" t="s">
        <v>978</v>
      </c>
      <c r="F8" t="s">
        <v>1010</v>
      </c>
      <c r="G8" t="s">
        <v>830</v>
      </c>
      <c r="H8" t="s">
        <v>808</v>
      </c>
      <c r="I8" s="12" t="s">
        <v>1107</v>
      </c>
      <c r="K8" s="12" t="s">
        <v>1062</v>
      </c>
      <c r="L8" s="12" t="s">
        <v>1110</v>
      </c>
      <c r="M8" s="12" t="s">
        <v>838</v>
      </c>
      <c r="N8" s="14" t="s">
        <v>998</v>
      </c>
      <c r="O8" t="s">
        <v>1136</v>
      </c>
      <c r="P8" s="16">
        <f>PRODUCT(_xlfn.XLOOKUP(F8,Config!$A$2:$A$15,Config!$B$2:$B$15),_xlfn.XLOOKUP(G8,Config!$C$2:$C$7,Config!$D$2:$D$7),_xlfn.XLOOKUP(H8,Config!$E$2:$E$5,Config!$F$2:$F$5),_xlfn.XLOOKUP(I8,Config!$G$2:$G$3,Config!$H$2:$H$3),_xlfn.XLOOKUP(J8,Config!$I$2:$I$3,Config!$J$2:$J$3),_xlfn.XLOOKUP(K8,Config!$K$2:$K$3,Config!$L$2:$L$3),_xlfn.XLOOKUP(L8,Config!$M$2:$M$3,Config!$N$2:$N$3),_xlfn.XLOOKUP(M8,Config!$O$2:$O$6,Config!$P$2:$P$6))</f>
        <v>2.7925493904000006E-3</v>
      </c>
      <c r="Q8" s="22">
        <v>0.25</v>
      </c>
      <c r="R8" s="16">
        <f>P8*Q8*Config!$B$19</f>
        <v>5.130725976667472E-4</v>
      </c>
    </row>
    <row r="9" spans="1:19" x14ac:dyDescent="0.45">
      <c r="A9" s="3">
        <v>8</v>
      </c>
      <c r="B9" s="3" t="s">
        <v>1149</v>
      </c>
      <c r="C9" s="3" t="s">
        <v>840</v>
      </c>
      <c r="D9" s="3" t="s">
        <v>841</v>
      </c>
      <c r="E9" t="s">
        <v>977</v>
      </c>
      <c r="F9" t="s">
        <v>986</v>
      </c>
      <c r="G9" t="s">
        <v>830</v>
      </c>
      <c r="H9" t="s">
        <v>808</v>
      </c>
      <c r="I9" s="12" t="s">
        <v>1107</v>
      </c>
      <c r="K9" s="12" t="s">
        <v>1062</v>
      </c>
      <c r="L9" s="12" t="s">
        <v>1110</v>
      </c>
      <c r="M9" s="12" t="s">
        <v>838</v>
      </c>
      <c r="N9" s="12" t="s">
        <v>1190</v>
      </c>
      <c r="O9" t="s">
        <v>1008</v>
      </c>
      <c r="P9" s="16">
        <f>PRODUCT(_xlfn.XLOOKUP(F9,Config!$A$2:$A$15,Config!$B$2:$B$15),_xlfn.XLOOKUP(G9,Config!$C$2:$C$7,Config!$D$2:$D$7),_xlfn.XLOOKUP(H9,Config!$E$2:$E$5,Config!$F$2:$F$5),_xlfn.XLOOKUP(I9,Config!$G$2:$G$3,Config!$H$2:$H$3),_xlfn.XLOOKUP(J9,Config!$I$2:$I$3,Config!$J$2:$J$3),_xlfn.XLOOKUP(K9,Config!$K$2:$K$3,Config!$L$2:$L$3),_xlfn.XLOOKUP(L9,Config!$M$2:$M$3,Config!$N$2:$N$3),_xlfn.XLOOKUP(M9,Config!$O$2:$O$6,Config!$P$2:$P$6))</f>
        <v>2.0234150244E-3</v>
      </c>
      <c r="Q9" s="22">
        <v>1</v>
      </c>
      <c r="R9" s="16">
        <f>P9*Q9*Config!$B$19</f>
        <v>1.48704091866125E-3</v>
      </c>
    </row>
    <row r="10" spans="1:19" x14ac:dyDescent="0.45">
      <c r="A10" s="3">
        <v>9</v>
      </c>
      <c r="B10" s="3" t="s">
        <v>1144</v>
      </c>
      <c r="C10" s="3" t="s">
        <v>975</v>
      </c>
      <c r="D10" s="3" t="s">
        <v>853</v>
      </c>
      <c r="E10" t="s">
        <v>1147</v>
      </c>
      <c r="F10" t="s">
        <v>1010</v>
      </c>
      <c r="G10" t="s">
        <v>830</v>
      </c>
      <c r="H10" t="s">
        <v>808</v>
      </c>
      <c r="I10" s="12" t="s">
        <v>1107</v>
      </c>
      <c r="K10" s="12" t="s">
        <v>1062</v>
      </c>
      <c r="L10" s="12" t="s">
        <v>1110</v>
      </c>
      <c r="M10" s="12" t="s">
        <v>838</v>
      </c>
      <c r="N10" s="14" t="s">
        <v>998</v>
      </c>
      <c r="O10" t="s">
        <v>1136</v>
      </c>
      <c r="P10" s="16">
        <f>PRODUCT(_xlfn.XLOOKUP(F10,Config!$A$2:$A$15,Config!$B$2:$B$15),_xlfn.XLOOKUP(G10,Config!$C$2:$C$7,Config!$D$2:$D$7),_xlfn.XLOOKUP(H10,Config!$E$2:$E$5,Config!$F$2:$F$5),_xlfn.XLOOKUP(I10,Config!$G$2:$G$3,Config!$H$2:$H$3),_xlfn.XLOOKUP(J10,Config!$I$2:$I$3,Config!$J$2:$J$3),_xlfn.XLOOKUP(K10,Config!$K$2:$K$3,Config!$L$2:$L$3),_xlfn.XLOOKUP(L10,Config!$M$2:$M$3,Config!$N$2:$N$3),_xlfn.XLOOKUP(M10,Config!$O$2:$O$6,Config!$P$2:$P$6))</f>
        <v>2.7925493904000006E-3</v>
      </c>
      <c r="Q10" s="22">
        <v>0.75</v>
      </c>
      <c r="R10" s="16">
        <f>P10*Q10*Config!$B$19</f>
        <v>1.5392177930002415E-3</v>
      </c>
    </row>
    <row r="11" spans="1:19" x14ac:dyDescent="0.45">
      <c r="A11" s="3">
        <v>10</v>
      </c>
      <c r="B11" s="3" t="s">
        <v>1539</v>
      </c>
      <c r="C11" s="3" t="s">
        <v>840</v>
      </c>
      <c r="D11" s="3" t="s">
        <v>841</v>
      </c>
      <c r="E11" t="s">
        <v>977</v>
      </c>
      <c r="F11" t="s">
        <v>1010</v>
      </c>
      <c r="G11" t="s">
        <v>830</v>
      </c>
      <c r="H11" t="s">
        <v>808</v>
      </c>
      <c r="I11" s="12" t="s">
        <v>1107</v>
      </c>
      <c r="K11" s="12" t="s">
        <v>1062</v>
      </c>
      <c r="L11" s="12" t="s">
        <v>1110</v>
      </c>
      <c r="M11" s="12" t="s">
        <v>838</v>
      </c>
      <c r="N11" s="12" t="s">
        <v>1190</v>
      </c>
      <c r="O11" t="s">
        <v>1137</v>
      </c>
      <c r="P11" s="16">
        <f>PRODUCT(_xlfn.XLOOKUP(F11,Config!$A$2:$A$15,Config!$B$2:$B$15),_xlfn.XLOOKUP(G11,Config!$C$2:$C$7,Config!$D$2:$D$7),_xlfn.XLOOKUP(H11,Config!$E$2:$E$5,Config!$F$2:$F$5),_xlfn.XLOOKUP(I11,Config!$G$2:$G$3,Config!$H$2:$H$3),_xlfn.XLOOKUP(J11,Config!$I$2:$I$3,Config!$J$2:$J$3),_xlfn.XLOOKUP(K11,Config!$K$2:$K$3,Config!$L$2:$L$3),_xlfn.XLOOKUP(L11,Config!$M$2:$M$3,Config!$N$2:$N$3),_xlfn.XLOOKUP(M11,Config!$O$2:$O$6,Config!$P$2:$P$6))</f>
        <v>2.7925493904000006E-3</v>
      </c>
      <c r="Q11" s="22">
        <v>1</v>
      </c>
      <c r="R11" s="16">
        <f>P11*Q11*Config!$B$19</f>
        <v>2.0522903906669888E-3</v>
      </c>
    </row>
    <row r="12" spans="1:19" x14ac:dyDescent="0.45">
      <c r="A12" s="3">
        <v>11</v>
      </c>
      <c r="B12" s="3" t="s">
        <v>653</v>
      </c>
      <c r="C12" s="3" t="s">
        <v>976</v>
      </c>
      <c r="D12" s="13" t="s">
        <v>852</v>
      </c>
      <c r="E12" t="s">
        <v>1009</v>
      </c>
      <c r="F12" t="s">
        <v>990</v>
      </c>
      <c r="G12" t="s">
        <v>830</v>
      </c>
      <c r="H12" t="s">
        <v>808</v>
      </c>
      <c r="I12" s="12" t="s">
        <v>1107</v>
      </c>
      <c r="K12" s="12" t="s">
        <v>1062</v>
      </c>
      <c r="L12" s="12" t="s">
        <v>1110</v>
      </c>
      <c r="M12" s="12" t="s">
        <v>838</v>
      </c>
      <c r="N12" s="14" t="s">
        <v>998</v>
      </c>
      <c r="O12" t="s">
        <v>652</v>
      </c>
      <c r="P12" s="16">
        <f>PRODUCT(_xlfn.XLOOKUP(F12,Config!$A$2:$A$15,Config!$B$2:$B$15),_xlfn.XLOOKUP(G12,Config!$C$2:$C$7,Config!$D$2:$D$7),_xlfn.XLOOKUP(H12,Config!$E$2:$E$5,Config!$F$2:$F$5),_xlfn.XLOOKUP(I12,Config!$G$2:$G$3,Config!$H$2:$H$3),_xlfn.XLOOKUP(J12,Config!$I$2:$I$3,Config!$J$2:$J$3),_xlfn.XLOOKUP(K12,Config!$K$2:$K$3,Config!$L$2:$L$3),_xlfn.XLOOKUP(L12,Config!$M$2:$M$3,Config!$N$2:$N$3),_xlfn.XLOOKUP(M12,Config!$O$2:$O$6,Config!$P$2:$P$6))</f>
        <v>2.7925493904000006E-3</v>
      </c>
      <c r="Q12" s="22">
        <v>1</v>
      </c>
      <c r="R12" s="16">
        <f>P12*Q12*Config!$B$19</f>
        <v>2.0522903906669888E-3</v>
      </c>
    </row>
    <row r="13" spans="1:19" x14ac:dyDescent="0.45">
      <c r="A13" s="3">
        <v>12</v>
      </c>
      <c r="B13" s="3" t="s">
        <v>489</v>
      </c>
      <c r="C13" s="3" t="s">
        <v>706</v>
      </c>
      <c r="D13" s="3" t="s">
        <v>566</v>
      </c>
      <c r="E13" t="s">
        <v>839</v>
      </c>
      <c r="F13" t="s">
        <v>990</v>
      </c>
      <c r="G13" t="s">
        <v>830</v>
      </c>
      <c r="H13" t="s">
        <v>808</v>
      </c>
      <c r="I13" s="12" t="s">
        <v>1107</v>
      </c>
      <c r="K13" s="12" t="s">
        <v>1062</v>
      </c>
      <c r="L13" s="12" t="s">
        <v>1110</v>
      </c>
      <c r="M13" s="12" t="s">
        <v>838</v>
      </c>
      <c r="N13" s="12" t="s">
        <v>1190</v>
      </c>
      <c r="O13" t="s">
        <v>491</v>
      </c>
      <c r="P13" s="16">
        <f>PRODUCT(_xlfn.XLOOKUP(F13,Config!$A$2:$A$15,Config!$B$2:$B$15),_xlfn.XLOOKUP(G13,Config!$C$2:$C$7,Config!$D$2:$D$7),_xlfn.XLOOKUP(H13,Config!$E$2:$E$5,Config!$F$2:$F$5),_xlfn.XLOOKUP(I13,Config!$G$2:$G$3,Config!$H$2:$H$3),_xlfn.XLOOKUP(J13,Config!$I$2:$I$3,Config!$J$2:$J$3),_xlfn.XLOOKUP(K13,Config!$K$2:$K$3,Config!$L$2:$L$3),_xlfn.XLOOKUP(L13,Config!$M$2:$M$3,Config!$N$2:$N$3),_xlfn.XLOOKUP(M13,Config!$O$2:$O$6,Config!$P$2:$P$6))</f>
        <v>2.7925493904000006E-3</v>
      </c>
      <c r="Q13" s="22">
        <v>1</v>
      </c>
      <c r="R13" s="16">
        <f>P13*Q13*Config!$B$19</f>
        <v>2.0522903906669888E-3</v>
      </c>
    </row>
    <row r="14" spans="1:19" x14ac:dyDescent="0.45">
      <c r="A14" s="3">
        <v>13</v>
      </c>
      <c r="B14" s="3" t="s">
        <v>88</v>
      </c>
      <c r="C14" s="3" t="s">
        <v>709</v>
      </c>
      <c r="D14" s="3" t="s">
        <v>271</v>
      </c>
      <c r="E14" t="s">
        <v>79</v>
      </c>
      <c r="F14" t="s">
        <v>988</v>
      </c>
      <c r="G14" t="s">
        <v>830</v>
      </c>
      <c r="H14" t="s">
        <v>808</v>
      </c>
      <c r="I14" s="12" t="s">
        <v>1107</v>
      </c>
      <c r="K14" s="12" t="s">
        <v>1062</v>
      </c>
      <c r="L14" s="12" t="s">
        <v>1110</v>
      </c>
      <c r="M14" s="12" t="s">
        <v>838</v>
      </c>
      <c r="N14" s="12" t="s">
        <v>1190</v>
      </c>
      <c r="O14" t="s">
        <v>35</v>
      </c>
      <c r="P14" s="16">
        <f>PRODUCT(_xlfn.XLOOKUP(F14,Config!$A$2:$A$15,Config!$B$2:$B$15),_xlfn.XLOOKUP(G14,Config!$C$2:$C$7,Config!$D$2:$D$7),_xlfn.XLOOKUP(H14,Config!$E$2:$E$5,Config!$F$2:$F$5),_xlfn.XLOOKUP(I14,Config!$G$2:$G$3,Config!$H$2:$H$3),_xlfn.XLOOKUP(J14,Config!$I$2:$I$3,Config!$J$2:$J$3),_xlfn.XLOOKUP(K14,Config!$K$2:$K$3,Config!$L$2:$L$3),_xlfn.XLOOKUP(L14,Config!$M$2:$M$3,Config!$N$2:$N$3),_xlfn.XLOOKUP(M14,Config!$O$2:$O$6,Config!$P$2:$P$6))</f>
        <v>2.7925493904000006E-3</v>
      </c>
      <c r="Q14" s="22">
        <v>1</v>
      </c>
      <c r="R14" s="16">
        <f>P14*Q14*Config!$B$19</f>
        <v>2.0522903906669888E-3</v>
      </c>
    </row>
    <row r="15" spans="1:19" x14ac:dyDescent="0.45">
      <c r="A15" s="3">
        <v>14</v>
      </c>
      <c r="B15" s="3" t="s">
        <v>1199</v>
      </c>
      <c r="C15" s="3" t="s">
        <v>1200</v>
      </c>
      <c r="D15" s="3" t="s">
        <v>1202</v>
      </c>
      <c r="E15" t="s">
        <v>1182</v>
      </c>
      <c r="F15" t="s">
        <v>985</v>
      </c>
      <c r="G15" t="s">
        <v>830</v>
      </c>
      <c r="H15" t="s">
        <v>808</v>
      </c>
      <c r="I15" s="12" t="s">
        <v>1107</v>
      </c>
      <c r="K15" s="12" t="s">
        <v>1062</v>
      </c>
      <c r="L15" s="12" t="s">
        <v>1110</v>
      </c>
      <c r="M15" s="12" t="s">
        <v>838</v>
      </c>
      <c r="N15" s="12" t="s">
        <v>1190</v>
      </c>
      <c r="O15" s="14" t="s">
        <v>1185</v>
      </c>
      <c r="P15" s="16">
        <f>PRODUCT(_xlfn.XLOOKUP(F15,Config!$A$2:$A$15,Config!$B$2:$B$15),_xlfn.XLOOKUP(G15,Config!$C$2:$C$7,Config!$D$2:$D$7),_xlfn.XLOOKUP(H15,Config!$E$2:$E$5,Config!$F$2:$F$5),_xlfn.XLOOKUP(I15,Config!$G$2:$G$3,Config!$H$2:$H$3),_xlfn.XLOOKUP(J15,Config!$I$2:$I$3,Config!$J$2:$J$3),_xlfn.XLOOKUP(K15,Config!$K$2:$K$3,Config!$L$2:$L$3),_xlfn.XLOOKUP(L15,Config!$M$2:$M$3,Config!$N$2:$N$3),_xlfn.XLOOKUP(M15,Config!$O$2:$O$6,Config!$P$2:$P$6))</f>
        <v>3.5971822656000003E-3</v>
      </c>
      <c r="Q15" s="22">
        <v>1</v>
      </c>
      <c r="R15" s="16">
        <f>P15*Q15*Config!$B$19</f>
        <v>2.6436282998422225E-3</v>
      </c>
    </row>
    <row r="16" spans="1:19" x14ac:dyDescent="0.45">
      <c r="A16" s="3">
        <v>15</v>
      </c>
      <c r="B16" s="3" t="s">
        <v>1149</v>
      </c>
      <c r="C16" s="3" t="s">
        <v>840</v>
      </c>
      <c r="D16" s="3" t="s">
        <v>841</v>
      </c>
      <c r="E16" t="s">
        <v>977</v>
      </c>
      <c r="F16" t="s">
        <v>987</v>
      </c>
      <c r="G16" t="s">
        <v>830</v>
      </c>
      <c r="H16" t="s">
        <v>808</v>
      </c>
      <c r="I16" s="12" t="s">
        <v>1107</v>
      </c>
      <c r="K16" s="12" t="s">
        <v>1062</v>
      </c>
      <c r="L16" s="12" t="s">
        <v>1110</v>
      </c>
      <c r="M16" s="12" t="s">
        <v>838</v>
      </c>
      <c r="N16" s="12" t="s">
        <v>1190</v>
      </c>
      <c r="O16" t="s">
        <v>1131</v>
      </c>
      <c r="P16" s="16">
        <f>PRODUCT(_xlfn.XLOOKUP(F16,Config!$A$2:$A$15,Config!$B$2:$B$15),_xlfn.XLOOKUP(G16,Config!$C$2:$C$7,Config!$D$2:$D$7),_xlfn.XLOOKUP(H16,Config!$E$2:$E$5,Config!$F$2:$F$5),_xlfn.XLOOKUP(I16,Config!$G$2:$G$3,Config!$H$2:$H$3),_xlfn.XLOOKUP(J16,Config!$I$2:$I$3,Config!$J$2:$J$3),_xlfn.XLOOKUP(K16,Config!$K$2:$K$3,Config!$L$2:$L$3),_xlfn.XLOOKUP(L16,Config!$M$2:$M$3,Config!$N$2:$N$3),_xlfn.XLOOKUP(M16,Config!$O$2:$O$6,Config!$P$2:$P$6))</f>
        <v>1.0472060213999998E-3</v>
      </c>
      <c r="Q16" s="22">
        <v>1</v>
      </c>
      <c r="R16" s="16">
        <f>P16*Q16*Config!$B$19</f>
        <v>7.6960889650012042E-4</v>
      </c>
    </row>
    <row r="17" spans="1:18" x14ac:dyDescent="0.45">
      <c r="A17" s="3">
        <v>16</v>
      </c>
      <c r="B17" s="3" t="s">
        <v>200</v>
      </c>
      <c r="C17" s="11" t="s">
        <v>718</v>
      </c>
      <c r="D17" s="3" t="s">
        <v>620</v>
      </c>
      <c r="E17" t="s">
        <v>79</v>
      </c>
      <c r="F17" t="s">
        <v>993</v>
      </c>
      <c r="G17" t="s">
        <v>830</v>
      </c>
      <c r="H17" t="s">
        <v>808</v>
      </c>
      <c r="I17" s="12" t="s">
        <v>1107</v>
      </c>
      <c r="K17" s="12" t="s">
        <v>1062</v>
      </c>
      <c r="L17" s="12" t="s">
        <v>1110</v>
      </c>
      <c r="M17" s="12" t="s">
        <v>838</v>
      </c>
      <c r="N17" s="12" t="s">
        <v>1190</v>
      </c>
      <c r="O17" t="s">
        <v>201</v>
      </c>
      <c r="P17" s="16">
        <f>PRODUCT(_xlfn.XLOOKUP(F17,Config!$A$2:$A$15,Config!$B$2:$B$15),_xlfn.XLOOKUP(G17,Config!$C$2:$C$7,Config!$D$2:$D$7),_xlfn.XLOOKUP(H17,Config!$E$2:$E$5,Config!$F$2:$F$5),_xlfn.XLOOKUP(I17,Config!$G$2:$G$3,Config!$H$2:$H$3),_xlfn.XLOOKUP(J17,Config!$I$2:$I$3,Config!$J$2:$J$3),_xlfn.XLOOKUP(K17,Config!$K$2:$K$3,Config!$L$2:$L$3),_xlfn.XLOOKUP(L17,Config!$M$2:$M$3,Config!$N$2:$N$3),_xlfn.XLOOKUP(M17,Config!$O$2:$O$6,Config!$P$2:$P$6))</f>
        <v>1.0472060213999998E-3</v>
      </c>
      <c r="Q17" s="22">
        <v>1</v>
      </c>
      <c r="R17" s="16">
        <f>P17*Q17*Config!$B$19</f>
        <v>7.6960889650012042E-4</v>
      </c>
    </row>
    <row r="18" spans="1:18" x14ac:dyDescent="0.45">
      <c r="A18" s="3">
        <v>17</v>
      </c>
      <c r="B18" s="3" t="s">
        <v>200</v>
      </c>
      <c r="C18" s="11" t="s">
        <v>719</v>
      </c>
      <c r="D18" s="3" t="s">
        <v>644</v>
      </c>
      <c r="E18" t="s">
        <v>79</v>
      </c>
      <c r="F18" t="s">
        <v>992</v>
      </c>
      <c r="G18" t="s">
        <v>830</v>
      </c>
      <c r="H18" t="s">
        <v>808</v>
      </c>
      <c r="I18" s="12" t="s">
        <v>1107</v>
      </c>
      <c r="K18" s="12" t="s">
        <v>1062</v>
      </c>
      <c r="L18" s="12" t="s">
        <v>1110</v>
      </c>
      <c r="M18" s="12" t="s">
        <v>838</v>
      </c>
      <c r="N18" s="12" t="s">
        <v>1190</v>
      </c>
      <c r="O18" t="s">
        <v>202</v>
      </c>
      <c r="P18" s="16">
        <f>PRODUCT(_xlfn.XLOOKUP(F18,Config!$A$2:$A$15,Config!$B$2:$B$15),_xlfn.XLOOKUP(G18,Config!$C$2:$C$7,Config!$D$2:$D$7),_xlfn.XLOOKUP(H18,Config!$E$2:$E$5,Config!$F$2:$F$5),_xlfn.XLOOKUP(I18,Config!$G$2:$G$3,Config!$H$2:$H$3),_xlfn.XLOOKUP(J18,Config!$I$2:$I$3,Config!$J$2:$J$3),_xlfn.XLOOKUP(K18,Config!$K$2:$K$3,Config!$L$2:$L$3),_xlfn.XLOOKUP(L18,Config!$M$2:$M$3,Config!$N$2:$N$3),_xlfn.XLOOKUP(M18,Config!$O$2:$O$6,Config!$P$2:$P$6))</f>
        <v>1.0472060213999998E-3</v>
      </c>
      <c r="Q18" s="22">
        <v>1</v>
      </c>
      <c r="R18" s="16">
        <f>P18*Q18*Config!$B$19</f>
        <v>7.6960889650012042E-4</v>
      </c>
    </row>
    <row r="19" spans="1:18" x14ac:dyDescent="0.45">
      <c r="A19" s="3">
        <v>18</v>
      </c>
      <c r="B19" s="3" t="s">
        <v>203</v>
      </c>
      <c r="C19" s="3" t="s">
        <v>721</v>
      </c>
      <c r="D19" s="3" t="s">
        <v>273</v>
      </c>
      <c r="E19" t="s">
        <v>796</v>
      </c>
      <c r="F19" t="s">
        <v>991</v>
      </c>
      <c r="G19" t="s">
        <v>830</v>
      </c>
      <c r="H19" t="s">
        <v>808</v>
      </c>
      <c r="I19" s="12" t="s">
        <v>1107</v>
      </c>
      <c r="K19" s="12" t="s">
        <v>1062</v>
      </c>
      <c r="L19" s="12" t="s">
        <v>1110</v>
      </c>
      <c r="M19" s="12" t="s">
        <v>838</v>
      </c>
      <c r="N19" s="12" t="s">
        <v>1190</v>
      </c>
      <c r="O19" t="s">
        <v>204</v>
      </c>
      <c r="P19" s="16">
        <f>PRODUCT(_xlfn.XLOOKUP(F19,Config!$A$2:$A$15,Config!$B$2:$B$15),_xlfn.XLOOKUP(G19,Config!$C$2:$C$7,Config!$D$2:$D$7),_xlfn.XLOOKUP(H19,Config!$E$2:$E$5,Config!$F$2:$F$5),_xlfn.XLOOKUP(I19,Config!$G$2:$G$3,Config!$H$2:$H$3),_xlfn.XLOOKUP(J19,Config!$I$2:$I$3,Config!$J$2:$J$3),_xlfn.XLOOKUP(K19,Config!$K$2:$K$3,Config!$L$2:$L$3),_xlfn.XLOOKUP(L19,Config!$M$2:$M$3,Config!$N$2:$N$3),_xlfn.XLOOKUP(M19,Config!$O$2:$O$6,Config!$P$2:$P$6))</f>
        <v>1.0472060213999998E-3</v>
      </c>
      <c r="Q19" s="22">
        <v>1</v>
      </c>
      <c r="R19" s="16">
        <f>P19*Q19*Config!$B$19</f>
        <v>7.6960889650012042E-4</v>
      </c>
    </row>
    <row r="20" spans="1:18" x14ac:dyDescent="0.45">
      <c r="A20" s="3">
        <v>19</v>
      </c>
      <c r="B20" s="3" t="s">
        <v>205</v>
      </c>
      <c r="C20" s="3" t="s">
        <v>721</v>
      </c>
      <c r="D20" s="3" t="s">
        <v>273</v>
      </c>
      <c r="E20" t="s">
        <v>797</v>
      </c>
      <c r="F20" t="s">
        <v>991</v>
      </c>
      <c r="G20" t="s">
        <v>830</v>
      </c>
      <c r="H20" t="s">
        <v>808</v>
      </c>
      <c r="I20" s="12" t="s">
        <v>1107</v>
      </c>
      <c r="K20" s="12" t="s">
        <v>1062</v>
      </c>
      <c r="L20" s="12" t="s">
        <v>1110</v>
      </c>
      <c r="M20" s="12" t="s">
        <v>838</v>
      </c>
      <c r="N20" s="12" t="s">
        <v>1190</v>
      </c>
      <c r="O20" t="s">
        <v>204</v>
      </c>
      <c r="P20" s="16">
        <f>PRODUCT(_xlfn.XLOOKUP(F20,Config!$A$2:$A$15,Config!$B$2:$B$15),_xlfn.XLOOKUP(G20,Config!$C$2:$C$7,Config!$D$2:$D$7),_xlfn.XLOOKUP(H20,Config!$E$2:$E$5,Config!$F$2:$F$5),_xlfn.XLOOKUP(I20,Config!$G$2:$G$3,Config!$H$2:$H$3),_xlfn.XLOOKUP(J20,Config!$I$2:$I$3,Config!$J$2:$J$3),_xlfn.XLOOKUP(K20,Config!$K$2:$K$3,Config!$L$2:$L$3),_xlfn.XLOOKUP(L20,Config!$M$2:$M$3,Config!$N$2:$N$3),_xlfn.XLOOKUP(M20,Config!$O$2:$O$6,Config!$P$2:$P$6))</f>
        <v>1.0472060213999998E-3</v>
      </c>
      <c r="Q20" s="22">
        <v>1</v>
      </c>
      <c r="R20" s="16">
        <f>P20*Q20*Config!$B$19</f>
        <v>7.6960889650012042E-4</v>
      </c>
    </row>
    <row r="21" spans="1:18" x14ac:dyDescent="0.45">
      <c r="A21" s="3">
        <v>20</v>
      </c>
      <c r="B21" s="3" t="s">
        <v>926</v>
      </c>
      <c r="C21" s="3" t="s">
        <v>922</v>
      </c>
      <c r="D21" s="3" t="s">
        <v>923</v>
      </c>
      <c r="E21" t="s">
        <v>869</v>
      </c>
      <c r="F21" t="s">
        <v>995</v>
      </c>
      <c r="G21" t="s">
        <v>830</v>
      </c>
      <c r="H21" t="s">
        <v>808</v>
      </c>
      <c r="I21" s="12" t="s">
        <v>1107</v>
      </c>
      <c r="K21" s="12" t="s">
        <v>1062</v>
      </c>
      <c r="L21" s="12" t="s">
        <v>1110</v>
      </c>
      <c r="M21" s="12" t="s">
        <v>838</v>
      </c>
      <c r="N21" s="12" t="s">
        <v>1190</v>
      </c>
      <c r="O21" t="s">
        <v>870</v>
      </c>
      <c r="P21" s="16">
        <f>PRODUCT(_xlfn.XLOOKUP(F21,Config!$A$2:$A$15,Config!$B$2:$B$15),_xlfn.XLOOKUP(G21,Config!$C$2:$C$7,Config!$D$2:$D$7),_xlfn.XLOOKUP(H21,Config!$E$2:$E$5,Config!$F$2:$F$5),_xlfn.XLOOKUP(I21,Config!$G$2:$G$3,Config!$H$2:$H$3),_xlfn.XLOOKUP(J21,Config!$I$2:$I$3,Config!$J$2:$J$3),_xlfn.XLOOKUP(K21,Config!$K$2:$K$3,Config!$L$2:$L$3),_xlfn.XLOOKUP(L21,Config!$M$2:$M$3,Config!$N$2:$N$3),_xlfn.XLOOKUP(M21,Config!$O$2:$O$6,Config!$P$2:$P$6))</f>
        <v>1.0472060213999998E-3</v>
      </c>
      <c r="Q21" s="22">
        <v>1</v>
      </c>
      <c r="R21" s="16">
        <f>P21*Q21*Config!$B$19</f>
        <v>7.6960889650012042E-4</v>
      </c>
    </row>
    <row r="22" spans="1:18" x14ac:dyDescent="0.45">
      <c r="A22" s="3">
        <v>21</v>
      </c>
      <c r="B22" s="3" t="s">
        <v>89</v>
      </c>
      <c r="C22" s="3" t="s">
        <v>708</v>
      </c>
      <c r="D22" s="3" t="s">
        <v>272</v>
      </c>
      <c r="E22" t="s">
        <v>80</v>
      </c>
      <c r="F22" t="s">
        <v>989</v>
      </c>
      <c r="G22" t="s">
        <v>830</v>
      </c>
      <c r="H22" t="s">
        <v>808</v>
      </c>
      <c r="I22" s="12" t="s">
        <v>1107</v>
      </c>
      <c r="K22" s="12" t="s">
        <v>1062</v>
      </c>
      <c r="L22" s="12" t="s">
        <v>1110</v>
      </c>
      <c r="M22" s="12" t="s">
        <v>838</v>
      </c>
      <c r="N22" s="12" t="s">
        <v>1190</v>
      </c>
      <c r="O22" t="s">
        <v>5</v>
      </c>
      <c r="P22" s="16">
        <f>PRODUCT(_xlfn.XLOOKUP(F22,Config!$A$2:$A$15,Config!$B$2:$B$15),_xlfn.XLOOKUP(G22,Config!$C$2:$C$7,Config!$D$2:$D$7),_xlfn.XLOOKUP(H22,Config!$E$2:$E$5,Config!$F$2:$F$5),_xlfn.XLOOKUP(I22,Config!$G$2:$G$3,Config!$H$2:$H$3),_xlfn.XLOOKUP(J22,Config!$I$2:$I$3,Config!$J$2:$J$3),_xlfn.XLOOKUP(K22,Config!$K$2:$K$3,Config!$L$2:$L$3),_xlfn.XLOOKUP(L22,Config!$M$2:$M$3,Config!$N$2:$N$3),_xlfn.XLOOKUP(M22,Config!$O$2:$O$6,Config!$P$2:$P$6))</f>
        <v>2.7925493904000006E-3</v>
      </c>
      <c r="Q22" s="22">
        <v>1</v>
      </c>
      <c r="R22" s="16">
        <f>P22*Q22*Config!$B$19</f>
        <v>2.0522903906669888E-3</v>
      </c>
    </row>
    <row r="23" spans="1:18" x14ac:dyDescent="0.45">
      <c r="A23" s="3">
        <v>22</v>
      </c>
      <c r="B23" s="3" t="s">
        <v>1011</v>
      </c>
      <c r="C23" s="3" t="s">
        <v>803</v>
      </c>
      <c r="D23" s="3" t="s">
        <v>804</v>
      </c>
      <c r="F23" t="s">
        <v>990</v>
      </c>
      <c r="G23" t="s">
        <v>830</v>
      </c>
      <c r="H23" t="s">
        <v>808</v>
      </c>
      <c r="I23" s="12" t="s">
        <v>1107</v>
      </c>
      <c r="K23" s="12" t="s">
        <v>1062</v>
      </c>
      <c r="L23" s="12" t="s">
        <v>1110</v>
      </c>
      <c r="M23" t="s">
        <v>835</v>
      </c>
      <c r="N23" s="12" t="s">
        <v>1190</v>
      </c>
      <c r="O23" t="s">
        <v>805</v>
      </c>
      <c r="P23" s="16">
        <f>PRODUCT(_xlfn.XLOOKUP(F23,Config!$A$2:$A$15,Config!$B$2:$B$15),_xlfn.XLOOKUP(G23,Config!$C$2:$C$7,Config!$D$2:$D$7),_xlfn.XLOOKUP(H23,Config!$E$2:$E$5,Config!$F$2:$F$5),_xlfn.XLOOKUP(I23,Config!$G$2:$G$3,Config!$H$2:$H$3),_xlfn.XLOOKUP(J23,Config!$I$2:$I$3,Config!$J$2:$J$3),_xlfn.XLOOKUP(K23,Config!$K$2:$K$3,Config!$L$2:$L$3),_xlfn.XLOOKUP(L23,Config!$M$2:$M$3,Config!$N$2:$N$3),_xlfn.XLOOKUP(M23,Config!$O$2:$O$6,Config!$P$2:$P$6))</f>
        <v>2.3271244920000005E-4</v>
      </c>
      <c r="Q23" s="22">
        <v>1</v>
      </c>
      <c r="R23" s="16">
        <f>P23*Q23*Config!$B$19</f>
        <v>1.7102419922224906E-4</v>
      </c>
    </row>
    <row r="24" spans="1:18" x14ac:dyDescent="0.45">
      <c r="A24" s="3">
        <v>23</v>
      </c>
      <c r="B24" s="3" t="s">
        <v>1012</v>
      </c>
      <c r="C24" s="3" t="s">
        <v>717</v>
      </c>
      <c r="D24" s="3" t="s">
        <v>773</v>
      </c>
      <c r="E24" t="s">
        <v>50</v>
      </c>
      <c r="F24" t="s">
        <v>988</v>
      </c>
      <c r="G24" t="s">
        <v>830</v>
      </c>
      <c r="H24" t="s">
        <v>808</v>
      </c>
      <c r="I24" s="12" t="s">
        <v>1107</v>
      </c>
      <c r="K24" s="12" t="s">
        <v>1062</v>
      </c>
      <c r="L24" s="12" t="s">
        <v>1110</v>
      </c>
      <c r="M24" t="s">
        <v>835</v>
      </c>
      <c r="N24" s="12" t="s">
        <v>1190</v>
      </c>
      <c r="O24" t="s">
        <v>51</v>
      </c>
      <c r="P24" s="16">
        <f>PRODUCT(_xlfn.XLOOKUP(F24,Config!$A$2:$A$15,Config!$B$2:$B$15),_xlfn.XLOOKUP(G24,Config!$C$2:$C$7,Config!$D$2:$D$7),_xlfn.XLOOKUP(H24,Config!$E$2:$E$5,Config!$F$2:$F$5),_xlfn.XLOOKUP(I24,Config!$G$2:$G$3,Config!$H$2:$H$3),_xlfn.XLOOKUP(J24,Config!$I$2:$I$3,Config!$J$2:$J$3),_xlfn.XLOOKUP(K24,Config!$K$2:$K$3,Config!$L$2:$L$3),_xlfn.XLOOKUP(L24,Config!$M$2:$M$3,Config!$N$2:$N$3),_xlfn.XLOOKUP(M24,Config!$O$2:$O$6,Config!$P$2:$P$6))</f>
        <v>2.3271244920000005E-4</v>
      </c>
      <c r="Q24" s="22">
        <v>1</v>
      </c>
      <c r="R24" s="16">
        <f>P24*Q24*Config!$B$19</f>
        <v>1.7102419922224906E-4</v>
      </c>
    </row>
    <row r="25" spans="1:18" x14ac:dyDescent="0.45">
      <c r="A25" s="3">
        <v>24</v>
      </c>
      <c r="B25" s="3" t="s">
        <v>1142</v>
      </c>
      <c r="C25" s="3" t="s">
        <v>716</v>
      </c>
      <c r="D25" s="3" t="s">
        <v>777</v>
      </c>
      <c r="E25" t="s">
        <v>55</v>
      </c>
      <c r="F25" t="s">
        <v>988</v>
      </c>
      <c r="G25" t="s">
        <v>830</v>
      </c>
      <c r="H25" t="s">
        <v>808</v>
      </c>
      <c r="I25" s="12" t="s">
        <v>1107</v>
      </c>
      <c r="K25" s="12" t="s">
        <v>1062</v>
      </c>
      <c r="L25" s="12" t="s">
        <v>1110</v>
      </c>
      <c r="M25" t="s">
        <v>835</v>
      </c>
      <c r="N25" s="12" t="s">
        <v>1190</v>
      </c>
      <c r="O25" t="s">
        <v>56</v>
      </c>
      <c r="P25" s="16">
        <f>PRODUCT(_xlfn.XLOOKUP(F25,Config!$A$2:$A$15,Config!$B$2:$B$15),_xlfn.XLOOKUP(G25,Config!$C$2:$C$7,Config!$D$2:$D$7),_xlfn.XLOOKUP(H25,Config!$E$2:$E$5,Config!$F$2:$F$5),_xlfn.XLOOKUP(I25,Config!$G$2:$G$3,Config!$H$2:$H$3),_xlfn.XLOOKUP(J25,Config!$I$2:$I$3,Config!$J$2:$J$3),_xlfn.XLOOKUP(K25,Config!$K$2:$K$3,Config!$L$2:$L$3),_xlfn.XLOOKUP(L25,Config!$M$2:$M$3,Config!$N$2:$N$3),_xlfn.XLOOKUP(M25,Config!$O$2:$O$6,Config!$P$2:$P$6))</f>
        <v>2.3271244920000005E-4</v>
      </c>
      <c r="Q25" s="22">
        <v>1</v>
      </c>
      <c r="R25" s="16">
        <f>P25*Q25*Config!$B$19</f>
        <v>1.7102419922224906E-4</v>
      </c>
    </row>
    <row r="26" spans="1:18" x14ac:dyDescent="0.45">
      <c r="A26" s="9">
        <v>25</v>
      </c>
      <c r="B26" s="9" t="s">
        <v>1013</v>
      </c>
      <c r="C26" s="3" t="s">
        <v>720</v>
      </c>
      <c r="D26" s="3" t="s">
        <v>775</v>
      </c>
      <c r="E26" t="s">
        <v>50</v>
      </c>
      <c r="F26" t="s">
        <v>993</v>
      </c>
      <c r="G26" t="s">
        <v>830</v>
      </c>
      <c r="H26" t="s">
        <v>808</v>
      </c>
      <c r="I26" s="12" t="s">
        <v>1107</v>
      </c>
      <c r="K26" s="12" t="s">
        <v>1062</v>
      </c>
      <c r="L26" s="12" t="s">
        <v>1110</v>
      </c>
      <c r="M26" t="s">
        <v>835</v>
      </c>
      <c r="N26" s="12" t="s">
        <v>1190</v>
      </c>
      <c r="O26" t="s">
        <v>246</v>
      </c>
      <c r="P26" s="16">
        <f>PRODUCT(_xlfn.XLOOKUP(F26,Config!$A$2:$A$15,Config!$B$2:$B$15),_xlfn.XLOOKUP(G26,Config!$C$2:$C$7,Config!$D$2:$D$7),_xlfn.XLOOKUP(H26,Config!$E$2:$E$5,Config!$F$2:$F$5),_xlfn.XLOOKUP(I26,Config!$G$2:$G$3,Config!$H$2:$H$3),_xlfn.XLOOKUP(J26,Config!$I$2:$I$3,Config!$J$2:$J$3),_xlfn.XLOOKUP(K26,Config!$K$2:$K$3,Config!$L$2:$L$3),_xlfn.XLOOKUP(L26,Config!$M$2:$M$3,Config!$N$2:$N$3),_xlfn.XLOOKUP(M26,Config!$O$2:$O$6,Config!$P$2:$P$6))</f>
        <v>8.7267168449999991E-5</v>
      </c>
      <c r="Q26" s="22">
        <v>1</v>
      </c>
      <c r="R26" s="16">
        <f>P26*Q26*Config!$B$19</f>
        <v>6.4134074708343373E-5</v>
      </c>
    </row>
    <row r="27" spans="1:18" x14ac:dyDescent="0.45">
      <c r="A27" s="3">
        <v>26</v>
      </c>
      <c r="B27" s="3" t="s">
        <v>1014</v>
      </c>
      <c r="C27" s="3" t="s">
        <v>726</v>
      </c>
      <c r="D27" s="3" t="s">
        <v>774</v>
      </c>
      <c r="E27" t="s">
        <v>33</v>
      </c>
      <c r="F27" t="s">
        <v>991</v>
      </c>
      <c r="G27" t="s">
        <v>830</v>
      </c>
      <c r="H27" t="s">
        <v>808</v>
      </c>
      <c r="I27" s="12" t="s">
        <v>1107</v>
      </c>
      <c r="K27" s="12" t="s">
        <v>1062</v>
      </c>
      <c r="L27" s="12" t="s">
        <v>1110</v>
      </c>
      <c r="M27" t="s">
        <v>835</v>
      </c>
      <c r="N27" s="12" t="s">
        <v>1190</v>
      </c>
      <c r="O27" t="s">
        <v>245</v>
      </c>
      <c r="P27" s="16">
        <f>PRODUCT(_xlfn.XLOOKUP(F27,Config!$A$2:$A$15,Config!$B$2:$B$15),_xlfn.XLOOKUP(G27,Config!$C$2:$C$7,Config!$D$2:$D$7),_xlfn.XLOOKUP(H27,Config!$E$2:$E$5,Config!$F$2:$F$5),_xlfn.XLOOKUP(I27,Config!$G$2:$G$3,Config!$H$2:$H$3),_xlfn.XLOOKUP(J27,Config!$I$2:$I$3,Config!$J$2:$J$3),_xlfn.XLOOKUP(K27,Config!$K$2:$K$3,Config!$L$2:$L$3),_xlfn.XLOOKUP(L27,Config!$M$2:$M$3,Config!$N$2:$N$3),_xlfn.XLOOKUP(M27,Config!$O$2:$O$6,Config!$P$2:$P$6))</f>
        <v>8.7267168449999991E-5</v>
      </c>
      <c r="Q27" s="22">
        <v>1</v>
      </c>
      <c r="R27" s="16">
        <f>P27*Q27*Config!$B$19</f>
        <v>6.4134074708343373E-5</v>
      </c>
    </row>
    <row r="28" spans="1:18" x14ac:dyDescent="0.45">
      <c r="A28" s="9">
        <v>27</v>
      </c>
      <c r="B28" s="9" t="s">
        <v>1148</v>
      </c>
      <c r="C28" s="3" t="s">
        <v>932</v>
      </c>
      <c r="D28" s="3" t="s">
        <v>933</v>
      </c>
      <c r="E28" t="s">
        <v>934</v>
      </c>
      <c r="F28" t="s">
        <v>994</v>
      </c>
      <c r="G28" t="s">
        <v>830</v>
      </c>
      <c r="H28" t="s">
        <v>808</v>
      </c>
      <c r="I28" s="12" t="s">
        <v>1107</v>
      </c>
      <c r="K28" s="12" t="s">
        <v>1062</v>
      </c>
      <c r="L28" s="12" t="s">
        <v>1110</v>
      </c>
      <c r="M28" t="s">
        <v>835</v>
      </c>
      <c r="N28" s="12" t="s">
        <v>1190</v>
      </c>
      <c r="O28" t="s">
        <v>935</v>
      </c>
      <c r="P28" s="16">
        <f>PRODUCT(_xlfn.XLOOKUP(F28,Config!$A$2:$A$15,Config!$B$2:$B$15),_xlfn.XLOOKUP(G28,Config!$C$2:$C$7,Config!$D$2:$D$7),_xlfn.XLOOKUP(H28,Config!$E$2:$E$5,Config!$F$2:$F$5),_xlfn.XLOOKUP(I28,Config!$G$2:$G$3,Config!$H$2:$H$3),_xlfn.XLOOKUP(J28,Config!$I$2:$I$3,Config!$J$2:$J$3),_xlfn.XLOOKUP(K28,Config!$K$2:$K$3,Config!$L$2:$L$3),_xlfn.XLOOKUP(L28,Config!$M$2:$M$3,Config!$N$2:$N$3),_xlfn.XLOOKUP(M28,Config!$O$2:$O$6,Config!$P$2:$P$6))</f>
        <v>8.7267168449999991E-5</v>
      </c>
      <c r="Q28" s="22">
        <v>1</v>
      </c>
      <c r="R28" s="16">
        <f>P28*Q28*Config!$B$19</f>
        <v>6.4134074708343373E-5</v>
      </c>
    </row>
    <row r="29" spans="1:18" x14ac:dyDescent="0.45">
      <c r="A29" s="3">
        <v>28</v>
      </c>
      <c r="B29" s="3" t="s">
        <v>1015</v>
      </c>
      <c r="C29" s="3" t="s">
        <v>714</v>
      </c>
      <c r="D29" s="3" t="s">
        <v>772</v>
      </c>
      <c r="E29" t="s">
        <v>33</v>
      </c>
      <c r="F29" t="s">
        <v>989</v>
      </c>
      <c r="G29" t="s">
        <v>830</v>
      </c>
      <c r="H29" t="s">
        <v>808</v>
      </c>
      <c r="I29" s="12" t="s">
        <v>1107</v>
      </c>
      <c r="K29" s="12" t="s">
        <v>1062</v>
      </c>
      <c r="L29" s="12" t="s">
        <v>1110</v>
      </c>
      <c r="M29" t="s">
        <v>835</v>
      </c>
      <c r="N29" s="12" t="s">
        <v>1190</v>
      </c>
      <c r="O29" t="s">
        <v>34</v>
      </c>
      <c r="P29" s="16">
        <f>PRODUCT(_xlfn.XLOOKUP(F29,Config!$A$2:$A$15,Config!$B$2:$B$15),_xlfn.XLOOKUP(G29,Config!$C$2:$C$7,Config!$D$2:$D$7),_xlfn.XLOOKUP(H29,Config!$E$2:$E$5,Config!$F$2:$F$5),_xlfn.XLOOKUP(I29,Config!$G$2:$G$3,Config!$H$2:$H$3),_xlfn.XLOOKUP(J29,Config!$I$2:$I$3,Config!$J$2:$J$3),_xlfn.XLOOKUP(K29,Config!$K$2:$K$3,Config!$L$2:$L$3),_xlfn.XLOOKUP(L29,Config!$M$2:$M$3,Config!$N$2:$N$3),_xlfn.XLOOKUP(M29,Config!$O$2:$O$6,Config!$P$2:$P$6))</f>
        <v>2.3271244920000005E-4</v>
      </c>
      <c r="Q29" s="22">
        <v>1</v>
      </c>
      <c r="R29" s="16">
        <f>P29*Q29*Config!$B$19</f>
        <v>1.7102419922224906E-4</v>
      </c>
    </row>
    <row r="30" spans="1:18" x14ac:dyDescent="0.45">
      <c r="A30" s="3">
        <v>29</v>
      </c>
      <c r="B30" s="3" t="s">
        <v>969</v>
      </c>
      <c r="C30" s="3" t="s">
        <v>842</v>
      </c>
      <c r="D30" s="13" t="s">
        <v>843</v>
      </c>
      <c r="F30" t="s">
        <v>990</v>
      </c>
      <c r="G30" t="s">
        <v>830</v>
      </c>
      <c r="H30" t="s">
        <v>808</v>
      </c>
      <c r="I30" s="12" t="s">
        <v>1107</v>
      </c>
      <c r="K30" s="12" t="s">
        <v>1062</v>
      </c>
      <c r="L30" s="12" t="s">
        <v>1110</v>
      </c>
      <c r="M30" t="s">
        <v>836</v>
      </c>
      <c r="N30" s="14" t="s">
        <v>998</v>
      </c>
      <c r="O30" t="s">
        <v>847</v>
      </c>
      <c r="P30" s="16">
        <f>PRODUCT(_xlfn.XLOOKUP(F30,Config!$A$2:$A$15,Config!$B$2:$B$15),_xlfn.XLOOKUP(G30,Config!$C$2:$C$7,Config!$D$2:$D$7),_xlfn.XLOOKUP(H30,Config!$E$2:$E$5,Config!$F$2:$F$5),_xlfn.XLOOKUP(I30,Config!$G$2:$G$3,Config!$H$2:$H$3),_xlfn.XLOOKUP(J30,Config!$I$2:$I$3,Config!$J$2:$J$3),_xlfn.XLOOKUP(K30,Config!$K$2:$K$3,Config!$L$2:$L$3),_xlfn.XLOOKUP(L30,Config!$M$2:$M$3,Config!$N$2:$N$3),_xlfn.XLOOKUP(M30,Config!$O$2:$O$6,Config!$P$2:$P$6))</f>
        <v>6.9813734760000015E-4</v>
      </c>
      <c r="Q30" s="22">
        <v>1</v>
      </c>
      <c r="R30" s="16">
        <f>P30*Q30*Config!$B$19</f>
        <v>5.130725976667472E-4</v>
      </c>
    </row>
    <row r="31" spans="1:18" x14ac:dyDescent="0.45">
      <c r="A31" s="3">
        <v>30</v>
      </c>
      <c r="B31" s="3" t="s">
        <v>494</v>
      </c>
      <c r="C31" s="3" t="s">
        <v>707</v>
      </c>
      <c r="D31" s="3" t="s">
        <v>567</v>
      </c>
      <c r="F31" t="s">
        <v>990</v>
      </c>
      <c r="G31" t="s">
        <v>830</v>
      </c>
      <c r="H31" t="s">
        <v>808</v>
      </c>
      <c r="I31" s="12" t="s">
        <v>1107</v>
      </c>
      <c r="K31" s="12" t="s">
        <v>1062</v>
      </c>
      <c r="L31" s="12" t="s">
        <v>1110</v>
      </c>
      <c r="M31" t="s">
        <v>836</v>
      </c>
      <c r="N31" s="12" t="s">
        <v>1190</v>
      </c>
      <c r="O31" t="s">
        <v>493</v>
      </c>
      <c r="P31" s="16">
        <f>PRODUCT(_xlfn.XLOOKUP(F31,Config!$A$2:$A$15,Config!$B$2:$B$15),_xlfn.XLOOKUP(G31,Config!$C$2:$C$7,Config!$D$2:$D$7),_xlfn.XLOOKUP(H31,Config!$E$2:$E$5,Config!$F$2:$F$5),_xlfn.XLOOKUP(I31,Config!$G$2:$G$3,Config!$H$2:$H$3),_xlfn.XLOOKUP(J31,Config!$I$2:$I$3,Config!$J$2:$J$3),_xlfn.XLOOKUP(K31,Config!$K$2:$K$3,Config!$L$2:$L$3),_xlfn.XLOOKUP(L31,Config!$M$2:$M$3,Config!$N$2:$N$3),_xlfn.XLOOKUP(M31,Config!$O$2:$O$6,Config!$P$2:$P$6))</f>
        <v>6.9813734760000015E-4</v>
      </c>
      <c r="Q31" s="22">
        <v>1</v>
      </c>
      <c r="R31" s="16">
        <f>P31*Q31*Config!$B$19</f>
        <v>5.130725976667472E-4</v>
      </c>
    </row>
    <row r="32" spans="1:18" x14ac:dyDescent="0.45">
      <c r="A32" s="3">
        <v>31</v>
      </c>
      <c r="B32" s="3" t="s">
        <v>92</v>
      </c>
      <c r="C32" s="3" t="s">
        <v>712</v>
      </c>
      <c r="D32" s="3" t="s">
        <v>286</v>
      </c>
      <c r="E32" t="s">
        <v>37</v>
      </c>
      <c r="F32" t="s">
        <v>988</v>
      </c>
      <c r="G32" t="s">
        <v>830</v>
      </c>
      <c r="H32" t="s">
        <v>808</v>
      </c>
      <c r="I32" s="12" t="s">
        <v>1107</v>
      </c>
      <c r="K32" s="12" t="s">
        <v>1062</v>
      </c>
      <c r="L32" s="12" t="s">
        <v>1110</v>
      </c>
      <c r="M32" t="s">
        <v>836</v>
      </c>
      <c r="N32" s="12" t="s">
        <v>1190</v>
      </c>
      <c r="O32" t="s">
        <v>38</v>
      </c>
      <c r="P32" s="16">
        <f>PRODUCT(_xlfn.XLOOKUP(F32,Config!$A$2:$A$15,Config!$B$2:$B$15),_xlfn.XLOOKUP(G32,Config!$C$2:$C$7,Config!$D$2:$D$7),_xlfn.XLOOKUP(H32,Config!$E$2:$E$5,Config!$F$2:$F$5),_xlfn.XLOOKUP(I32,Config!$G$2:$G$3,Config!$H$2:$H$3),_xlfn.XLOOKUP(J32,Config!$I$2:$I$3,Config!$J$2:$J$3),_xlfn.XLOOKUP(K32,Config!$K$2:$K$3,Config!$L$2:$L$3),_xlfn.XLOOKUP(L32,Config!$M$2:$M$3,Config!$N$2:$N$3),_xlfn.XLOOKUP(M32,Config!$O$2:$O$6,Config!$P$2:$P$6))</f>
        <v>6.9813734760000015E-4</v>
      </c>
      <c r="Q32" s="22">
        <v>1</v>
      </c>
      <c r="R32" s="16">
        <f>P32*Q32*Config!$B$19</f>
        <v>5.130725976667472E-4</v>
      </c>
    </row>
    <row r="33" spans="1:18" x14ac:dyDescent="0.45">
      <c r="A33" s="3">
        <v>32</v>
      </c>
      <c r="B33" s="3" t="s">
        <v>92</v>
      </c>
      <c r="C33" s="3" t="s">
        <v>712</v>
      </c>
      <c r="D33" s="3" t="s">
        <v>849</v>
      </c>
      <c r="E33" t="s">
        <v>848</v>
      </c>
      <c r="F33" t="s">
        <v>988</v>
      </c>
      <c r="G33" t="s">
        <v>830</v>
      </c>
      <c r="H33" t="s">
        <v>808</v>
      </c>
      <c r="I33" s="12" t="s">
        <v>1107</v>
      </c>
      <c r="K33" s="12" t="s">
        <v>1062</v>
      </c>
      <c r="L33" s="12" t="s">
        <v>1110</v>
      </c>
      <c r="M33" t="s">
        <v>836</v>
      </c>
      <c r="N33" s="12" t="s">
        <v>1190</v>
      </c>
      <c r="O33" t="s">
        <v>38</v>
      </c>
      <c r="P33" s="16">
        <f>PRODUCT(_xlfn.XLOOKUP(F33,Config!$A$2:$A$15,Config!$B$2:$B$15),_xlfn.XLOOKUP(G33,Config!$C$2:$C$7,Config!$D$2:$D$7),_xlfn.XLOOKUP(H33,Config!$E$2:$E$5,Config!$F$2:$F$5),_xlfn.XLOOKUP(I33,Config!$G$2:$G$3,Config!$H$2:$H$3),_xlfn.XLOOKUP(J33,Config!$I$2:$I$3,Config!$J$2:$J$3),_xlfn.XLOOKUP(K33,Config!$K$2:$K$3,Config!$L$2:$L$3),_xlfn.XLOOKUP(L33,Config!$M$2:$M$3,Config!$N$2:$N$3),_xlfn.XLOOKUP(M33,Config!$O$2:$O$6,Config!$P$2:$P$6))</f>
        <v>6.9813734760000015E-4</v>
      </c>
      <c r="Q33" s="22">
        <v>1</v>
      </c>
      <c r="R33" s="16">
        <f>P33*Q33*Config!$B$19</f>
        <v>5.130725976667472E-4</v>
      </c>
    </row>
    <row r="34" spans="1:18" x14ac:dyDescent="0.45">
      <c r="A34" s="3">
        <v>33</v>
      </c>
      <c r="B34" s="3" t="s">
        <v>212</v>
      </c>
      <c r="C34" s="3" t="s">
        <v>724</v>
      </c>
      <c r="D34" s="3" t="s">
        <v>280</v>
      </c>
      <c r="E34" t="s">
        <v>37</v>
      </c>
      <c r="F34" t="s">
        <v>993</v>
      </c>
      <c r="G34" t="s">
        <v>830</v>
      </c>
      <c r="H34" t="s">
        <v>808</v>
      </c>
      <c r="I34" s="12" t="s">
        <v>1107</v>
      </c>
      <c r="K34" s="12" t="s">
        <v>1062</v>
      </c>
      <c r="L34" s="12" t="s">
        <v>1110</v>
      </c>
      <c r="M34" t="s">
        <v>836</v>
      </c>
      <c r="N34" s="12" t="s">
        <v>1190</v>
      </c>
      <c r="O34" t="s">
        <v>213</v>
      </c>
      <c r="P34" s="16">
        <f>PRODUCT(_xlfn.XLOOKUP(F34,Config!$A$2:$A$15,Config!$B$2:$B$15),_xlfn.XLOOKUP(G34,Config!$C$2:$C$7,Config!$D$2:$D$7),_xlfn.XLOOKUP(H34,Config!$E$2:$E$5,Config!$F$2:$F$5),_xlfn.XLOOKUP(I34,Config!$G$2:$G$3,Config!$H$2:$H$3),_xlfn.XLOOKUP(J34,Config!$I$2:$I$3,Config!$J$2:$J$3),_xlfn.XLOOKUP(K34,Config!$K$2:$K$3,Config!$L$2:$L$3),_xlfn.XLOOKUP(L34,Config!$M$2:$M$3,Config!$N$2:$N$3),_xlfn.XLOOKUP(M34,Config!$O$2:$O$6,Config!$P$2:$P$6))</f>
        <v>2.6180150534999995E-4</v>
      </c>
      <c r="Q34" s="22">
        <v>1</v>
      </c>
      <c r="R34" s="16">
        <f>P34*Q34*Config!$B$19</f>
        <v>1.924022241250301E-4</v>
      </c>
    </row>
    <row r="35" spans="1:18" x14ac:dyDescent="0.45">
      <c r="A35" s="3">
        <v>34</v>
      </c>
      <c r="B35" s="3" t="s">
        <v>212</v>
      </c>
      <c r="C35" s="3" t="s">
        <v>845</v>
      </c>
      <c r="D35" s="3" t="s">
        <v>280</v>
      </c>
      <c r="E35" t="s">
        <v>37</v>
      </c>
      <c r="F35" t="s">
        <v>992</v>
      </c>
      <c r="G35" t="s">
        <v>830</v>
      </c>
      <c r="H35" t="s">
        <v>808</v>
      </c>
      <c r="I35" s="12" t="s">
        <v>1107</v>
      </c>
      <c r="K35" s="12" t="s">
        <v>1062</v>
      </c>
      <c r="L35" s="12" t="s">
        <v>1110</v>
      </c>
      <c r="M35" t="s">
        <v>836</v>
      </c>
      <c r="N35" s="12" t="s">
        <v>1190</v>
      </c>
      <c r="O35" t="s">
        <v>214</v>
      </c>
      <c r="P35" s="16">
        <f>PRODUCT(_xlfn.XLOOKUP(F35,Config!$A$2:$A$15,Config!$B$2:$B$15),_xlfn.XLOOKUP(G35,Config!$C$2:$C$7,Config!$D$2:$D$7),_xlfn.XLOOKUP(H35,Config!$E$2:$E$5,Config!$F$2:$F$5),_xlfn.XLOOKUP(I35,Config!$G$2:$G$3,Config!$H$2:$H$3),_xlfn.XLOOKUP(J35,Config!$I$2:$I$3,Config!$J$2:$J$3),_xlfn.XLOOKUP(K35,Config!$K$2:$K$3,Config!$L$2:$L$3),_xlfn.XLOOKUP(L35,Config!$M$2:$M$3,Config!$N$2:$N$3),_xlfn.XLOOKUP(M35,Config!$O$2:$O$6,Config!$P$2:$P$6))</f>
        <v>2.6180150534999995E-4</v>
      </c>
      <c r="Q35" s="22">
        <v>1</v>
      </c>
      <c r="R35" s="16">
        <f>P35*Q35*Config!$B$19</f>
        <v>1.924022241250301E-4</v>
      </c>
    </row>
    <row r="36" spans="1:18" x14ac:dyDescent="0.45">
      <c r="A36" s="3">
        <v>35</v>
      </c>
      <c r="B36" s="3" t="s">
        <v>215</v>
      </c>
      <c r="C36" s="3" t="s">
        <v>725</v>
      </c>
      <c r="D36" s="3" t="s">
        <v>970</v>
      </c>
      <c r="E36" t="s">
        <v>792</v>
      </c>
      <c r="F36" t="s">
        <v>991</v>
      </c>
      <c r="G36" t="s">
        <v>830</v>
      </c>
      <c r="H36" t="s">
        <v>808</v>
      </c>
      <c r="I36" s="12" t="s">
        <v>1107</v>
      </c>
      <c r="K36" s="12" t="s">
        <v>1062</v>
      </c>
      <c r="L36" s="12" t="s">
        <v>1110</v>
      </c>
      <c r="M36" t="s">
        <v>836</v>
      </c>
      <c r="N36" s="12" t="s">
        <v>1190</v>
      </c>
      <c r="O36" t="s">
        <v>216</v>
      </c>
      <c r="P36" s="16">
        <f>PRODUCT(_xlfn.XLOOKUP(F36,Config!$A$2:$A$15,Config!$B$2:$B$15),_xlfn.XLOOKUP(G36,Config!$C$2:$C$7,Config!$D$2:$D$7),_xlfn.XLOOKUP(H36,Config!$E$2:$E$5,Config!$F$2:$F$5),_xlfn.XLOOKUP(I36,Config!$G$2:$G$3,Config!$H$2:$H$3),_xlfn.XLOOKUP(J36,Config!$I$2:$I$3,Config!$J$2:$J$3),_xlfn.XLOOKUP(K36,Config!$K$2:$K$3,Config!$L$2:$L$3),_xlfn.XLOOKUP(L36,Config!$M$2:$M$3,Config!$N$2:$N$3),_xlfn.XLOOKUP(M36,Config!$O$2:$O$6,Config!$P$2:$P$6))</f>
        <v>2.6180150534999995E-4</v>
      </c>
      <c r="Q36" s="22">
        <v>1</v>
      </c>
      <c r="R36" s="16">
        <f>P36*Q36*Config!$B$19</f>
        <v>1.924022241250301E-4</v>
      </c>
    </row>
    <row r="37" spans="1:18" x14ac:dyDescent="0.45">
      <c r="A37" s="3">
        <v>36</v>
      </c>
      <c r="B37" s="3" t="s">
        <v>217</v>
      </c>
      <c r="C37" s="3" t="s">
        <v>725</v>
      </c>
      <c r="D37" s="3" t="s">
        <v>970</v>
      </c>
      <c r="E37" t="s">
        <v>793</v>
      </c>
      <c r="F37" t="s">
        <v>991</v>
      </c>
      <c r="G37" t="s">
        <v>830</v>
      </c>
      <c r="H37" t="s">
        <v>808</v>
      </c>
      <c r="I37" s="12" t="s">
        <v>1107</v>
      </c>
      <c r="K37" s="12" t="s">
        <v>1062</v>
      </c>
      <c r="L37" s="12" t="s">
        <v>1110</v>
      </c>
      <c r="M37" t="s">
        <v>836</v>
      </c>
      <c r="N37" s="12" t="s">
        <v>1190</v>
      </c>
      <c r="O37" t="s">
        <v>216</v>
      </c>
      <c r="P37" s="16">
        <f>PRODUCT(_xlfn.XLOOKUP(F37,Config!$A$2:$A$15,Config!$B$2:$B$15),_xlfn.XLOOKUP(G37,Config!$C$2:$C$7,Config!$D$2:$D$7),_xlfn.XLOOKUP(H37,Config!$E$2:$E$5,Config!$F$2:$F$5),_xlfn.XLOOKUP(I37,Config!$G$2:$G$3,Config!$H$2:$H$3),_xlfn.XLOOKUP(J37,Config!$I$2:$I$3,Config!$J$2:$J$3),_xlfn.XLOOKUP(K37,Config!$K$2:$K$3,Config!$L$2:$L$3),_xlfn.XLOOKUP(L37,Config!$M$2:$M$3,Config!$N$2:$N$3),_xlfn.XLOOKUP(M37,Config!$O$2:$O$6,Config!$P$2:$P$6))</f>
        <v>2.6180150534999995E-4</v>
      </c>
      <c r="Q37" s="22">
        <v>1</v>
      </c>
      <c r="R37" s="16">
        <f>P37*Q37*Config!$B$19</f>
        <v>1.924022241250301E-4</v>
      </c>
    </row>
    <row r="38" spans="1:18" x14ac:dyDescent="0.45">
      <c r="A38" s="3">
        <v>37</v>
      </c>
      <c r="B38" s="3" t="s">
        <v>93</v>
      </c>
      <c r="C38" s="3" t="s">
        <v>705</v>
      </c>
      <c r="D38" s="3" t="s">
        <v>287</v>
      </c>
      <c r="E38" t="s">
        <v>8</v>
      </c>
      <c r="F38" t="s">
        <v>989</v>
      </c>
      <c r="G38" t="s">
        <v>830</v>
      </c>
      <c r="H38" t="s">
        <v>808</v>
      </c>
      <c r="I38" s="12" t="s">
        <v>1107</v>
      </c>
      <c r="K38" s="12" t="s">
        <v>1062</v>
      </c>
      <c r="L38" s="12" t="s">
        <v>1110</v>
      </c>
      <c r="M38" t="s">
        <v>836</v>
      </c>
      <c r="N38" s="12" t="s">
        <v>1190</v>
      </c>
      <c r="O38" t="s">
        <v>9</v>
      </c>
      <c r="P38" s="16">
        <f>PRODUCT(_xlfn.XLOOKUP(F38,Config!$A$2:$A$15,Config!$B$2:$B$15),_xlfn.XLOOKUP(G38,Config!$C$2:$C$7,Config!$D$2:$D$7),_xlfn.XLOOKUP(H38,Config!$E$2:$E$5,Config!$F$2:$F$5),_xlfn.XLOOKUP(I38,Config!$G$2:$G$3,Config!$H$2:$H$3),_xlfn.XLOOKUP(J38,Config!$I$2:$I$3,Config!$J$2:$J$3),_xlfn.XLOOKUP(K38,Config!$K$2:$K$3,Config!$L$2:$L$3),_xlfn.XLOOKUP(L38,Config!$M$2:$M$3,Config!$N$2:$N$3),_xlfn.XLOOKUP(M38,Config!$O$2:$O$6,Config!$P$2:$P$6))</f>
        <v>6.9813734760000015E-4</v>
      </c>
      <c r="Q38" s="22">
        <v>1</v>
      </c>
      <c r="R38" s="16">
        <f>P38*Q38*Config!$B$19</f>
        <v>5.130725976667472E-4</v>
      </c>
    </row>
    <row r="39" spans="1:18" x14ac:dyDescent="0.45">
      <c r="A39" s="3">
        <v>38</v>
      </c>
      <c r="B39" s="3" t="s">
        <v>93</v>
      </c>
      <c r="C39" s="3" t="s">
        <v>705</v>
      </c>
      <c r="D39" s="3" t="s">
        <v>851</v>
      </c>
      <c r="E39" t="s">
        <v>850</v>
      </c>
      <c r="F39" t="s">
        <v>989</v>
      </c>
      <c r="G39" t="s">
        <v>830</v>
      </c>
      <c r="H39" t="s">
        <v>808</v>
      </c>
      <c r="I39" s="12" t="s">
        <v>1107</v>
      </c>
      <c r="K39" s="12" t="s">
        <v>1062</v>
      </c>
      <c r="L39" s="12" t="s">
        <v>1110</v>
      </c>
      <c r="M39" t="s">
        <v>836</v>
      </c>
      <c r="N39" s="12" t="s">
        <v>1190</v>
      </c>
      <c r="O39" t="s">
        <v>9</v>
      </c>
      <c r="P39" s="16">
        <f>PRODUCT(_xlfn.XLOOKUP(F39,Config!$A$2:$A$15,Config!$B$2:$B$15),_xlfn.XLOOKUP(G39,Config!$C$2:$C$7,Config!$D$2:$D$7),_xlfn.XLOOKUP(H39,Config!$E$2:$E$5,Config!$F$2:$F$5),_xlfn.XLOOKUP(I39,Config!$G$2:$G$3,Config!$H$2:$H$3),_xlfn.XLOOKUP(J39,Config!$I$2:$I$3,Config!$J$2:$J$3),_xlfn.XLOOKUP(K39,Config!$K$2:$K$3,Config!$L$2:$L$3),_xlfn.XLOOKUP(L39,Config!$M$2:$M$3,Config!$N$2:$N$3),_xlfn.XLOOKUP(M39,Config!$O$2:$O$6,Config!$P$2:$P$6))</f>
        <v>6.9813734760000015E-4</v>
      </c>
      <c r="Q39" s="22">
        <v>1</v>
      </c>
      <c r="R39" s="16">
        <f>P39*Q39*Config!$B$19</f>
        <v>5.130725976667472E-4</v>
      </c>
    </row>
    <row r="40" spans="1:18" x14ac:dyDescent="0.45">
      <c r="A40" s="3">
        <v>39</v>
      </c>
      <c r="B40" s="3" t="s">
        <v>490</v>
      </c>
      <c r="C40" s="3" t="s">
        <v>713</v>
      </c>
      <c r="D40" s="3" t="s">
        <v>823</v>
      </c>
      <c r="F40" t="s">
        <v>990</v>
      </c>
      <c r="G40" t="s">
        <v>830</v>
      </c>
      <c r="H40" t="s">
        <v>808</v>
      </c>
      <c r="I40" s="12" t="s">
        <v>1107</v>
      </c>
      <c r="K40" s="12" t="s">
        <v>1062</v>
      </c>
      <c r="L40" t="s">
        <v>1111</v>
      </c>
      <c r="M40" s="12" t="s">
        <v>838</v>
      </c>
      <c r="N40" s="12" t="s">
        <v>1190</v>
      </c>
      <c r="O40" t="s">
        <v>492</v>
      </c>
      <c r="P40" s="16">
        <f>PRODUCT(_xlfn.XLOOKUP(F40,Config!$A$2:$A$15,Config!$B$2:$B$15),_xlfn.XLOOKUP(G40,Config!$C$2:$C$7,Config!$D$2:$D$7),_xlfn.XLOOKUP(H40,Config!$E$2:$E$5,Config!$F$2:$F$5),_xlfn.XLOOKUP(I40,Config!$G$2:$G$3,Config!$H$2:$H$3),_xlfn.XLOOKUP(J40,Config!$I$2:$I$3,Config!$J$2:$J$3),_xlfn.XLOOKUP(K40,Config!$K$2:$K$3,Config!$L$2:$L$3),_xlfn.XLOOKUP(L40,Config!$M$2:$M$3,Config!$N$2:$N$3),_xlfn.XLOOKUP(M40,Config!$O$2:$O$6,Config!$P$2:$P$6))</f>
        <v>4.9280283360000009E-4</v>
      </c>
      <c r="Q40" s="22">
        <v>1</v>
      </c>
      <c r="R40" s="16">
        <f>P40*Q40*Config!$B$19</f>
        <v>3.6216889247064508E-4</v>
      </c>
    </row>
    <row r="41" spans="1:18" x14ac:dyDescent="0.45">
      <c r="A41" s="3">
        <v>40</v>
      </c>
      <c r="B41" s="3" t="s">
        <v>90</v>
      </c>
      <c r="C41" s="3" t="s">
        <v>710</v>
      </c>
      <c r="D41" s="3" t="s">
        <v>819</v>
      </c>
      <c r="E41" t="s">
        <v>6</v>
      </c>
      <c r="F41" t="s">
        <v>988</v>
      </c>
      <c r="G41" t="s">
        <v>830</v>
      </c>
      <c r="H41" t="s">
        <v>808</v>
      </c>
      <c r="I41" s="12" t="s">
        <v>1107</v>
      </c>
      <c r="K41" s="12" t="s">
        <v>1062</v>
      </c>
      <c r="L41" t="s">
        <v>1111</v>
      </c>
      <c r="M41" s="12" t="s">
        <v>838</v>
      </c>
      <c r="N41" s="12" t="s">
        <v>1190</v>
      </c>
      <c r="O41" t="s">
        <v>36</v>
      </c>
      <c r="P41" s="16">
        <f>PRODUCT(_xlfn.XLOOKUP(F41,Config!$A$2:$A$15,Config!$B$2:$B$15),_xlfn.XLOOKUP(G41,Config!$C$2:$C$7,Config!$D$2:$D$7),_xlfn.XLOOKUP(H41,Config!$E$2:$E$5,Config!$F$2:$F$5),_xlfn.XLOOKUP(I41,Config!$G$2:$G$3,Config!$H$2:$H$3),_xlfn.XLOOKUP(J41,Config!$I$2:$I$3,Config!$J$2:$J$3),_xlfn.XLOOKUP(K41,Config!$K$2:$K$3,Config!$L$2:$L$3),_xlfn.XLOOKUP(L41,Config!$M$2:$M$3,Config!$N$2:$N$3),_xlfn.XLOOKUP(M41,Config!$O$2:$O$6,Config!$P$2:$P$6))</f>
        <v>4.9280283360000009E-4</v>
      </c>
      <c r="Q41" s="22">
        <v>1</v>
      </c>
      <c r="R41" s="16">
        <f>P41*Q41*Config!$B$19</f>
        <v>3.6216889247064508E-4</v>
      </c>
    </row>
    <row r="42" spans="1:18" x14ac:dyDescent="0.45">
      <c r="A42" s="3">
        <v>41</v>
      </c>
      <c r="B42" s="3" t="s">
        <v>206</v>
      </c>
      <c r="C42" s="3" t="s">
        <v>722</v>
      </c>
      <c r="D42" s="3" t="s">
        <v>821</v>
      </c>
      <c r="E42" t="s">
        <v>6</v>
      </c>
      <c r="F42" t="s">
        <v>993</v>
      </c>
      <c r="G42" t="s">
        <v>830</v>
      </c>
      <c r="H42" t="s">
        <v>808</v>
      </c>
      <c r="I42" s="12" t="s">
        <v>1107</v>
      </c>
      <c r="K42" s="12" t="s">
        <v>1062</v>
      </c>
      <c r="L42" t="s">
        <v>1111</v>
      </c>
      <c r="M42" s="12" t="s">
        <v>838</v>
      </c>
      <c r="N42" s="12" t="s">
        <v>1190</v>
      </c>
      <c r="O42" t="s">
        <v>207</v>
      </c>
      <c r="P42" s="16">
        <f>PRODUCT(_xlfn.XLOOKUP(F42,Config!$A$2:$A$15,Config!$B$2:$B$15),_xlfn.XLOOKUP(G42,Config!$C$2:$C$7,Config!$D$2:$D$7),_xlfn.XLOOKUP(H42,Config!$E$2:$E$5,Config!$F$2:$F$5),_xlfn.XLOOKUP(I42,Config!$G$2:$G$3,Config!$H$2:$H$3),_xlfn.XLOOKUP(J42,Config!$I$2:$I$3,Config!$J$2:$J$3),_xlfn.XLOOKUP(K42,Config!$K$2:$K$3,Config!$L$2:$L$3),_xlfn.XLOOKUP(L42,Config!$M$2:$M$3,Config!$N$2:$N$3),_xlfn.XLOOKUP(M42,Config!$O$2:$O$6,Config!$P$2:$P$6))</f>
        <v>1.8480106259999995E-4</v>
      </c>
      <c r="Q42" s="22">
        <v>1</v>
      </c>
      <c r="R42" s="16">
        <f>P42*Q42*Config!$B$19</f>
        <v>1.3581333467649182E-4</v>
      </c>
    </row>
    <row r="43" spans="1:18" x14ac:dyDescent="0.45">
      <c r="A43" s="3">
        <v>42</v>
      </c>
      <c r="B43" s="3" t="s">
        <v>206</v>
      </c>
      <c r="C43" s="3" t="s">
        <v>846</v>
      </c>
      <c r="D43" s="3" t="s">
        <v>821</v>
      </c>
      <c r="E43" t="s">
        <v>6</v>
      </c>
      <c r="F43" t="s">
        <v>992</v>
      </c>
      <c r="G43" t="s">
        <v>830</v>
      </c>
      <c r="H43" t="s">
        <v>808</v>
      </c>
      <c r="I43" s="12" t="s">
        <v>1107</v>
      </c>
      <c r="K43" s="12" t="s">
        <v>1062</v>
      </c>
      <c r="L43" t="s">
        <v>1111</v>
      </c>
      <c r="M43" s="12" t="s">
        <v>838</v>
      </c>
      <c r="N43" s="12" t="s">
        <v>1190</v>
      </c>
      <c r="O43" t="s">
        <v>208</v>
      </c>
      <c r="P43" s="16">
        <f>PRODUCT(_xlfn.XLOOKUP(F43,Config!$A$2:$A$15,Config!$B$2:$B$15),_xlfn.XLOOKUP(G43,Config!$C$2:$C$7,Config!$D$2:$D$7),_xlfn.XLOOKUP(H43,Config!$E$2:$E$5,Config!$F$2:$F$5),_xlfn.XLOOKUP(I43,Config!$G$2:$G$3,Config!$H$2:$H$3),_xlfn.XLOOKUP(J43,Config!$I$2:$I$3,Config!$J$2:$J$3),_xlfn.XLOOKUP(K43,Config!$K$2:$K$3,Config!$L$2:$L$3),_xlfn.XLOOKUP(L43,Config!$M$2:$M$3,Config!$N$2:$N$3),_xlfn.XLOOKUP(M43,Config!$O$2:$O$6,Config!$P$2:$P$6))</f>
        <v>1.8480106259999995E-4</v>
      </c>
      <c r="Q43" s="22">
        <v>1</v>
      </c>
      <c r="R43" s="16">
        <f>P43*Q43*Config!$B$19</f>
        <v>1.3581333467649182E-4</v>
      </c>
    </row>
    <row r="44" spans="1:18" x14ac:dyDescent="0.45">
      <c r="A44" s="3">
        <v>43</v>
      </c>
      <c r="B44" s="3" t="s">
        <v>209</v>
      </c>
      <c r="C44" s="3" t="s">
        <v>723</v>
      </c>
      <c r="D44" s="3" t="s">
        <v>822</v>
      </c>
      <c r="E44" t="s">
        <v>790</v>
      </c>
      <c r="F44" t="s">
        <v>991</v>
      </c>
      <c r="G44" t="s">
        <v>830</v>
      </c>
      <c r="H44" t="s">
        <v>808</v>
      </c>
      <c r="I44" s="12" t="s">
        <v>1107</v>
      </c>
      <c r="K44" s="12" t="s">
        <v>1062</v>
      </c>
      <c r="L44" t="s">
        <v>1111</v>
      </c>
      <c r="M44" s="12" t="s">
        <v>838</v>
      </c>
      <c r="N44" s="12" t="s">
        <v>1190</v>
      </c>
      <c r="O44" t="s">
        <v>210</v>
      </c>
      <c r="P44" s="16">
        <f>PRODUCT(_xlfn.XLOOKUP(F44,Config!$A$2:$A$15,Config!$B$2:$B$15),_xlfn.XLOOKUP(G44,Config!$C$2:$C$7,Config!$D$2:$D$7),_xlfn.XLOOKUP(H44,Config!$E$2:$E$5,Config!$F$2:$F$5),_xlfn.XLOOKUP(I44,Config!$G$2:$G$3,Config!$H$2:$H$3),_xlfn.XLOOKUP(J44,Config!$I$2:$I$3,Config!$J$2:$J$3),_xlfn.XLOOKUP(K44,Config!$K$2:$K$3,Config!$L$2:$L$3),_xlfn.XLOOKUP(L44,Config!$M$2:$M$3,Config!$N$2:$N$3),_xlfn.XLOOKUP(M44,Config!$O$2:$O$6,Config!$P$2:$P$6))</f>
        <v>1.8480106259999995E-4</v>
      </c>
      <c r="Q44" s="22">
        <v>1</v>
      </c>
      <c r="R44" s="16">
        <f>P44*Q44*Config!$B$19</f>
        <v>1.3581333467649182E-4</v>
      </c>
    </row>
    <row r="45" spans="1:18" x14ac:dyDescent="0.45">
      <c r="A45" s="3">
        <v>44</v>
      </c>
      <c r="B45" s="3" t="s">
        <v>211</v>
      </c>
      <c r="C45" s="3" t="s">
        <v>723</v>
      </c>
      <c r="D45" s="3" t="s">
        <v>822</v>
      </c>
      <c r="E45" t="s">
        <v>791</v>
      </c>
      <c r="F45" t="s">
        <v>991</v>
      </c>
      <c r="G45" t="s">
        <v>830</v>
      </c>
      <c r="H45" t="s">
        <v>808</v>
      </c>
      <c r="I45" s="12" t="s">
        <v>1107</v>
      </c>
      <c r="K45" s="12" t="s">
        <v>1062</v>
      </c>
      <c r="L45" t="s">
        <v>1111</v>
      </c>
      <c r="M45" s="12" t="s">
        <v>838</v>
      </c>
      <c r="N45" s="12" t="s">
        <v>1190</v>
      </c>
      <c r="O45" t="s">
        <v>210</v>
      </c>
      <c r="P45" s="16">
        <f>PRODUCT(_xlfn.XLOOKUP(F45,Config!$A$2:$A$15,Config!$B$2:$B$15),_xlfn.XLOOKUP(G45,Config!$C$2:$C$7,Config!$D$2:$D$7),_xlfn.XLOOKUP(H45,Config!$E$2:$E$5,Config!$F$2:$F$5),_xlfn.XLOOKUP(I45,Config!$G$2:$G$3,Config!$H$2:$H$3),_xlfn.XLOOKUP(J45,Config!$I$2:$I$3,Config!$J$2:$J$3),_xlfn.XLOOKUP(K45,Config!$K$2:$K$3,Config!$L$2:$L$3),_xlfn.XLOOKUP(L45,Config!$M$2:$M$3,Config!$N$2:$N$3),_xlfn.XLOOKUP(M45,Config!$O$2:$O$6,Config!$P$2:$P$6))</f>
        <v>1.8480106259999995E-4</v>
      </c>
      <c r="Q45" s="22">
        <v>1</v>
      </c>
      <c r="R45" s="16">
        <f>P45*Q45*Config!$B$19</f>
        <v>1.3581333467649182E-4</v>
      </c>
    </row>
    <row r="46" spans="1:18" x14ac:dyDescent="0.45">
      <c r="A46" s="3">
        <v>45</v>
      </c>
      <c r="B46" s="3" t="s">
        <v>91</v>
      </c>
      <c r="C46" s="3" t="s">
        <v>711</v>
      </c>
      <c r="D46" s="3" t="s">
        <v>820</v>
      </c>
      <c r="E46" t="s">
        <v>78</v>
      </c>
      <c r="F46" t="s">
        <v>989</v>
      </c>
      <c r="G46" t="s">
        <v>830</v>
      </c>
      <c r="H46" t="s">
        <v>808</v>
      </c>
      <c r="I46" s="12" t="s">
        <v>1107</v>
      </c>
      <c r="K46" s="12" t="s">
        <v>1062</v>
      </c>
      <c r="L46" t="s">
        <v>1111</v>
      </c>
      <c r="M46" s="12" t="s">
        <v>838</v>
      </c>
      <c r="N46" s="12" t="s">
        <v>1190</v>
      </c>
      <c r="O46" t="s">
        <v>7</v>
      </c>
      <c r="P46" s="16">
        <f>PRODUCT(_xlfn.XLOOKUP(F46,Config!$A$2:$A$15,Config!$B$2:$B$15),_xlfn.XLOOKUP(G46,Config!$C$2:$C$7,Config!$D$2:$D$7),_xlfn.XLOOKUP(H46,Config!$E$2:$E$5,Config!$F$2:$F$5),_xlfn.XLOOKUP(I46,Config!$G$2:$G$3,Config!$H$2:$H$3),_xlfn.XLOOKUP(J46,Config!$I$2:$I$3,Config!$J$2:$J$3),_xlfn.XLOOKUP(K46,Config!$K$2:$K$3,Config!$L$2:$L$3),_xlfn.XLOOKUP(L46,Config!$M$2:$M$3,Config!$N$2:$N$3),_xlfn.XLOOKUP(M46,Config!$O$2:$O$6,Config!$P$2:$P$6))</f>
        <v>4.9280283360000009E-4</v>
      </c>
      <c r="Q46" s="22">
        <v>1</v>
      </c>
      <c r="R46" s="16">
        <f>P46*Q46*Config!$B$19</f>
        <v>3.6216889247064508E-4</v>
      </c>
    </row>
    <row r="47" spans="1:18" x14ac:dyDescent="0.45">
      <c r="A47" s="9">
        <v>46</v>
      </c>
      <c r="B47" s="9" t="s">
        <v>589</v>
      </c>
      <c r="C47" s="9" t="s">
        <v>587</v>
      </c>
      <c r="D47" s="9" t="s">
        <v>694</v>
      </c>
      <c r="F47" t="s">
        <v>971</v>
      </c>
      <c r="G47" t="s">
        <v>831</v>
      </c>
      <c r="H47" t="s">
        <v>808</v>
      </c>
      <c r="I47" s="12" t="s">
        <v>1107</v>
      </c>
      <c r="J47" t="s">
        <v>784</v>
      </c>
      <c r="K47" s="12" t="s">
        <v>1062</v>
      </c>
      <c r="L47" s="12" t="s">
        <v>1110</v>
      </c>
      <c r="M47" s="12" t="s">
        <v>972</v>
      </c>
      <c r="N47" s="12" t="s">
        <v>1190</v>
      </c>
      <c r="O47" t="s">
        <v>974</v>
      </c>
      <c r="P47" s="16">
        <f>PRODUCT(_xlfn.XLOOKUP(F47,Config!$A$2:$A$15,Config!$B$2:$B$15),_xlfn.XLOOKUP(G47,Config!$C$2:$C$7,Config!$D$2:$D$7),_xlfn.XLOOKUP(H47,Config!$E$2:$E$5,Config!$F$2:$F$5),_xlfn.XLOOKUP(I47,Config!$G$2:$G$3,Config!$H$2:$H$3),_xlfn.XLOOKUP(J47,Config!$I$2:$I$3,Config!$J$2:$J$3),_xlfn.XLOOKUP(K47,Config!$K$2:$K$3,Config!$L$2:$L$3),_xlfn.XLOOKUP(L47,Config!$M$2:$M$3,Config!$N$2:$N$3),_xlfn.XLOOKUP(M47,Config!$O$2:$O$6,Config!$P$2:$P$6))</f>
        <v>1.2654561149999996E-4</v>
      </c>
      <c r="Q47" s="22">
        <v>1</v>
      </c>
      <c r="R47" s="16">
        <f>P47*Q47*Config!$B$19</f>
        <v>9.30004473171834E-5</v>
      </c>
    </row>
    <row r="48" spans="1:18" x14ac:dyDescent="0.45">
      <c r="A48" s="9">
        <v>47</v>
      </c>
      <c r="B48" s="9" t="s">
        <v>586</v>
      </c>
      <c r="C48" s="9" t="s">
        <v>587</v>
      </c>
      <c r="D48" s="9" t="s">
        <v>584</v>
      </c>
      <c r="F48" t="s">
        <v>985</v>
      </c>
      <c r="G48" t="s">
        <v>831</v>
      </c>
      <c r="H48" t="s">
        <v>808</v>
      </c>
      <c r="I48" s="12" t="s">
        <v>1107</v>
      </c>
      <c r="J48" t="s">
        <v>784</v>
      </c>
      <c r="K48" s="12" t="s">
        <v>1062</v>
      </c>
      <c r="L48" s="12" t="s">
        <v>1110</v>
      </c>
      <c r="M48" s="12" t="s">
        <v>972</v>
      </c>
      <c r="N48" s="12" t="s">
        <v>1190</v>
      </c>
      <c r="O48" t="s">
        <v>610</v>
      </c>
      <c r="P48" s="16">
        <f>PRODUCT(_xlfn.XLOOKUP(F48,Config!$A$2:$A$15,Config!$B$2:$B$15),_xlfn.XLOOKUP(G48,Config!$C$2:$C$7,Config!$D$2:$D$7),_xlfn.XLOOKUP(H48,Config!$E$2:$E$5,Config!$F$2:$F$5),_xlfn.XLOOKUP(I48,Config!$G$2:$G$3,Config!$H$2:$H$3),_xlfn.XLOOKUP(J48,Config!$I$2:$I$3,Config!$J$2:$J$3),_xlfn.XLOOKUP(K48,Config!$K$2:$K$3,Config!$L$2:$L$3),_xlfn.XLOOKUP(L48,Config!$M$2:$M$3,Config!$N$2:$N$3),_xlfn.XLOOKUP(M48,Config!$O$2:$O$6,Config!$P$2:$P$6))</f>
        <v>1.9429225200000004E-4</v>
      </c>
      <c r="Q48" s="22">
        <v>1</v>
      </c>
      <c r="R48" s="16">
        <f>P48*Q48*Config!$B$19</f>
        <v>1.4278856557789783E-4</v>
      </c>
    </row>
    <row r="49" spans="1:19" x14ac:dyDescent="0.45">
      <c r="A49" s="9">
        <v>48</v>
      </c>
      <c r="B49" s="9" t="s">
        <v>589</v>
      </c>
      <c r="C49" s="9" t="s">
        <v>587</v>
      </c>
      <c r="D49" s="9" t="s">
        <v>694</v>
      </c>
      <c r="F49" t="s">
        <v>986</v>
      </c>
      <c r="G49" t="s">
        <v>831</v>
      </c>
      <c r="H49" t="s">
        <v>808</v>
      </c>
      <c r="I49" s="12" t="s">
        <v>1107</v>
      </c>
      <c r="J49" t="s">
        <v>784</v>
      </c>
      <c r="K49" s="12" t="s">
        <v>1062</v>
      </c>
      <c r="L49" s="12" t="s">
        <v>1110</v>
      </c>
      <c r="M49" s="12" t="s">
        <v>972</v>
      </c>
      <c r="N49" s="12" t="s">
        <v>1190</v>
      </c>
      <c r="O49" t="s">
        <v>813</v>
      </c>
      <c r="P49" s="16">
        <f>PRODUCT(_xlfn.XLOOKUP(F49,Config!$A$2:$A$15,Config!$B$2:$B$15),_xlfn.XLOOKUP(G49,Config!$C$2:$C$7,Config!$D$2:$D$7),_xlfn.XLOOKUP(H49,Config!$E$2:$E$5,Config!$F$2:$F$5),_xlfn.XLOOKUP(I49,Config!$G$2:$G$3,Config!$H$2:$H$3),_xlfn.XLOOKUP(J49,Config!$I$2:$I$3,Config!$J$2:$J$3),_xlfn.XLOOKUP(K49,Config!$K$2:$K$3,Config!$L$2:$L$3),_xlfn.XLOOKUP(L49,Config!$M$2:$M$3,Config!$N$2:$N$3),_xlfn.XLOOKUP(M49,Config!$O$2:$O$6,Config!$P$2:$P$6))</f>
        <v>1.0928939175000001E-4</v>
      </c>
      <c r="Q49" s="22">
        <v>1</v>
      </c>
      <c r="R49" s="16">
        <f>P49*Q49*Config!$B$19</f>
        <v>8.0318568137567522E-5</v>
      </c>
    </row>
    <row r="50" spans="1:19" x14ac:dyDescent="0.45">
      <c r="A50" s="3">
        <v>49</v>
      </c>
      <c r="B50" s="3" t="s">
        <v>588</v>
      </c>
      <c r="C50" s="3" t="s">
        <v>1100</v>
      </c>
      <c r="D50" s="3" t="s">
        <v>585</v>
      </c>
      <c r="F50" t="s">
        <v>985</v>
      </c>
      <c r="G50" t="s">
        <v>831</v>
      </c>
      <c r="H50" t="s">
        <v>808</v>
      </c>
      <c r="I50" s="12" t="s">
        <v>1107</v>
      </c>
      <c r="J50" t="s">
        <v>784</v>
      </c>
      <c r="K50" s="12" t="s">
        <v>1062</v>
      </c>
      <c r="L50" t="s">
        <v>1111</v>
      </c>
      <c r="M50" s="12" t="s">
        <v>972</v>
      </c>
      <c r="N50" s="12" t="s">
        <v>1190</v>
      </c>
      <c r="O50" t="s">
        <v>809</v>
      </c>
      <c r="P50" s="16">
        <f>PRODUCT(_xlfn.XLOOKUP(F50,Config!$A$2:$A$15,Config!$B$2:$B$15),_xlfn.XLOOKUP(G50,Config!$C$2:$C$7,Config!$D$2:$D$7),_xlfn.XLOOKUP(H50,Config!$E$2:$E$5,Config!$F$2:$F$5),_xlfn.XLOOKUP(I50,Config!$G$2:$G$3,Config!$H$2:$H$3),_xlfn.XLOOKUP(J50,Config!$I$2:$I$3,Config!$J$2:$J$3),_xlfn.XLOOKUP(K50,Config!$K$2:$K$3,Config!$L$2:$L$3),_xlfn.XLOOKUP(L50,Config!$M$2:$M$3,Config!$N$2:$N$3),_xlfn.XLOOKUP(M50,Config!$O$2:$O$6,Config!$P$2:$P$6))</f>
        <v>3.4286868000000005E-5</v>
      </c>
      <c r="Q50" s="22">
        <v>1</v>
      </c>
      <c r="R50" s="16">
        <f>P50*Q50*Config!$B$19</f>
        <v>2.5197982160805497E-5</v>
      </c>
    </row>
    <row r="51" spans="1:19" x14ac:dyDescent="0.45">
      <c r="A51" s="3">
        <v>50</v>
      </c>
      <c r="B51" s="3" t="s">
        <v>590</v>
      </c>
      <c r="C51" s="3" t="s">
        <v>1100</v>
      </c>
      <c r="D51" s="3" t="s">
        <v>695</v>
      </c>
      <c r="F51" t="s">
        <v>986</v>
      </c>
      <c r="G51" t="s">
        <v>831</v>
      </c>
      <c r="H51" t="s">
        <v>808</v>
      </c>
      <c r="I51" s="12" t="s">
        <v>1107</v>
      </c>
      <c r="J51" t="s">
        <v>784</v>
      </c>
      <c r="K51" s="12" t="s">
        <v>1062</v>
      </c>
      <c r="L51" t="s">
        <v>1111</v>
      </c>
      <c r="M51" s="12" t="s">
        <v>972</v>
      </c>
      <c r="N51" s="12" t="s">
        <v>1190</v>
      </c>
      <c r="O51" t="s">
        <v>771</v>
      </c>
      <c r="P51" s="16">
        <f>PRODUCT(_xlfn.XLOOKUP(F51,Config!$A$2:$A$15,Config!$B$2:$B$15),_xlfn.XLOOKUP(G51,Config!$C$2:$C$7,Config!$D$2:$D$7),_xlfn.XLOOKUP(H51,Config!$E$2:$E$5,Config!$F$2:$F$5),_xlfn.XLOOKUP(I51,Config!$G$2:$G$3,Config!$H$2:$H$3),_xlfn.XLOOKUP(J51,Config!$I$2:$I$3,Config!$J$2:$J$3),_xlfn.XLOOKUP(K51,Config!$K$2:$K$3,Config!$L$2:$L$3),_xlfn.XLOOKUP(L51,Config!$M$2:$M$3,Config!$N$2:$N$3),_xlfn.XLOOKUP(M51,Config!$O$2:$O$6,Config!$P$2:$P$6))</f>
        <v>1.928636325E-5</v>
      </c>
      <c r="Q51" s="22">
        <v>1</v>
      </c>
      <c r="R51" s="16">
        <f>P51*Q51*Config!$B$19</f>
        <v>1.4173864965453091E-5</v>
      </c>
    </row>
    <row r="52" spans="1:19" x14ac:dyDescent="0.45">
      <c r="A52" s="3">
        <v>51</v>
      </c>
      <c r="B52" s="3" t="s">
        <v>1018</v>
      </c>
      <c r="C52" s="3" t="s">
        <v>699</v>
      </c>
      <c r="D52" s="3" t="s">
        <v>670</v>
      </c>
      <c r="E52" t="s">
        <v>523</v>
      </c>
      <c r="F52" t="s">
        <v>984</v>
      </c>
      <c r="G52" t="s">
        <v>831</v>
      </c>
      <c r="H52" t="s">
        <v>808</v>
      </c>
      <c r="I52" t="s">
        <v>806</v>
      </c>
      <c r="K52" s="12" t="s">
        <v>1062</v>
      </c>
      <c r="L52" s="12" t="s">
        <v>1110</v>
      </c>
      <c r="M52" s="12" t="s">
        <v>838</v>
      </c>
      <c r="N52" s="12" t="s">
        <v>1190</v>
      </c>
      <c r="O52" t="s">
        <v>524</v>
      </c>
      <c r="P52" s="16">
        <f>PRODUCT(_xlfn.XLOOKUP(F52,Config!$A$2:$A$15,Config!$B$2:$B$15),_xlfn.XLOOKUP(G52,Config!$C$2:$C$7,Config!$D$2:$D$7),_xlfn.XLOOKUP(H52,Config!$E$2:$E$5,Config!$F$2:$F$5),_xlfn.XLOOKUP(I52,Config!$G$2:$G$3,Config!$H$2:$H$3),_xlfn.XLOOKUP(J52,Config!$I$2:$I$3,Config!$J$2:$J$3),_xlfn.XLOOKUP(K52,Config!$K$2:$K$3,Config!$L$2:$L$3),_xlfn.XLOOKUP(L52,Config!$M$2:$M$3,Config!$N$2:$N$3),_xlfn.XLOOKUP(M52,Config!$O$2:$O$6,Config!$P$2:$P$6))</f>
        <v>3.4709653440000003E-3</v>
      </c>
      <c r="Q52" s="22">
        <v>1</v>
      </c>
      <c r="R52" s="16">
        <f>P52*Q52*Config!$B$19</f>
        <v>2.5508694121284601E-3</v>
      </c>
    </row>
    <row r="53" spans="1:19" x14ac:dyDescent="0.45">
      <c r="A53" s="3">
        <v>52</v>
      </c>
      <c r="B53" s="3" t="s">
        <v>1018</v>
      </c>
      <c r="C53" s="3" t="s">
        <v>699</v>
      </c>
      <c r="D53" s="3" t="s">
        <v>670</v>
      </c>
      <c r="E53" t="s">
        <v>523</v>
      </c>
      <c r="F53" t="s">
        <v>971</v>
      </c>
      <c r="G53" t="s">
        <v>831</v>
      </c>
      <c r="H53" t="s">
        <v>808</v>
      </c>
      <c r="I53" t="s">
        <v>806</v>
      </c>
      <c r="K53" s="12" t="s">
        <v>1062</v>
      </c>
      <c r="L53" s="12" t="s">
        <v>1110</v>
      </c>
      <c r="M53" s="12" t="s">
        <v>838</v>
      </c>
      <c r="N53" s="12" t="s">
        <v>1190</v>
      </c>
      <c r="P53" s="16">
        <f>PRODUCT(_xlfn.XLOOKUP(F53,Config!$A$2:$A$15,Config!$B$2:$B$15),_xlfn.XLOOKUP(G53,Config!$C$2:$C$7,Config!$D$2:$D$7),_xlfn.XLOOKUP(H53,Config!$E$2:$E$5,Config!$F$2:$F$5),_xlfn.XLOOKUP(I53,Config!$G$2:$G$3,Config!$H$2:$H$3),_xlfn.XLOOKUP(J53,Config!$I$2:$I$3,Config!$J$2:$J$3),_xlfn.XLOOKUP(K53,Config!$K$2:$K$3,Config!$L$2:$L$3),_xlfn.XLOOKUP(L53,Config!$M$2:$M$3,Config!$N$2:$N$3),_xlfn.XLOOKUP(M53,Config!$O$2:$O$6,Config!$P$2:$P$6))</f>
        <v>1.952418006E-3</v>
      </c>
      <c r="Q53" s="22">
        <v>1</v>
      </c>
      <c r="R53" s="16">
        <f>P53*Q53*Config!$B$19</f>
        <v>1.4348640443222586E-3</v>
      </c>
    </row>
    <row r="54" spans="1:19" x14ac:dyDescent="0.45">
      <c r="A54" s="3">
        <v>53</v>
      </c>
      <c r="B54" s="3" t="s">
        <v>1018</v>
      </c>
      <c r="C54" s="3" t="s">
        <v>699</v>
      </c>
      <c r="D54" s="3" t="s">
        <v>670</v>
      </c>
      <c r="E54" t="s">
        <v>523</v>
      </c>
      <c r="F54" t="s">
        <v>985</v>
      </c>
      <c r="G54" t="s">
        <v>831</v>
      </c>
      <c r="H54" t="s">
        <v>808</v>
      </c>
      <c r="I54" t="s">
        <v>806</v>
      </c>
      <c r="K54" s="12" t="s">
        <v>1062</v>
      </c>
      <c r="L54" s="12" t="s">
        <v>1110</v>
      </c>
      <c r="M54" s="12" t="s">
        <v>838</v>
      </c>
      <c r="N54" s="12" t="s">
        <v>1190</v>
      </c>
      <c r="P54" s="16">
        <f>PRODUCT(_xlfn.XLOOKUP(F54,Config!$A$2:$A$15,Config!$B$2:$B$15),_xlfn.XLOOKUP(G54,Config!$C$2:$C$7,Config!$D$2:$D$7),_xlfn.XLOOKUP(H54,Config!$E$2:$E$5,Config!$F$2:$F$5),_xlfn.XLOOKUP(I54,Config!$G$2:$G$3,Config!$H$2:$H$3),_xlfn.XLOOKUP(J54,Config!$I$2:$I$3,Config!$J$2:$J$3),_xlfn.XLOOKUP(K54,Config!$K$2:$K$3,Config!$L$2:$L$3),_xlfn.XLOOKUP(L54,Config!$M$2:$M$3,Config!$N$2:$N$3),_xlfn.XLOOKUP(M54,Config!$O$2:$O$6,Config!$P$2:$P$6))</f>
        <v>2.9976518880000004E-3</v>
      </c>
      <c r="Q54" s="22">
        <v>1</v>
      </c>
      <c r="R54" s="16">
        <f>P54*Q54*Config!$B$19</f>
        <v>2.203023583201852E-3</v>
      </c>
    </row>
    <row r="55" spans="1:19" x14ac:dyDescent="0.45">
      <c r="A55" s="3">
        <v>54</v>
      </c>
      <c r="B55" s="3" t="s">
        <v>1018</v>
      </c>
      <c r="C55" s="3" t="s">
        <v>699</v>
      </c>
      <c r="D55" s="3" t="s">
        <v>670</v>
      </c>
      <c r="E55" t="s">
        <v>523</v>
      </c>
      <c r="F55" t="s">
        <v>986</v>
      </c>
      <c r="G55" t="s">
        <v>831</v>
      </c>
      <c r="H55" t="s">
        <v>808</v>
      </c>
      <c r="I55" t="s">
        <v>806</v>
      </c>
      <c r="K55" s="12" t="s">
        <v>1062</v>
      </c>
      <c r="L55" s="12" t="s">
        <v>1110</v>
      </c>
      <c r="M55" s="12" t="s">
        <v>838</v>
      </c>
      <c r="N55" s="12" t="s">
        <v>1190</v>
      </c>
      <c r="P55" s="16">
        <f>PRODUCT(_xlfn.XLOOKUP(F55,Config!$A$2:$A$15,Config!$B$2:$B$15),_xlfn.XLOOKUP(G55,Config!$C$2:$C$7,Config!$D$2:$D$7),_xlfn.XLOOKUP(H55,Config!$E$2:$E$5,Config!$F$2:$F$5),_xlfn.XLOOKUP(I55,Config!$G$2:$G$3,Config!$H$2:$H$3),_xlfn.XLOOKUP(J55,Config!$I$2:$I$3,Config!$J$2:$J$3),_xlfn.XLOOKUP(K55,Config!$K$2:$K$3,Config!$L$2:$L$3),_xlfn.XLOOKUP(L55,Config!$M$2:$M$3,Config!$N$2:$N$3),_xlfn.XLOOKUP(M55,Config!$O$2:$O$6,Config!$P$2:$P$6))</f>
        <v>1.6861791870000002E-3</v>
      </c>
      <c r="Q55" s="22">
        <v>1</v>
      </c>
      <c r="R55" s="16">
        <f>P55*Q55*Config!$B$19</f>
        <v>1.2392007655510418E-3</v>
      </c>
    </row>
    <row r="56" spans="1:19" x14ac:dyDescent="0.45">
      <c r="A56" s="3">
        <v>55</v>
      </c>
      <c r="B56" s="3" t="s">
        <v>1018</v>
      </c>
      <c r="C56" s="3" t="s">
        <v>699</v>
      </c>
      <c r="D56" s="3" t="s">
        <v>671</v>
      </c>
      <c r="E56" t="s">
        <v>523</v>
      </c>
      <c r="F56" t="s">
        <v>1010</v>
      </c>
      <c r="G56" t="s">
        <v>831</v>
      </c>
      <c r="H56" t="s">
        <v>808</v>
      </c>
      <c r="I56" t="s">
        <v>806</v>
      </c>
      <c r="K56" s="12" t="s">
        <v>1062</v>
      </c>
      <c r="L56" s="12" t="s">
        <v>1110</v>
      </c>
      <c r="M56" s="12" t="s">
        <v>838</v>
      </c>
      <c r="N56" s="14" t="s">
        <v>1003</v>
      </c>
      <c r="O56" t="s">
        <v>1233</v>
      </c>
      <c r="P56" s="16">
        <f>PRODUCT(_xlfn.XLOOKUP(F56,Config!$A$2:$A$15,Config!$B$2:$B$15),_xlfn.XLOOKUP(G56,Config!$C$2:$C$7,Config!$D$2:$D$7),_xlfn.XLOOKUP(H56,Config!$E$2:$E$5,Config!$F$2:$F$5),_xlfn.XLOOKUP(I56,Config!$G$2:$G$3,Config!$H$2:$H$3),_xlfn.XLOOKUP(J56,Config!$I$2:$I$3,Config!$J$2:$J$3),_xlfn.XLOOKUP(K56,Config!$K$2:$K$3,Config!$L$2:$L$3),_xlfn.XLOOKUP(L56,Config!$M$2:$M$3,Config!$N$2:$N$3),_xlfn.XLOOKUP(M56,Config!$O$2:$O$6,Config!$P$2:$P$6))</f>
        <v>2.3271244920000001E-3</v>
      </c>
      <c r="Q56" s="22">
        <v>1</v>
      </c>
      <c r="R56" s="16">
        <f>P56*Q56*Config!$B$19</f>
        <v>1.7102419922224903E-3</v>
      </c>
    </row>
    <row r="57" spans="1:19" x14ac:dyDescent="0.45">
      <c r="A57" s="3">
        <v>56</v>
      </c>
      <c r="B57" s="3" t="s">
        <v>1018</v>
      </c>
      <c r="C57" s="3" t="s">
        <v>699</v>
      </c>
      <c r="D57" s="3" t="s">
        <v>670</v>
      </c>
      <c r="E57" t="s">
        <v>523</v>
      </c>
      <c r="F57" t="s">
        <v>1010</v>
      </c>
      <c r="G57" t="s">
        <v>831</v>
      </c>
      <c r="H57" t="s">
        <v>808</v>
      </c>
      <c r="I57" t="s">
        <v>806</v>
      </c>
      <c r="K57" s="12" t="s">
        <v>1062</v>
      </c>
      <c r="L57" s="12" t="s">
        <v>1110</v>
      </c>
      <c r="M57" s="12" t="s">
        <v>838</v>
      </c>
      <c r="N57" s="12" t="s">
        <v>1190</v>
      </c>
      <c r="O57" t="s">
        <v>1233</v>
      </c>
      <c r="P57" s="16">
        <f>PRODUCT(_xlfn.XLOOKUP(F57,Config!$A$2:$A$15,Config!$B$2:$B$15),_xlfn.XLOOKUP(G57,Config!$C$2:$C$7,Config!$D$2:$D$7),_xlfn.XLOOKUP(H57,Config!$E$2:$E$5,Config!$F$2:$F$5),_xlfn.XLOOKUP(I57,Config!$G$2:$G$3,Config!$H$2:$H$3),_xlfn.XLOOKUP(J57,Config!$I$2:$I$3,Config!$J$2:$J$3),_xlfn.XLOOKUP(K57,Config!$K$2:$K$3,Config!$L$2:$L$3),_xlfn.XLOOKUP(L57,Config!$M$2:$M$3,Config!$N$2:$N$3),_xlfn.XLOOKUP(M57,Config!$O$2:$O$6,Config!$P$2:$P$6))</f>
        <v>2.3271244920000001E-3</v>
      </c>
      <c r="Q57" s="22">
        <v>1</v>
      </c>
      <c r="R57" s="16">
        <f>P57*Q57*Config!$B$19</f>
        <v>1.7102419922224903E-3</v>
      </c>
    </row>
    <row r="58" spans="1:19" x14ac:dyDescent="0.45">
      <c r="A58" s="3">
        <v>57</v>
      </c>
      <c r="B58" s="3" t="s">
        <v>667</v>
      </c>
      <c r="C58" s="3" t="s">
        <v>700</v>
      </c>
      <c r="D58" s="3" t="s">
        <v>684</v>
      </c>
      <c r="E58" t="s">
        <v>544</v>
      </c>
      <c r="F58" t="s">
        <v>990</v>
      </c>
      <c r="G58" t="s">
        <v>831</v>
      </c>
      <c r="H58" t="s">
        <v>808</v>
      </c>
      <c r="I58" t="s">
        <v>806</v>
      </c>
      <c r="K58" s="12" t="s">
        <v>1062</v>
      </c>
      <c r="L58" s="12" t="s">
        <v>1110</v>
      </c>
      <c r="M58" s="12" t="s">
        <v>838</v>
      </c>
      <c r="N58" s="12" t="s">
        <v>1190</v>
      </c>
      <c r="O58" t="s">
        <v>545</v>
      </c>
      <c r="P58" s="16">
        <f>PRODUCT(_xlfn.XLOOKUP(F58,Config!$A$2:$A$15,Config!$B$2:$B$15),_xlfn.XLOOKUP(G58,Config!$C$2:$C$7,Config!$D$2:$D$7),_xlfn.XLOOKUP(H58,Config!$E$2:$E$5,Config!$F$2:$F$5),_xlfn.XLOOKUP(I58,Config!$G$2:$G$3,Config!$H$2:$H$3),_xlfn.XLOOKUP(J58,Config!$I$2:$I$3,Config!$J$2:$J$3),_xlfn.XLOOKUP(K58,Config!$K$2:$K$3,Config!$L$2:$L$3),_xlfn.XLOOKUP(L58,Config!$M$2:$M$3,Config!$N$2:$N$3),_xlfn.XLOOKUP(M58,Config!$O$2:$O$6,Config!$P$2:$P$6))</f>
        <v>2.3271244920000001E-3</v>
      </c>
      <c r="Q58" s="22">
        <v>1</v>
      </c>
      <c r="R58" s="16">
        <f>P58*Q58*Config!$B$19</f>
        <v>1.7102419922224903E-3</v>
      </c>
    </row>
    <row r="59" spans="1:19" x14ac:dyDescent="0.45">
      <c r="A59" s="3">
        <v>58</v>
      </c>
      <c r="B59" s="3" t="s">
        <v>672</v>
      </c>
      <c r="C59" s="3" t="s">
        <v>701</v>
      </c>
      <c r="D59" s="3" t="s">
        <v>673</v>
      </c>
      <c r="E59" t="s">
        <v>519</v>
      </c>
      <c r="F59" t="s">
        <v>988</v>
      </c>
      <c r="G59" t="s">
        <v>831</v>
      </c>
      <c r="H59" t="s">
        <v>808</v>
      </c>
      <c r="I59" t="s">
        <v>806</v>
      </c>
      <c r="K59" s="12" t="s">
        <v>1062</v>
      </c>
      <c r="L59" s="12" t="s">
        <v>1110</v>
      </c>
      <c r="M59" s="12" t="s">
        <v>838</v>
      </c>
      <c r="N59" s="14" t="s">
        <v>997</v>
      </c>
      <c r="O59" t="s">
        <v>520</v>
      </c>
      <c r="P59" s="16">
        <f>PRODUCT(_xlfn.XLOOKUP(F59,Config!$A$2:$A$15,Config!$B$2:$B$15),_xlfn.XLOOKUP(G59,Config!$C$2:$C$7,Config!$D$2:$D$7),_xlfn.XLOOKUP(H59,Config!$E$2:$E$5,Config!$F$2:$F$5),_xlfn.XLOOKUP(I59,Config!$G$2:$G$3,Config!$H$2:$H$3),_xlfn.XLOOKUP(J59,Config!$I$2:$I$3,Config!$J$2:$J$3),_xlfn.XLOOKUP(K59,Config!$K$2:$K$3,Config!$L$2:$L$3),_xlfn.XLOOKUP(L59,Config!$M$2:$M$3,Config!$N$2:$N$3),_xlfn.XLOOKUP(M59,Config!$O$2:$O$6,Config!$P$2:$P$6))</f>
        <v>2.3271244920000001E-3</v>
      </c>
      <c r="Q59" s="22">
        <v>1</v>
      </c>
      <c r="R59" s="16">
        <f>P59*Q59*Config!$B$19</f>
        <v>1.7102419922224903E-3</v>
      </c>
      <c r="S59" t="s">
        <v>655</v>
      </c>
    </row>
    <row r="60" spans="1:19" x14ac:dyDescent="0.45">
      <c r="A60" s="3">
        <v>59</v>
      </c>
      <c r="B60" s="3" t="s">
        <v>665</v>
      </c>
      <c r="C60" s="3" t="s">
        <v>697</v>
      </c>
      <c r="D60" s="3" t="s">
        <v>668</v>
      </c>
      <c r="E60" t="s">
        <v>517</v>
      </c>
      <c r="F60" t="s">
        <v>988</v>
      </c>
      <c r="G60" t="s">
        <v>831</v>
      </c>
      <c r="H60" t="s">
        <v>808</v>
      </c>
      <c r="I60" t="s">
        <v>806</v>
      </c>
      <c r="K60" s="12" t="s">
        <v>1062</v>
      </c>
      <c r="L60" s="12" t="s">
        <v>1110</v>
      </c>
      <c r="M60" s="12" t="s">
        <v>838</v>
      </c>
      <c r="N60" s="12" t="s">
        <v>1190</v>
      </c>
      <c r="O60" t="s">
        <v>518</v>
      </c>
      <c r="P60" s="16">
        <f>PRODUCT(_xlfn.XLOOKUP(F60,Config!$A$2:$A$15,Config!$B$2:$B$15),_xlfn.XLOOKUP(G60,Config!$C$2:$C$7,Config!$D$2:$D$7),_xlfn.XLOOKUP(H60,Config!$E$2:$E$5,Config!$F$2:$F$5),_xlfn.XLOOKUP(I60,Config!$G$2:$G$3,Config!$H$2:$H$3),_xlfn.XLOOKUP(J60,Config!$I$2:$I$3,Config!$J$2:$J$3),_xlfn.XLOOKUP(K60,Config!$K$2:$K$3,Config!$L$2:$L$3),_xlfn.XLOOKUP(L60,Config!$M$2:$M$3,Config!$N$2:$N$3),_xlfn.XLOOKUP(M60,Config!$O$2:$O$6,Config!$P$2:$P$6))</f>
        <v>2.3271244920000001E-3</v>
      </c>
      <c r="Q60" s="22">
        <v>1</v>
      </c>
      <c r="R60" s="16">
        <f>P60*Q60*Config!$B$19</f>
        <v>1.7102419922224903E-3</v>
      </c>
    </row>
    <row r="61" spans="1:19" x14ac:dyDescent="0.45">
      <c r="A61" s="3">
        <v>60</v>
      </c>
      <c r="B61" s="3" t="s">
        <v>1018</v>
      </c>
      <c r="C61" s="3" t="s">
        <v>699</v>
      </c>
      <c r="D61" s="3" t="s">
        <v>670</v>
      </c>
      <c r="E61" t="s">
        <v>523</v>
      </c>
      <c r="F61" t="s">
        <v>987</v>
      </c>
      <c r="G61" t="s">
        <v>831</v>
      </c>
      <c r="H61" t="s">
        <v>808</v>
      </c>
      <c r="I61" t="s">
        <v>806</v>
      </c>
      <c r="K61" s="12" t="s">
        <v>1062</v>
      </c>
      <c r="L61" s="12" t="s">
        <v>1110</v>
      </c>
      <c r="M61" s="12" t="s">
        <v>838</v>
      </c>
      <c r="N61" s="12" t="s">
        <v>1190</v>
      </c>
      <c r="P61" s="16">
        <f>PRODUCT(_xlfn.XLOOKUP(F61,Config!$A$2:$A$15,Config!$B$2:$B$15),_xlfn.XLOOKUP(G61,Config!$C$2:$C$7,Config!$D$2:$D$7),_xlfn.XLOOKUP(H61,Config!$E$2:$E$5,Config!$F$2:$F$5),_xlfn.XLOOKUP(I61,Config!$G$2:$G$3,Config!$H$2:$H$3),_xlfn.XLOOKUP(J61,Config!$I$2:$I$3,Config!$J$2:$J$3),_xlfn.XLOOKUP(K61,Config!$K$2:$K$3,Config!$L$2:$L$3),_xlfn.XLOOKUP(L61,Config!$M$2:$M$3,Config!$N$2:$N$3),_xlfn.XLOOKUP(M61,Config!$O$2:$O$6,Config!$P$2:$P$6))</f>
        <v>8.7267168449999986E-4</v>
      </c>
      <c r="Q61" s="22">
        <v>1</v>
      </c>
      <c r="R61" s="16">
        <f>P61*Q61*Config!$B$19</f>
        <v>6.4134074708343375E-4</v>
      </c>
    </row>
    <row r="62" spans="1:19" x14ac:dyDescent="0.45">
      <c r="A62" s="3">
        <v>61</v>
      </c>
      <c r="B62" s="3" t="s">
        <v>1588</v>
      </c>
      <c r="C62" s="3" t="s">
        <v>871</v>
      </c>
      <c r="D62" s="3" t="s">
        <v>872</v>
      </c>
      <c r="E62" t="s">
        <v>873</v>
      </c>
      <c r="F62" t="s">
        <v>995</v>
      </c>
      <c r="G62" t="s">
        <v>831</v>
      </c>
      <c r="H62" t="s">
        <v>808</v>
      </c>
      <c r="I62" t="s">
        <v>806</v>
      </c>
      <c r="K62" s="12" t="s">
        <v>1062</v>
      </c>
      <c r="L62" s="12" t="s">
        <v>1110</v>
      </c>
      <c r="M62" s="12" t="s">
        <v>838</v>
      </c>
      <c r="N62" s="12" t="s">
        <v>1190</v>
      </c>
      <c r="O62" t="s">
        <v>874</v>
      </c>
      <c r="P62" s="16">
        <f>PRODUCT(_xlfn.XLOOKUP(F62,Config!$A$2:$A$15,Config!$B$2:$B$15),_xlfn.XLOOKUP(G62,Config!$C$2:$C$7,Config!$D$2:$D$7),_xlfn.XLOOKUP(H62,Config!$E$2:$E$5,Config!$F$2:$F$5),_xlfn.XLOOKUP(I62,Config!$G$2:$G$3,Config!$H$2:$H$3),_xlfn.XLOOKUP(J62,Config!$I$2:$I$3,Config!$J$2:$J$3),_xlfn.XLOOKUP(K62,Config!$K$2:$K$3,Config!$L$2:$L$3),_xlfn.XLOOKUP(L62,Config!$M$2:$M$3,Config!$N$2:$N$3),_xlfn.XLOOKUP(M62,Config!$O$2:$O$6,Config!$P$2:$P$6))</f>
        <v>8.7267168449999986E-4</v>
      </c>
      <c r="Q62" s="22">
        <v>1</v>
      </c>
      <c r="R62" s="16">
        <f>P62*Q62*Config!$B$19</f>
        <v>6.4134074708343375E-4</v>
      </c>
    </row>
    <row r="63" spans="1:19" x14ac:dyDescent="0.45">
      <c r="A63" s="3">
        <v>62</v>
      </c>
      <c r="B63" s="3" t="s">
        <v>666</v>
      </c>
      <c r="C63" s="3" t="s">
        <v>698</v>
      </c>
      <c r="D63" s="3" t="s">
        <v>669</v>
      </c>
      <c r="E63" t="s">
        <v>521</v>
      </c>
      <c r="F63" t="s">
        <v>989</v>
      </c>
      <c r="G63" t="s">
        <v>831</v>
      </c>
      <c r="H63" t="s">
        <v>808</v>
      </c>
      <c r="I63" t="s">
        <v>806</v>
      </c>
      <c r="K63" s="12" t="s">
        <v>1062</v>
      </c>
      <c r="L63" s="12" t="s">
        <v>1110</v>
      </c>
      <c r="M63" s="12" t="s">
        <v>838</v>
      </c>
      <c r="N63" s="12" t="s">
        <v>1190</v>
      </c>
      <c r="O63" t="s">
        <v>522</v>
      </c>
      <c r="P63" s="16">
        <f>PRODUCT(_xlfn.XLOOKUP(F63,Config!$A$2:$A$15,Config!$B$2:$B$15),_xlfn.XLOOKUP(G63,Config!$C$2:$C$7,Config!$D$2:$D$7),_xlfn.XLOOKUP(H63,Config!$E$2:$E$5,Config!$F$2:$F$5),_xlfn.XLOOKUP(I63,Config!$G$2:$G$3,Config!$H$2:$H$3),_xlfn.XLOOKUP(J63,Config!$I$2:$I$3,Config!$J$2:$J$3),_xlfn.XLOOKUP(K63,Config!$K$2:$K$3,Config!$L$2:$L$3),_xlfn.XLOOKUP(L63,Config!$M$2:$M$3,Config!$N$2:$N$3),_xlfn.XLOOKUP(M63,Config!$O$2:$O$6,Config!$P$2:$P$6))</f>
        <v>2.3271244920000001E-3</v>
      </c>
      <c r="Q63" s="22">
        <v>1</v>
      </c>
      <c r="R63" s="16">
        <f>P63*Q63*Config!$B$19</f>
        <v>1.7102419922224903E-3</v>
      </c>
    </row>
    <row r="64" spans="1:19" x14ac:dyDescent="0.45">
      <c r="A64" s="3">
        <v>63</v>
      </c>
      <c r="B64" s="3" t="s">
        <v>686</v>
      </c>
      <c r="C64" s="3" t="s">
        <v>769</v>
      </c>
      <c r="D64" s="3" t="s">
        <v>687</v>
      </c>
      <c r="F64" t="s">
        <v>990</v>
      </c>
      <c r="G64" t="s">
        <v>831</v>
      </c>
      <c r="H64" t="s">
        <v>808</v>
      </c>
      <c r="I64" t="s">
        <v>806</v>
      </c>
      <c r="K64" s="12" t="s">
        <v>1062</v>
      </c>
      <c r="L64" s="12" t="s">
        <v>1110</v>
      </c>
      <c r="M64" t="s">
        <v>836</v>
      </c>
      <c r="N64" s="12" t="s">
        <v>1190</v>
      </c>
      <c r="O64" t="s">
        <v>606</v>
      </c>
      <c r="P64" s="16">
        <f>PRODUCT(_xlfn.XLOOKUP(F64,Config!$A$2:$A$15,Config!$B$2:$B$15),_xlfn.XLOOKUP(G64,Config!$C$2:$C$7,Config!$D$2:$D$7),_xlfn.XLOOKUP(H64,Config!$E$2:$E$5,Config!$F$2:$F$5),_xlfn.XLOOKUP(I64,Config!$G$2:$G$3,Config!$H$2:$H$3),_xlfn.XLOOKUP(J64,Config!$I$2:$I$3,Config!$J$2:$J$3),_xlfn.XLOOKUP(K64,Config!$K$2:$K$3,Config!$L$2:$L$3),_xlfn.XLOOKUP(L64,Config!$M$2:$M$3,Config!$N$2:$N$3),_xlfn.XLOOKUP(M64,Config!$O$2:$O$6,Config!$P$2:$P$6))</f>
        <v>5.8178112300000002E-4</v>
      </c>
      <c r="Q64" s="22">
        <v>1</v>
      </c>
      <c r="R64" s="16">
        <f>P64*Q64*Config!$B$19</f>
        <v>4.2756049805562257E-4</v>
      </c>
    </row>
    <row r="65" spans="1:19" x14ac:dyDescent="0.45">
      <c r="A65" s="3">
        <v>64</v>
      </c>
      <c r="B65" s="3" t="s">
        <v>688</v>
      </c>
      <c r="C65" s="3" t="s">
        <v>996</v>
      </c>
      <c r="D65" s="3" t="s">
        <v>689</v>
      </c>
      <c r="E65" t="s">
        <v>979</v>
      </c>
      <c r="F65" t="s">
        <v>984</v>
      </c>
      <c r="G65" t="s">
        <v>831</v>
      </c>
      <c r="H65" t="s">
        <v>808</v>
      </c>
      <c r="I65" t="s">
        <v>806</v>
      </c>
      <c r="K65" s="12" t="s">
        <v>1062</v>
      </c>
      <c r="L65" t="s">
        <v>1111</v>
      </c>
      <c r="M65" s="12" t="s">
        <v>838</v>
      </c>
      <c r="N65" s="12" t="s">
        <v>1190</v>
      </c>
      <c r="P65" s="16">
        <f>PRODUCT(_xlfn.XLOOKUP(F65,Config!$A$2:$A$15,Config!$B$2:$B$15),_xlfn.XLOOKUP(G65,Config!$C$2:$C$7,Config!$D$2:$D$7),_xlfn.XLOOKUP(H65,Config!$E$2:$E$5,Config!$F$2:$F$5),_xlfn.XLOOKUP(I65,Config!$G$2:$G$3,Config!$H$2:$H$3),_xlfn.XLOOKUP(J65,Config!$I$2:$I$3,Config!$J$2:$J$3),_xlfn.XLOOKUP(K65,Config!$K$2:$K$3,Config!$L$2:$L$3),_xlfn.XLOOKUP(L65,Config!$M$2:$M$3,Config!$N$2:$N$3),_xlfn.XLOOKUP(M65,Config!$O$2:$O$6,Config!$P$2:$P$6))</f>
        <v>6.1252329599999992E-4</v>
      </c>
      <c r="Q65" s="22">
        <v>1</v>
      </c>
      <c r="R65" s="16">
        <f>P65*Q65*Config!$B$19</f>
        <v>4.5015342566972816E-4</v>
      </c>
    </row>
    <row r="66" spans="1:19" x14ac:dyDescent="0.45">
      <c r="A66" s="3">
        <v>65</v>
      </c>
      <c r="B66" s="3" t="s">
        <v>688</v>
      </c>
      <c r="C66" s="3" t="s">
        <v>996</v>
      </c>
      <c r="D66" s="3" t="s">
        <v>689</v>
      </c>
      <c r="E66" t="s">
        <v>979</v>
      </c>
      <c r="F66" t="s">
        <v>971</v>
      </c>
      <c r="G66" t="s">
        <v>831</v>
      </c>
      <c r="H66" t="s">
        <v>808</v>
      </c>
      <c r="I66" t="s">
        <v>806</v>
      </c>
      <c r="K66" s="12" t="s">
        <v>1062</v>
      </c>
      <c r="L66" t="s">
        <v>1111</v>
      </c>
      <c r="M66" s="12" t="s">
        <v>838</v>
      </c>
      <c r="N66" s="12" t="s">
        <v>1190</v>
      </c>
      <c r="P66" s="16">
        <f>PRODUCT(_xlfn.XLOOKUP(F66,Config!$A$2:$A$15,Config!$B$2:$B$15),_xlfn.XLOOKUP(G66,Config!$C$2:$C$7,Config!$D$2:$D$7),_xlfn.XLOOKUP(H66,Config!$E$2:$E$5,Config!$F$2:$F$5),_xlfn.XLOOKUP(I66,Config!$G$2:$G$3,Config!$H$2:$H$3),_xlfn.XLOOKUP(J66,Config!$I$2:$I$3,Config!$J$2:$J$3),_xlfn.XLOOKUP(K66,Config!$K$2:$K$3,Config!$L$2:$L$3),_xlfn.XLOOKUP(L66,Config!$M$2:$M$3,Config!$N$2:$N$3),_xlfn.XLOOKUP(M66,Config!$O$2:$O$6,Config!$P$2:$P$6))</f>
        <v>3.4454435399999995E-4</v>
      </c>
      <c r="Q66" s="22">
        <v>1</v>
      </c>
      <c r="R66" s="16">
        <f>P66*Q66*Config!$B$19</f>
        <v>2.5321130193922209E-4</v>
      </c>
    </row>
    <row r="67" spans="1:19" x14ac:dyDescent="0.45">
      <c r="A67" s="3">
        <v>66</v>
      </c>
      <c r="B67" s="3" t="s">
        <v>688</v>
      </c>
      <c r="C67" s="3" t="s">
        <v>996</v>
      </c>
      <c r="D67" s="3" t="s">
        <v>689</v>
      </c>
      <c r="E67" t="s">
        <v>979</v>
      </c>
      <c r="F67" t="s">
        <v>985</v>
      </c>
      <c r="G67" t="s">
        <v>831</v>
      </c>
      <c r="H67" t="s">
        <v>808</v>
      </c>
      <c r="I67" t="s">
        <v>806</v>
      </c>
      <c r="K67" s="12" t="s">
        <v>1062</v>
      </c>
      <c r="L67" t="s">
        <v>1111</v>
      </c>
      <c r="M67" s="12" t="s">
        <v>838</v>
      </c>
      <c r="N67" s="12" t="s">
        <v>1190</v>
      </c>
      <c r="P67" s="16">
        <f>PRODUCT(_xlfn.XLOOKUP(F67,Config!$A$2:$A$15,Config!$B$2:$B$15),_xlfn.XLOOKUP(G67,Config!$C$2:$C$7,Config!$D$2:$D$7),_xlfn.XLOOKUP(H67,Config!$E$2:$E$5,Config!$F$2:$F$5),_xlfn.XLOOKUP(I67,Config!$G$2:$G$3,Config!$H$2:$H$3),_xlfn.XLOOKUP(J67,Config!$I$2:$I$3,Config!$J$2:$J$3),_xlfn.XLOOKUP(K67,Config!$K$2:$K$3,Config!$L$2:$L$3),_xlfn.XLOOKUP(L67,Config!$M$2:$M$3,Config!$N$2:$N$3),_xlfn.XLOOKUP(M67,Config!$O$2:$O$6,Config!$P$2:$P$6))</f>
        <v>5.2899739200000008E-4</v>
      </c>
      <c r="Q67" s="22">
        <v>1</v>
      </c>
      <c r="R67" s="16">
        <f>P67*Q67*Config!$B$19</f>
        <v>3.8876886762385628E-4</v>
      </c>
    </row>
    <row r="68" spans="1:19" x14ac:dyDescent="0.45">
      <c r="A68" s="3">
        <v>67</v>
      </c>
      <c r="B68" s="3" t="s">
        <v>688</v>
      </c>
      <c r="C68" s="3" t="s">
        <v>996</v>
      </c>
      <c r="D68" s="3" t="s">
        <v>689</v>
      </c>
      <c r="E68" t="s">
        <v>979</v>
      </c>
      <c r="F68" t="s">
        <v>986</v>
      </c>
      <c r="G68" t="s">
        <v>831</v>
      </c>
      <c r="H68" t="s">
        <v>808</v>
      </c>
      <c r="I68" t="s">
        <v>806</v>
      </c>
      <c r="K68" s="12" t="s">
        <v>1062</v>
      </c>
      <c r="L68" t="s">
        <v>1111</v>
      </c>
      <c r="M68" s="12" t="s">
        <v>838</v>
      </c>
      <c r="N68" s="12" t="s">
        <v>1190</v>
      </c>
      <c r="P68" s="16">
        <f>PRODUCT(_xlfn.XLOOKUP(F68,Config!$A$2:$A$15,Config!$B$2:$B$15),_xlfn.XLOOKUP(G68,Config!$C$2:$C$7,Config!$D$2:$D$7),_xlfn.XLOOKUP(H68,Config!$E$2:$E$5,Config!$F$2:$F$5),_xlfn.XLOOKUP(I68,Config!$G$2:$G$3,Config!$H$2:$H$3),_xlfn.XLOOKUP(J68,Config!$I$2:$I$3,Config!$J$2:$J$3),_xlfn.XLOOKUP(K68,Config!$K$2:$K$3,Config!$L$2:$L$3),_xlfn.XLOOKUP(L68,Config!$M$2:$M$3,Config!$N$2:$N$3),_xlfn.XLOOKUP(M68,Config!$O$2:$O$6,Config!$P$2:$P$6))</f>
        <v>2.9756103300000004E-4</v>
      </c>
      <c r="Q68" s="22">
        <v>1</v>
      </c>
      <c r="R68" s="16">
        <f>P68*Q68*Config!$B$19</f>
        <v>2.1868248803841913E-4</v>
      </c>
    </row>
    <row r="69" spans="1:19" x14ac:dyDescent="0.45">
      <c r="A69" s="3">
        <v>68</v>
      </c>
      <c r="B69" s="3" t="s">
        <v>688</v>
      </c>
      <c r="C69" s="3" t="s">
        <v>996</v>
      </c>
      <c r="D69" s="3" t="s">
        <v>689</v>
      </c>
      <c r="E69" t="s">
        <v>979</v>
      </c>
      <c r="F69" t="s">
        <v>1010</v>
      </c>
      <c r="G69" t="s">
        <v>831</v>
      </c>
      <c r="H69" t="s">
        <v>808</v>
      </c>
      <c r="I69" t="s">
        <v>806</v>
      </c>
      <c r="K69" s="12" t="s">
        <v>1062</v>
      </c>
      <c r="L69" t="s">
        <v>1111</v>
      </c>
      <c r="M69" s="12" t="s">
        <v>838</v>
      </c>
      <c r="N69" s="12" t="s">
        <v>1190</v>
      </c>
      <c r="O69" t="s">
        <v>607</v>
      </c>
      <c r="P69" s="16">
        <f>PRODUCT(_xlfn.XLOOKUP(F69,Config!$A$2:$A$15,Config!$B$2:$B$15),_xlfn.XLOOKUP(G69,Config!$C$2:$C$7,Config!$D$2:$D$7),_xlfn.XLOOKUP(H69,Config!$E$2:$E$5,Config!$F$2:$F$5),_xlfn.XLOOKUP(I69,Config!$G$2:$G$3,Config!$H$2:$H$3),_xlfn.XLOOKUP(J69,Config!$I$2:$I$3,Config!$J$2:$J$3),_xlfn.XLOOKUP(K69,Config!$K$2:$K$3,Config!$L$2:$L$3),_xlfn.XLOOKUP(L69,Config!$M$2:$M$3,Config!$N$2:$N$3),_xlfn.XLOOKUP(M69,Config!$O$2:$O$6,Config!$P$2:$P$6))</f>
        <v>4.1066902799999995E-4</v>
      </c>
      <c r="Q69" s="22">
        <v>1</v>
      </c>
      <c r="R69" s="16">
        <f>P69*Q69*Config!$B$19</f>
        <v>3.0180741039220413E-4</v>
      </c>
    </row>
    <row r="70" spans="1:19" x14ac:dyDescent="0.45">
      <c r="A70" s="3">
        <v>69</v>
      </c>
      <c r="B70" s="3" t="s">
        <v>688</v>
      </c>
      <c r="C70" s="3" t="s">
        <v>996</v>
      </c>
      <c r="D70" s="3" t="s">
        <v>689</v>
      </c>
      <c r="E70" t="s">
        <v>979</v>
      </c>
      <c r="F70" t="s">
        <v>987</v>
      </c>
      <c r="G70" t="s">
        <v>831</v>
      </c>
      <c r="H70" t="s">
        <v>808</v>
      </c>
      <c r="I70" t="s">
        <v>806</v>
      </c>
      <c r="K70" s="12" t="s">
        <v>1062</v>
      </c>
      <c r="L70" t="s">
        <v>1111</v>
      </c>
      <c r="M70" s="12" t="s">
        <v>838</v>
      </c>
      <c r="N70" s="12" t="s">
        <v>1190</v>
      </c>
      <c r="P70" s="16">
        <f>PRODUCT(_xlfn.XLOOKUP(F70,Config!$A$2:$A$15,Config!$B$2:$B$15),_xlfn.XLOOKUP(G70,Config!$C$2:$C$7,Config!$D$2:$D$7),_xlfn.XLOOKUP(H70,Config!$E$2:$E$5,Config!$F$2:$F$5),_xlfn.XLOOKUP(I70,Config!$G$2:$G$3,Config!$H$2:$H$3),_xlfn.XLOOKUP(J70,Config!$I$2:$I$3,Config!$J$2:$J$3),_xlfn.XLOOKUP(K70,Config!$K$2:$K$3,Config!$L$2:$L$3),_xlfn.XLOOKUP(L70,Config!$M$2:$M$3,Config!$N$2:$N$3),_xlfn.XLOOKUP(M70,Config!$O$2:$O$6,Config!$P$2:$P$6))</f>
        <v>1.5400088549999996E-4</v>
      </c>
      <c r="Q70" s="22">
        <v>1</v>
      </c>
      <c r="R70" s="16">
        <f>P70*Q70*Config!$B$19</f>
        <v>1.1317777889707653E-4</v>
      </c>
    </row>
    <row r="71" spans="1:19" x14ac:dyDescent="0.45">
      <c r="A71" s="3">
        <v>70</v>
      </c>
      <c r="B71" s="3" t="s">
        <v>190</v>
      </c>
      <c r="C71" s="11" t="s">
        <v>759</v>
      </c>
      <c r="D71" s="3" t="s">
        <v>563</v>
      </c>
      <c r="E71" t="s">
        <v>154</v>
      </c>
      <c r="F71" t="s">
        <v>984</v>
      </c>
      <c r="G71" t="s">
        <v>831</v>
      </c>
      <c r="H71" t="s">
        <v>768</v>
      </c>
      <c r="I71" s="12" t="s">
        <v>1107</v>
      </c>
      <c r="K71" s="12" t="s">
        <v>1062</v>
      </c>
      <c r="L71" s="12" t="s">
        <v>1110</v>
      </c>
      <c r="M71" s="12" t="s">
        <v>838</v>
      </c>
      <c r="N71" s="14" t="s">
        <v>997</v>
      </c>
      <c r="P71" s="16">
        <f>PRODUCT(_xlfn.XLOOKUP(F71,Config!$A$2:$A$15,Config!$B$2:$B$15),_xlfn.XLOOKUP(G71,Config!$C$2:$C$7,Config!$D$2:$D$7),_xlfn.XLOOKUP(H71,Config!$E$2:$E$5,Config!$F$2:$F$5),_xlfn.XLOOKUP(I71,Config!$G$2:$G$3,Config!$H$2:$H$3),_xlfn.XLOOKUP(J71,Config!$I$2:$I$3,Config!$J$2:$J$3),_xlfn.XLOOKUP(K71,Config!$K$2:$K$3,Config!$L$2:$L$3),_xlfn.XLOOKUP(L71,Config!$M$2:$M$3,Config!$N$2:$N$3),_xlfn.XLOOKUP(M71,Config!$O$2:$O$6,Config!$P$2:$P$6))</f>
        <v>2.9450615039999994E-3</v>
      </c>
      <c r="Q71" s="22">
        <v>1</v>
      </c>
      <c r="R71" s="16">
        <f>P71*Q71*Config!$B$19</f>
        <v>2.1643740466544504E-3</v>
      </c>
    </row>
    <row r="72" spans="1:19" x14ac:dyDescent="0.45">
      <c r="A72" s="3">
        <v>71</v>
      </c>
      <c r="B72" s="11" t="s">
        <v>660</v>
      </c>
      <c r="C72" s="11" t="s">
        <v>750</v>
      </c>
      <c r="D72" s="3" t="s">
        <v>552</v>
      </c>
      <c r="E72" s="2" t="s">
        <v>105</v>
      </c>
      <c r="F72" t="s">
        <v>984</v>
      </c>
      <c r="G72" t="s">
        <v>831</v>
      </c>
      <c r="H72" t="s">
        <v>768</v>
      </c>
      <c r="I72" s="12" t="s">
        <v>1107</v>
      </c>
      <c r="K72" s="12" t="s">
        <v>1062</v>
      </c>
      <c r="L72" s="12" t="s">
        <v>1110</v>
      </c>
      <c r="M72" s="12" t="s">
        <v>838</v>
      </c>
      <c r="N72" s="12" t="s">
        <v>1190</v>
      </c>
      <c r="P72" s="16">
        <f>PRODUCT(_xlfn.XLOOKUP(F72,Config!$A$2:$A$15,Config!$B$2:$B$15),_xlfn.XLOOKUP(G72,Config!$C$2:$C$7,Config!$D$2:$D$7),_xlfn.XLOOKUP(H72,Config!$E$2:$E$5,Config!$F$2:$F$5),_xlfn.XLOOKUP(I72,Config!$G$2:$G$3,Config!$H$2:$H$3),_xlfn.XLOOKUP(J72,Config!$I$2:$I$3,Config!$J$2:$J$3),_xlfn.XLOOKUP(K72,Config!$K$2:$K$3,Config!$L$2:$L$3),_xlfn.XLOOKUP(L72,Config!$M$2:$M$3,Config!$N$2:$N$3),_xlfn.XLOOKUP(M72,Config!$O$2:$O$6,Config!$P$2:$P$6))</f>
        <v>2.9450615039999994E-3</v>
      </c>
      <c r="Q72" s="22">
        <v>1</v>
      </c>
      <c r="R72" s="16">
        <f>P72*Q72*Config!$B$19</f>
        <v>2.1643740466544504E-3</v>
      </c>
    </row>
    <row r="73" spans="1:19" x14ac:dyDescent="0.45">
      <c r="A73" s="3">
        <v>72</v>
      </c>
      <c r="B73" s="3" t="s">
        <v>190</v>
      </c>
      <c r="C73" s="11" t="s">
        <v>759</v>
      </c>
      <c r="D73" s="3" t="s">
        <v>563</v>
      </c>
      <c r="E73" t="s">
        <v>154</v>
      </c>
      <c r="F73" t="s">
        <v>971</v>
      </c>
      <c r="G73" t="s">
        <v>831</v>
      </c>
      <c r="H73" t="s">
        <v>768</v>
      </c>
      <c r="I73" s="12" t="s">
        <v>1107</v>
      </c>
      <c r="K73" s="12" t="s">
        <v>1062</v>
      </c>
      <c r="L73" s="12" t="s">
        <v>1110</v>
      </c>
      <c r="M73" s="12" t="s">
        <v>838</v>
      </c>
      <c r="N73" s="14" t="s">
        <v>997</v>
      </c>
      <c r="P73" s="16">
        <f>PRODUCT(_xlfn.XLOOKUP(F73,Config!$A$2:$A$15,Config!$B$2:$B$15),_xlfn.XLOOKUP(G73,Config!$C$2:$C$7,Config!$D$2:$D$7),_xlfn.XLOOKUP(H73,Config!$E$2:$E$5,Config!$F$2:$F$5),_xlfn.XLOOKUP(I73,Config!$G$2:$G$3,Config!$H$2:$H$3),_xlfn.XLOOKUP(J73,Config!$I$2:$I$3,Config!$J$2:$J$3),_xlfn.XLOOKUP(K73,Config!$K$2:$K$3,Config!$L$2:$L$3),_xlfn.XLOOKUP(L73,Config!$M$2:$M$3,Config!$N$2:$N$3),_xlfn.XLOOKUP(M73,Config!$O$2:$O$6,Config!$P$2:$P$6))</f>
        <v>1.6565970959999999E-3</v>
      </c>
      <c r="Q73" s="22">
        <v>1</v>
      </c>
      <c r="R73" s="16">
        <f>P73*Q73*Config!$B$19</f>
        <v>1.2174604012431286E-3</v>
      </c>
    </row>
    <row r="74" spans="1:19" x14ac:dyDescent="0.45">
      <c r="A74" s="3">
        <v>73</v>
      </c>
      <c r="B74" s="11" t="s">
        <v>660</v>
      </c>
      <c r="C74" s="11" t="s">
        <v>750</v>
      </c>
      <c r="D74" s="3" t="s">
        <v>552</v>
      </c>
      <c r="E74" s="2" t="s">
        <v>105</v>
      </c>
      <c r="F74" t="s">
        <v>971</v>
      </c>
      <c r="G74" t="s">
        <v>831</v>
      </c>
      <c r="H74" t="s">
        <v>768</v>
      </c>
      <c r="I74" s="12" t="s">
        <v>1107</v>
      </c>
      <c r="K74" s="12" t="s">
        <v>1062</v>
      </c>
      <c r="L74" s="12" t="s">
        <v>1110</v>
      </c>
      <c r="M74" s="12" t="s">
        <v>838</v>
      </c>
      <c r="N74" s="12" t="s">
        <v>1190</v>
      </c>
      <c r="P74" s="16">
        <f>PRODUCT(_xlfn.XLOOKUP(F74,Config!$A$2:$A$15,Config!$B$2:$B$15),_xlfn.XLOOKUP(G74,Config!$C$2:$C$7,Config!$D$2:$D$7),_xlfn.XLOOKUP(H74,Config!$E$2:$E$5,Config!$F$2:$F$5),_xlfn.XLOOKUP(I74,Config!$G$2:$G$3,Config!$H$2:$H$3),_xlfn.XLOOKUP(J74,Config!$I$2:$I$3,Config!$J$2:$J$3),_xlfn.XLOOKUP(K74,Config!$K$2:$K$3,Config!$L$2:$L$3),_xlfn.XLOOKUP(L74,Config!$M$2:$M$3,Config!$N$2:$N$3),_xlfn.XLOOKUP(M74,Config!$O$2:$O$6,Config!$P$2:$P$6))</f>
        <v>1.6565970959999999E-3</v>
      </c>
      <c r="Q74" s="22">
        <v>1</v>
      </c>
      <c r="R74" s="16">
        <f>P74*Q74*Config!$B$19</f>
        <v>1.2174604012431286E-3</v>
      </c>
    </row>
    <row r="75" spans="1:19" x14ac:dyDescent="0.45">
      <c r="A75" s="3">
        <v>74</v>
      </c>
      <c r="B75" s="3" t="s">
        <v>190</v>
      </c>
      <c r="C75" s="11" t="s">
        <v>759</v>
      </c>
      <c r="D75" s="3" t="s">
        <v>563</v>
      </c>
      <c r="E75" t="s">
        <v>154</v>
      </c>
      <c r="F75" t="s">
        <v>985</v>
      </c>
      <c r="G75" t="s">
        <v>831</v>
      </c>
      <c r="H75" t="s">
        <v>768</v>
      </c>
      <c r="I75" s="12" t="s">
        <v>1107</v>
      </c>
      <c r="K75" s="12" t="s">
        <v>1062</v>
      </c>
      <c r="L75" s="12" t="s">
        <v>1110</v>
      </c>
      <c r="M75" s="12" t="s">
        <v>838</v>
      </c>
      <c r="N75" s="14" t="s">
        <v>997</v>
      </c>
      <c r="P75" s="16">
        <f>PRODUCT(_xlfn.XLOOKUP(F75,Config!$A$2:$A$15,Config!$B$2:$B$15),_xlfn.XLOOKUP(G75,Config!$C$2:$C$7,Config!$D$2:$D$7),_xlfn.XLOOKUP(H75,Config!$E$2:$E$5,Config!$F$2:$F$5),_xlfn.XLOOKUP(I75,Config!$G$2:$G$3,Config!$H$2:$H$3),_xlfn.XLOOKUP(J75,Config!$I$2:$I$3,Config!$J$2:$J$3),_xlfn.XLOOKUP(K75,Config!$K$2:$K$3,Config!$L$2:$L$3),_xlfn.XLOOKUP(L75,Config!$M$2:$M$3,Config!$N$2:$N$3),_xlfn.XLOOKUP(M75,Config!$O$2:$O$6,Config!$P$2:$P$6))</f>
        <v>2.5434622079999998E-3</v>
      </c>
      <c r="Q75" s="22">
        <v>1</v>
      </c>
      <c r="R75" s="16">
        <f>P75*Q75*Config!$B$19</f>
        <v>1.8692321312015711E-3</v>
      </c>
    </row>
    <row r="76" spans="1:19" x14ac:dyDescent="0.45">
      <c r="A76" s="3">
        <v>75</v>
      </c>
      <c r="B76" s="11" t="s">
        <v>660</v>
      </c>
      <c r="C76" s="11" t="s">
        <v>750</v>
      </c>
      <c r="D76" s="3" t="s">
        <v>552</v>
      </c>
      <c r="E76" s="2" t="s">
        <v>105</v>
      </c>
      <c r="F76" t="s">
        <v>985</v>
      </c>
      <c r="G76" t="s">
        <v>831</v>
      </c>
      <c r="H76" t="s">
        <v>768</v>
      </c>
      <c r="I76" s="12" t="s">
        <v>1107</v>
      </c>
      <c r="K76" s="12" t="s">
        <v>1062</v>
      </c>
      <c r="L76" s="12" t="s">
        <v>1110</v>
      </c>
      <c r="M76" s="12" t="s">
        <v>838</v>
      </c>
      <c r="N76" s="12" t="s">
        <v>1190</v>
      </c>
      <c r="P76" s="16">
        <f>PRODUCT(_xlfn.XLOOKUP(F76,Config!$A$2:$A$15,Config!$B$2:$B$15),_xlfn.XLOOKUP(G76,Config!$C$2:$C$7,Config!$D$2:$D$7),_xlfn.XLOOKUP(H76,Config!$E$2:$E$5,Config!$F$2:$F$5),_xlfn.XLOOKUP(I76,Config!$G$2:$G$3,Config!$H$2:$H$3),_xlfn.XLOOKUP(J76,Config!$I$2:$I$3,Config!$J$2:$J$3),_xlfn.XLOOKUP(K76,Config!$K$2:$K$3,Config!$L$2:$L$3),_xlfn.XLOOKUP(L76,Config!$M$2:$M$3,Config!$N$2:$N$3),_xlfn.XLOOKUP(M76,Config!$O$2:$O$6,Config!$P$2:$P$6))</f>
        <v>2.5434622079999998E-3</v>
      </c>
      <c r="Q76" s="22">
        <v>1</v>
      </c>
      <c r="R76" s="16">
        <f>P76*Q76*Config!$B$19</f>
        <v>1.8692321312015711E-3</v>
      </c>
    </row>
    <row r="77" spans="1:19" x14ac:dyDescent="0.45">
      <c r="A77" s="3">
        <v>76</v>
      </c>
      <c r="B77" s="3" t="s">
        <v>190</v>
      </c>
      <c r="C77" s="11" t="s">
        <v>759</v>
      </c>
      <c r="D77" s="3" t="s">
        <v>563</v>
      </c>
      <c r="E77" t="s">
        <v>154</v>
      </c>
      <c r="F77" t="s">
        <v>986</v>
      </c>
      <c r="G77" t="s">
        <v>831</v>
      </c>
      <c r="H77" t="s">
        <v>768</v>
      </c>
      <c r="I77" s="12" t="s">
        <v>1107</v>
      </c>
      <c r="K77" s="12" t="s">
        <v>1062</v>
      </c>
      <c r="L77" s="12" t="s">
        <v>1110</v>
      </c>
      <c r="M77" s="12" t="s">
        <v>838</v>
      </c>
      <c r="N77" s="14" t="s">
        <v>997</v>
      </c>
      <c r="P77" s="16">
        <f>PRODUCT(_xlfn.XLOOKUP(F77,Config!$A$2:$A$15,Config!$B$2:$B$15),_xlfn.XLOOKUP(G77,Config!$C$2:$C$7,Config!$D$2:$D$7),_xlfn.XLOOKUP(H77,Config!$E$2:$E$5,Config!$F$2:$F$5),_xlfn.XLOOKUP(I77,Config!$G$2:$G$3,Config!$H$2:$H$3),_xlfn.XLOOKUP(J77,Config!$I$2:$I$3,Config!$J$2:$J$3),_xlfn.XLOOKUP(K77,Config!$K$2:$K$3,Config!$L$2:$L$3),_xlfn.XLOOKUP(L77,Config!$M$2:$M$3,Config!$N$2:$N$3),_xlfn.XLOOKUP(M77,Config!$O$2:$O$6,Config!$P$2:$P$6))</f>
        <v>1.4306974919999999E-3</v>
      </c>
      <c r="Q77" s="22">
        <v>1</v>
      </c>
      <c r="R77" s="16">
        <f>P77*Q77*Config!$B$19</f>
        <v>1.0514430738008838E-3</v>
      </c>
    </row>
    <row r="78" spans="1:19" x14ac:dyDescent="0.45">
      <c r="A78" s="3">
        <v>77</v>
      </c>
      <c r="B78" s="11" t="s">
        <v>660</v>
      </c>
      <c r="C78" s="11" t="s">
        <v>750</v>
      </c>
      <c r="D78" s="3" t="s">
        <v>552</v>
      </c>
      <c r="E78" s="2" t="s">
        <v>105</v>
      </c>
      <c r="F78" t="s">
        <v>986</v>
      </c>
      <c r="G78" t="s">
        <v>831</v>
      </c>
      <c r="H78" t="s">
        <v>768</v>
      </c>
      <c r="I78" s="12" t="s">
        <v>1107</v>
      </c>
      <c r="K78" s="12" t="s">
        <v>1062</v>
      </c>
      <c r="L78" s="12" t="s">
        <v>1110</v>
      </c>
      <c r="M78" s="12" t="s">
        <v>838</v>
      </c>
      <c r="N78" s="12" t="s">
        <v>1190</v>
      </c>
      <c r="O78" s="12" t="s">
        <v>1256</v>
      </c>
      <c r="P78" s="16">
        <f>PRODUCT(_xlfn.XLOOKUP(F78,Config!$A$2:$A$15,Config!$B$2:$B$15),_xlfn.XLOOKUP(G78,Config!$C$2:$C$7,Config!$D$2:$D$7),_xlfn.XLOOKUP(H78,Config!$E$2:$E$5,Config!$F$2:$F$5),_xlfn.XLOOKUP(I78,Config!$G$2:$G$3,Config!$H$2:$H$3),_xlfn.XLOOKUP(J78,Config!$I$2:$I$3,Config!$J$2:$J$3),_xlfn.XLOOKUP(K78,Config!$K$2:$K$3,Config!$L$2:$L$3),_xlfn.XLOOKUP(L78,Config!$M$2:$M$3,Config!$N$2:$N$3),_xlfn.XLOOKUP(M78,Config!$O$2:$O$6,Config!$P$2:$P$6))</f>
        <v>1.4306974919999999E-3</v>
      </c>
      <c r="Q78" s="22">
        <v>1</v>
      </c>
      <c r="R78" s="16">
        <f>P78*Q78*Config!$B$19</f>
        <v>1.0514430738008838E-3</v>
      </c>
    </row>
    <row r="79" spans="1:19" x14ac:dyDescent="0.45">
      <c r="A79" s="3">
        <v>78</v>
      </c>
      <c r="B79" s="3" t="s">
        <v>190</v>
      </c>
      <c r="C79" s="11" t="s">
        <v>759</v>
      </c>
      <c r="D79" s="3" t="s">
        <v>619</v>
      </c>
      <c r="E79" t="s">
        <v>154</v>
      </c>
      <c r="F79" t="s">
        <v>1010</v>
      </c>
      <c r="G79" t="s">
        <v>831</v>
      </c>
      <c r="H79" t="s">
        <v>768</v>
      </c>
      <c r="I79" s="12" t="s">
        <v>1107</v>
      </c>
      <c r="K79" s="12" t="s">
        <v>1062</v>
      </c>
      <c r="L79" s="12" t="s">
        <v>1110</v>
      </c>
      <c r="M79" s="12" t="s">
        <v>838</v>
      </c>
      <c r="N79" s="14" t="s">
        <v>997</v>
      </c>
      <c r="O79" t="s">
        <v>1253</v>
      </c>
      <c r="P79" s="16">
        <f>PRODUCT(_xlfn.XLOOKUP(F79,Config!$A$2:$A$15,Config!$B$2:$B$15),_xlfn.XLOOKUP(G79,Config!$C$2:$C$7,Config!$D$2:$D$7),_xlfn.XLOOKUP(H79,Config!$E$2:$E$5,Config!$F$2:$F$5),_xlfn.XLOOKUP(I79,Config!$G$2:$G$3,Config!$H$2:$H$3),_xlfn.XLOOKUP(J79,Config!$I$2:$I$3,Config!$J$2:$J$3),_xlfn.XLOOKUP(K79,Config!$K$2:$K$3,Config!$L$2:$L$3),_xlfn.XLOOKUP(L79,Config!$M$2:$M$3,Config!$N$2:$N$3),_xlfn.XLOOKUP(M79,Config!$O$2:$O$6,Config!$P$2:$P$6))</f>
        <v>1.974529872E-3</v>
      </c>
      <c r="Q79" s="22">
        <v>1</v>
      </c>
      <c r="R79" s="16">
        <f>P79*Q79*Config!$B$19</f>
        <v>1.451114417643325E-3</v>
      </c>
      <c r="S79" t="s">
        <v>655</v>
      </c>
    </row>
    <row r="80" spans="1:19" x14ac:dyDescent="0.45">
      <c r="A80" s="3">
        <v>79</v>
      </c>
      <c r="B80" s="3" t="s">
        <v>190</v>
      </c>
      <c r="C80" s="11" t="s">
        <v>759</v>
      </c>
      <c r="D80" s="3" t="s">
        <v>563</v>
      </c>
      <c r="E80" t="s">
        <v>154</v>
      </c>
      <c r="F80" t="s">
        <v>1010</v>
      </c>
      <c r="G80" t="s">
        <v>831</v>
      </c>
      <c r="H80" t="s">
        <v>768</v>
      </c>
      <c r="I80" s="12" t="s">
        <v>1107</v>
      </c>
      <c r="K80" s="12" t="s">
        <v>1062</v>
      </c>
      <c r="L80" s="12" t="s">
        <v>1110</v>
      </c>
      <c r="M80" s="12" t="s">
        <v>838</v>
      </c>
      <c r="N80" s="14" t="s">
        <v>997</v>
      </c>
      <c r="O80" t="s">
        <v>1253</v>
      </c>
      <c r="P80" s="16">
        <f>PRODUCT(_xlfn.XLOOKUP(F80,Config!$A$2:$A$15,Config!$B$2:$B$15),_xlfn.XLOOKUP(G80,Config!$C$2:$C$7,Config!$D$2:$D$7),_xlfn.XLOOKUP(H80,Config!$E$2:$E$5,Config!$F$2:$F$5),_xlfn.XLOOKUP(I80,Config!$G$2:$G$3,Config!$H$2:$H$3),_xlfn.XLOOKUP(J80,Config!$I$2:$I$3,Config!$J$2:$J$3),_xlfn.XLOOKUP(K80,Config!$K$2:$K$3,Config!$L$2:$L$3),_xlfn.XLOOKUP(L80,Config!$M$2:$M$3,Config!$N$2:$N$3),_xlfn.XLOOKUP(M80,Config!$O$2:$O$6,Config!$P$2:$P$6))</f>
        <v>1.974529872E-3</v>
      </c>
      <c r="Q80" s="22">
        <v>1</v>
      </c>
      <c r="R80" s="16">
        <f>P80*Q80*Config!$B$19</f>
        <v>1.451114417643325E-3</v>
      </c>
    </row>
    <row r="81" spans="1:18" x14ac:dyDescent="0.45">
      <c r="A81" s="3">
        <v>80</v>
      </c>
      <c r="B81" s="11" t="s">
        <v>660</v>
      </c>
      <c r="C81" s="11" t="s">
        <v>750</v>
      </c>
      <c r="D81" s="3" t="s">
        <v>558</v>
      </c>
      <c r="E81" s="2" t="s">
        <v>829</v>
      </c>
      <c r="F81" t="s">
        <v>1010</v>
      </c>
      <c r="G81" t="s">
        <v>831</v>
      </c>
      <c r="H81" t="s">
        <v>768</v>
      </c>
      <c r="I81" s="12" t="s">
        <v>1107</v>
      </c>
      <c r="K81" s="12" t="s">
        <v>1062</v>
      </c>
      <c r="L81" s="12" t="s">
        <v>1110</v>
      </c>
      <c r="M81" s="12" t="s">
        <v>838</v>
      </c>
      <c r="N81" s="14" t="s">
        <v>1003</v>
      </c>
      <c r="O81" s="2" t="s">
        <v>1252</v>
      </c>
      <c r="P81" s="16">
        <f>PRODUCT(_xlfn.XLOOKUP(F81,Config!$A$2:$A$15,Config!$B$2:$B$15),_xlfn.XLOOKUP(G81,Config!$C$2:$C$7,Config!$D$2:$D$7),_xlfn.XLOOKUP(H81,Config!$E$2:$E$5,Config!$F$2:$F$5),_xlfn.XLOOKUP(I81,Config!$G$2:$G$3,Config!$H$2:$H$3),_xlfn.XLOOKUP(J81,Config!$I$2:$I$3,Config!$J$2:$J$3),_xlfn.XLOOKUP(K81,Config!$K$2:$K$3,Config!$L$2:$L$3),_xlfn.XLOOKUP(L81,Config!$M$2:$M$3,Config!$N$2:$N$3),_xlfn.XLOOKUP(M81,Config!$O$2:$O$6,Config!$P$2:$P$6))</f>
        <v>1.974529872E-3</v>
      </c>
      <c r="Q81" s="22">
        <v>1</v>
      </c>
      <c r="R81" s="16">
        <f>P81*Q81*Config!$B$19</f>
        <v>1.451114417643325E-3</v>
      </c>
    </row>
    <row r="82" spans="1:18" x14ac:dyDescent="0.45">
      <c r="A82" s="3">
        <v>81</v>
      </c>
      <c r="B82" s="11" t="s">
        <v>660</v>
      </c>
      <c r="C82" s="11" t="s">
        <v>750</v>
      </c>
      <c r="D82" s="3" t="s">
        <v>552</v>
      </c>
      <c r="E82" s="2" t="s">
        <v>105</v>
      </c>
      <c r="F82" t="s">
        <v>1010</v>
      </c>
      <c r="G82" t="s">
        <v>831</v>
      </c>
      <c r="H82" t="s">
        <v>768</v>
      </c>
      <c r="I82" s="12" t="s">
        <v>1107</v>
      </c>
      <c r="K82" s="12" t="s">
        <v>1062</v>
      </c>
      <c r="L82" s="12" t="s">
        <v>1110</v>
      </c>
      <c r="M82" s="12" t="s">
        <v>838</v>
      </c>
      <c r="N82" s="12" t="s">
        <v>1190</v>
      </c>
      <c r="O82" s="2" t="s">
        <v>1252</v>
      </c>
      <c r="P82" s="16">
        <f>PRODUCT(_xlfn.XLOOKUP(F82,Config!$A$2:$A$15,Config!$B$2:$B$15),_xlfn.XLOOKUP(G82,Config!$C$2:$C$7,Config!$D$2:$D$7),_xlfn.XLOOKUP(H82,Config!$E$2:$E$5,Config!$F$2:$F$5),_xlfn.XLOOKUP(I82,Config!$G$2:$G$3,Config!$H$2:$H$3),_xlfn.XLOOKUP(J82,Config!$I$2:$I$3,Config!$J$2:$J$3),_xlfn.XLOOKUP(K82,Config!$K$2:$K$3,Config!$L$2:$L$3),_xlfn.XLOOKUP(L82,Config!$M$2:$M$3,Config!$N$2:$N$3),_xlfn.XLOOKUP(M82,Config!$O$2:$O$6,Config!$P$2:$P$6))</f>
        <v>1.974529872E-3</v>
      </c>
      <c r="Q82" s="22">
        <v>1</v>
      </c>
      <c r="R82" s="16">
        <f>P82*Q82*Config!$B$19</f>
        <v>1.451114417643325E-3</v>
      </c>
    </row>
    <row r="83" spans="1:18" x14ac:dyDescent="0.45">
      <c r="A83" s="3">
        <v>82</v>
      </c>
      <c r="B83" s="3" t="s">
        <v>150</v>
      </c>
      <c r="C83" s="3" t="s">
        <v>743</v>
      </c>
      <c r="D83" s="3" t="s">
        <v>283</v>
      </c>
      <c r="E83" t="s">
        <v>134</v>
      </c>
      <c r="F83" t="s">
        <v>988</v>
      </c>
      <c r="G83" t="s">
        <v>831</v>
      </c>
      <c r="H83" t="s">
        <v>768</v>
      </c>
      <c r="I83" s="12" t="s">
        <v>1107</v>
      </c>
      <c r="K83" s="12" t="s">
        <v>1062</v>
      </c>
      <c r="L83" s="12" t="s">
        <v>1110</v>
      </c>
      <c r="M83" s="12" t="s">
        <v>838</v>
      </c>
      <c r="N83" s="14" t="s">
        <v>997</v>
      </c>
      <c r="O83" t="s">
        <v>135</v>
      </c>
      <c r="P83" s="16">
        <f>PRODUCT(_xlfn.XLOOKUP(F83,Config!$A$2:$A$15,Config!$B$2:$B$15),_xlfn.XLOOKUP(G83,Config!$C$2:$C$7,Config!$D$2:$D$7),_xlfn.XLOOKUP(H83,Config!$E$2:$E$5,Config!$F$2:$F$5),_xlfn.XLOOKUP(I83,Config!$G$2:$G$3,Config!$H$2:$H$3),_xlfn.XLOOKUP(J83,Config!$I$2:$I$3,Config!$J$2:$J$3),_xlfn.XLOOKUP(K83,Config!$K$2:$K$3,Config!$L$2:$L$3),_xlfn.XLOOKUP(L83,Config!$M$2:$M$3,Config!$N$2:$N$3),_xlfn.XLOOKUP(M83,Config!$O$2:$O$6,Config!$P$2:$P$6))</f>
        <v>1.974529872E-3</v>
      </c>
      <c r="Q83" s="22">
        <v>1</v>
      </c>
      <c r="R83" s="16">
        <f>P83*Q83*Config!$B$19</f>
        <v>1.451114417643325E-3</v>
      </c>
    </row>
    <row r="84" spans="1:18" x14ac:dyDescent="0.45">
      <c r="A84" s="3">
        <v>83</v>
      </c>
      <c r="B84" s="3" t="s">
        <v>97</v>
      </c>
      <c r="C84" s="3" t="s">
        <v>801</v>
      </c>
      <c r="D84" s="3" t="s">
        <v>257</v>
      </c>
      <c r="E84" t="s">
        <v>146</v>
      </c>
      <c r="F84" t="s">
        <v>988</v>
      </c>
      <c r="G84" t="s">
        <v>831</v>
      </c>
      <c r="H84" t="s">
        <v>768</v>
      </c>
      <c r="I84" s="12" t="s">
        <v>1107</v>
      </c>
      <c r="K84" s="12" t="s">
        <v>1062</v>
      </c>
      <c r="L84" s="12" t="s">
        <v>1110</v>
      </c>
      <c r="M84" s="12" t="s">
        <v>838</v>
      </c>
      <c r="N84" s="12" t="s">
        <v>1190</v>
      </c>
      <c r="O84" t="s">
        <v>57</v>
      </c>
      <c r="P84" s="16">
        <f>PRODUCT(_xlfn.XLOOKUP(F84,Config!$A$2:$A$15,Config!$B$2:$B$15),_xlfn.XLOOKUP(G84,Config!$C$2:$C$7,Config!$D$2:$D$7),_xlfn.XLOOKUP(H84,Config!$E$2:$E$5,Config!$F$2:$F$5),_xlfn.XLOOKUP(I84,Config!$G$2:$G$3,Config!$H$2:$H$3),_xlfn.XLOOKUP(J84,Config!$I$2:$I$3,Config!$J$2:$J$3),_xlfn.XLOOKUP(K84,Config!$K$2:$K$3,Config!$L$2:$L$3),_xlfn.XLOOKUP(L84,Config!$M$2:$M$3,Config!$N$2:$N$3),_xlfn.XLOOKUP(M84,Config!$O$2:$O$6,Config!$P$2:$P$6))</f>
        <v>1.974529872E-3</v>
      </c>
      <c r="Q84" s="22">
        <v>1</v>
      </c>
      <c r="R84" s="16">
        <f>P84*Q84*Config!$B$19</f>
        <v>1.451114417643325E-3</v>
      </c>
    </row>
    <row r="85" spans="1:18" x14ac:dyDescent="0.45">
      <c r="A85" s="3">
        <v>84</v>
      </c>
      <c r="B85" s="3" t="s">
        <v>190</v>
      </c>
      <c r="C85" s="11" t="s">
        <v>759</v>
      </c>
      <c r="D85" s="3" t="s">
        <v>563</v>
      </c>
      <c r="E85" t="s">
        <v>154</v>
      </c>
      <c r="F85" t="s">
        <v>987</v>
      </c>
      <c r="G85" t="s">
        <v>831</v>
      </c>
      <c r="H85" t="s">
        <v>768</v>
      </c>
      <c r="I85" s="12" t="s">
        <v>1107</v>
      </c>
      <c r="K85" s="12" t="s">
        <v>1062</v>
      </c>
      <c r="L85" s="12" t="s">
        <v>1110</v>
      </c>
      <c r="M85" s="12" t="s">
        <v>838</v>
      </c>
      <c r="N85" s="14" t="s">
        <v>997</v>
      </c>
      <c r="P85" s="16">
        <f>PRODUCT(_xlfn.XLOOKUP(F85,Config!$A$2:$A$15,Config!$B$2:$B$15),_xlfn.XLOOKUP(G85,Config!$C$2:$C$7,Config!$D$2:$D$7),_xlfn.XLOOKUP(H85,Config!$E$2:$E$5,Config!$F$2:$F$5),_xlfn.XLOOKUP(I85,Config!$G$2:$G$3,Config!$H$2:$H$3),_xlfn.XLOOKUP(J85,Config!$I$2:$I$3,Config!$J$2:$J$3),_xlfn.XLOOKUP(K85,Config!$K$2:$K$3,Config!$L$2:$L$3),_xlfn.XLOOKUP(L85,Config!$M$2:$M$3,Config!$N$2:$N$3),_xlfn.XLOOKUP(M85,Config!$O$2:$O$6,Config!$P$2:$P$6))</f>
        <v>7.4044870199999979E-4</v>
      </c>
      <c r="Q85" s="22">
        <v>1</v>
      </c>
      <c r="R85" s="16">
        <f>P85*Q85*Config!$B$19</f>
        <v>5.4416790661624673E-4</v>
      </c>
    </row>
    <row r="86" spans="1:18" x14ac:dyDescent="0.45">
      <c r="A86" s="3">
        <v>85</v>
      </c>
      <c r="B86" s="11" t="s">
        <v>660</v>
      </c>
      <c r="C86" s="11" t="s">
        <v>750</v>
      </c>
      <c r="D86" s="3" t="s">
        <v>552</v>
      </c>
      <c r="E86" s="2" t="s">
        <v>105</v>
      </c>
      <c r="F86" t="s">
        <v>987</v>
      </c>
      <c r="G86" t="s">
        <v>831</v>
      </c>
      <c r="H86" t="s">
        <v>768</v>
      </c>
      <c r="I86" s="12" t="s">
        <v>1107</v>
      </c>
      <c r="K86" s="12" t="s">
        <v>1062</v>
      </c>
      <c r="L86" s="12" t="s">
        <v>1110</v>
      </c>
      <c r="M86" s="12" t="s">
        <v>838</v>
      </c>
      <c r="N86" s="12" t="s">
        <v>1190</v>
      </c>
      <c r="P86" s="16">
        <f>PRODUCT(_xlfn.XLOOKUP(F86,Config!$A$2:$A$15,Config!$B$2:$B$15),_xlfn.XLOOKUP(G86,Config!$C$2:$C$7,Config!$D$2:$D$7),_xlfn.XLOOKUP(H86,Config!$E$2:$E$5,Config!$F$2:$F$5),_xlfn.XLOOKUP(I86,Config!$G$2:$G$3,Config!$H$2:$H$3),_xlfn.XLOOKUP(J86,Config!$I$2:$I$3,Config!$J$2:$J$3),_xlfn.XLOOKUP(K86,Config!$K$2:$K$3,Config!$L$2:$L$3),_xlfn.XLOOKUP(L86,Config!$M$2:$M$3,Config!$N$2:$N$3),_xlfn.XLOOKUP(M86,Config!$O$2:$O$6,Config!$P$2:$P$6))</f>
        <v>7.4044870199999979E-4</v>
      </c>
      <c r="Q86" s="22">
        <v>1</v>
      </c>
      <c r="R86" s="16">
        <f>P86*Q86*Config!$B$19</f>
        <v>5.4416790661624673E-4</v>
      </c>
    </row>
    <row r="87" spans="1:18" x14ac:dyDescent="0.45">
      <c r="A87" s="3">
        <v>86</v>
      </c>
      <c r="B87" s="3" t="s">
        <v>928</v>
      </c>
      <c r="C87" s="3" t="s">
        <v>907</v>
      </c>
      <c r="D87" s="3" t="s">
        <v>908</v>
      </c>
      <c r="E87" t="s">
        <v>909</v>
      </c>
      <c r="F87" t="s">
        <v>995</v>
      </c>
      <c r="G87" t="s">
        <v>831</v>
      </c>
      <c r="H87" t="s">
        <v>768</v>
      </c>
      <c r="I87" s="12" t="s">
        <v>1107</v>
      </c>
      <c r="K87" s="12" t="s">
        <v>1062</v>
      </c>
      <c r="L87" s="12" t="s">
        <v>1110</v>
      </c>
      <c r="M87" s="12" t="s">
        <v>838</v>
      </c>
      <c r="N87" s="12" t="s">
        <v>1190</v>
      </c>
      <c r="O87" t="s">
        <v>910</v>
      </c>
      <c r="P87" s="16">
        <f>PRODUCT(_xlfn.XLOOKUP(F87,Config!$A$2:$A$15,Config!$B$2:$B$15),_xlfn.XLOOKUP(G87,Config!$C$2:$C$7,Config!$D$2:$D$7),_xlfn.XLOOKUP(H87,Config!$E$2:$E$5,Config!$F$2:$F$5),_xlfn.XLOOKUP(I87,Config!$G$2:$G$3,Config!$H$2:$H$3),_xlfn.XLOOKUP(J87,Config!$I$2:$I$3,Config!$J$2:$J$3),_xlfn.XLOOKUP(K87,Config!$K$2:$K$3,Config!$L$2:$L$3),_xlfn.XLOOKUP(L87,Config!$M$2:$M$3,Config!$N$2:$N$3),_xlfn.XLOOKUP(M87,Config!$O$2:$O$6,Config!$P$2:$P$6))</f>
        <v>7.4044870199999979E-4</v>
      </c>
      <c r="Q87" s="22">
        <v>1</v>
      </c>
      <c r="R87" s="16">
        <f>P87*Q87*Config!$B$19</f>
        <v>5.4416790661624673E-4</v>
      </c>
    </row>
    <row r="88" spans="1:18" x14ac:dyDescent="0.45">
      <c r="A88" s="3">
        <v>87</v>
      </c>
      <c r="B88" s="3" t="s">
        <v>99</v>
      </c>
      <c r="C88" s="3" t="s">
        <v>746</v>
      </c>
      <c r="D88" s="3" t="s">
        <v>284</v>
      </c>
      <c r="E88" t="s">
        <v>112</v>
      </c>
      <c r="F88" t="s">
        <v>989</v>
      </c>
      <c r="G88" t="s">
        <v>831</v>
      </c>
      <c r="H88" t="s">
        <v>768</v>
      </c>
      <c r="I88" s="12" t="s">
        <v>1107</v>
      </c>
      <c r="K88" s="12" t="s">
        <v>1062</v>
      </c>
      <c r="L88" s="12" t="s">
        <v>1110</v>
      </c>
      <c r="M88" s="12" t="s">
        <v>838</v>
      </c>
      <c r="N88" s="12" t="s">
        <v>1190</v>
      </c>
      <c r="O88" t="s">
        <v>95</v>
      </c>
      <c r="P88" s="16">
        <f>PRODUCT(_xlfn.XLOOKUP(F88,Config!$A$2:$A$15,Config!$B$2:$B$15),_xlfn.XLOOKUP(G88,Config!$C$2:$C$7,Config!$D$2:$D$7),_xlfn.XLOOKUP(H88,Config!$E$2:$E$5,Config!$F$2:$F$5),_xlfn.XLOOKUP(I88,Config!$G$2:$G$3,Config!$H$2:$H$3),_xlfn.XLOOKUP(J88,Config!$I$2:$I$3,Config!$J$2:$J$3),_xlfn.XLOOKUP(K88,Config!$K$2:$K$3,Config!$L$2:$L$3),_xlfn.XLOOKUP(L88,Config!$M$2:$M$3,Config!$N$2:$N$3),_xlfn.XLOOKUP(M88,Config!$O$2:$O$6,Config!$P$2:$P$6))</f>
        <v>1.974529872E-3</v>
      </c>
      <c r="Q88" s="22">
        <v>1</v>
      </c>
      <c r="R88" s="16">
        <f>P88*Q88*Config!$B$19</f>
        <v>1.451114417643325E-3</v>
      </c>
    </row>
    <row r="89" spans="1:18" x14ac:dyDescent="0.45">
      <c r="A89" s="3">
        <v>88</v>
      </c>
      <c r="B89" s="3" t="s">
        <v>601</v>
      </c>
      <c r="C89" s="3" t="s">
        <v>760</v>
      </c>
      <c r="D89" s="3" t="s">
        <v>780</v>
      </c>
      <c r="F89" t="s">
        <v>988</v>
      </c>
      <c r="G89" t="s">
        <v>831</v>
      </c>
      <c r="H89" t="s">
        <v>768</v>
      </c>
      <c r="I89" s="12" t="s">
        <v>1107</v>
      </c>
      <c r="K89" s="12" t="s">
        <v>1062</v>
      </c>
      <c r="L89" s="12" t="s">
        <v>1110</v>
      </c>
      <c r="M89" t="s">
        <v>837</v>
      </c>
      <c r="N89" s="14" t="s">
        <v>997</v>
      </c>
      <c r="O89" t="s">
        <v>605</v>
      </c>
      <c r="P89" s="16">
        <f>PRODUCT(_xlfn.XLOOKUP(F89,Config!$A$2:$A$15,Config!$B$2:$B$15),_xlfn.XLOOKUP(G89,Config!$C$2:$C$7,Config!$D$2:$D$7),_xlfn.XLOOKUP(H89,Config!$E$2:$E$5,Config!$F$2:$F$5),_xlfn.XLOOKUP(I89,Config!$G$2:$G$3,Config!$H$2:$H$3),_xlfn.XLOOKUP(J89,Config!$I$2:$I$3,Config!$J$2:$J$3),_xlfn.XLOOKUP(K89,Config!$K$2:$K$3,Config!$L$2:$L$3),_xlfn.XLOOKUP(L89,Config!$M$2:$M$3,Config!$N$2:$N$3),_xlfn.XLOOKUP(M89,Config!$O$2:$O$6,Config!$P$2:$P$6))</f>
        <v>1.64544156E-4</v>
      </c>
      <c r="Q89" s="22">
        <v>1</v>
      </c>
      <c r="R89" s="16">
        <f>P89*Q89*Config!$B$19</f>
        <v>1.2092620147027709E-4</v>
      </c>
    </row>
    <row r="90" spans="1:18" x14ac:dyDescent="0.45">
      <c r="A90" s="3">
        <v>89</v>
      </c>
      <c r="B90" s="3" t="s">
        <v>54</v>
      </c>
      <c r="C90" s="3" t="s">
        <v>764</v>
      </c>
      <c r="D90" s="3" t="s">
        <v>824</v>
      </c>
      <c r="F90" t="s">
        <v>988</v>
      </c>
      <c r="G90" t="s">
        <v>831</v>
      </c>
      <c r="H90" t="s">
        <v>768</v>
      </c>
      <c r="I90" s="12" t="s">
        <v>1107</v>
      </c>
      <c r="K90" s="12" t="s">
        <v>1062</v>
      </c>
      <c r="L90" s="12" t="s">
        <v>1110</v>
      </c>
      <c r="M90" t="s">
        <v>835</v>
      </c>
      <c r="N90" s="12" t="s">
        <v>1190</v>
      </c>
      <c r="O90" t="s">
        <v>247</v>
      </c>
      <c r="P90" s="16">
        <f>PRODUCT(_xlfn.XLOOKUP(F90,Config!$A$2:$A$15,Config!$B$2:$B$15),_xlfn.XLOOKUP(G90,Config!$C$2:$C$7,Config!$D$2:$D$7),_xlfn.XLOOKUP(H90,Config!$E$2:$E$5,Config!$F$2:$F$5),_xlfn.XLOOKUP(I90,Config!$G$2:$G$3,Config!$H$2:$H$3),_xlfn.XLOOKUP(J90,Config!$I$2:$I$3,Config!$J$2:$J$3),_xlfn.XLOOKUP(K90,Config!$K$2:$K$3,Config!$L$2:$L$3),_xlfn.XLOOKUP(L90,Config!$M$2:$M$3,Config!$N$2:$N$3),_xlfn.XLOOKUP(M90,Config!$O$2:$O$6,Config!$P$2:$P$6))</f>
        <v>1.64544156E-4</v>
      </c>
      <c r="Q90" s="22">
        <v>1</v>
      </c>
      <c r="R90" s="16">
        <f>P90*Q90*Config!$B$19</f>
        <v>1.2092620147027709E-4</v>
      </c>
    </row>
    <row r="91" spans="1:18" x14ac:dyDescent="0.45">
      <c r="A91" s="3">
        <v>90</v>
      </c>
      <c r="B91" s="3" t="s">
        <v>650</v>
      </c>
      <c r="C91" s="3" t="s">
        <v>761</v>
      </c>
      <c r="D91" s="3" t="s">
        <v>602</v>
      </c>
      <c r="E91" t="s">
        <v>981</v>
      </c>
      <c r="F91" t="s">
        <v>984</v>
      </c>
      <c r="G91" t="s">
        <v>831</v>
      </c>
      <c r="H91" t="s">
        <v>768</v>
      </c>
      <c r="I91" s="12" t="s">
        <v>1107</v>
      </c>
      <c r="K91" s="12" t="s">
        <v>1062</v>
      </c>
      <c r="L91" s="12" t="s">
        <v>1110</v>
      </c>
      <c r="M91" t="s">
        <v>836</v>
      </c>
      <c r="N91" s="14" t="s">
        <v>997</v>
      </c>
      <c r="P91" s="16">
        <f>PRODUCT(_xlfn.XLOOKUP(F91,Config!$A$2:$A$15,Config!$B$2:$B$15),_xlfn.XLOOKUP(G91,Config!$C$2:$C$7,Config!$D$2:$D$7),_xlfn.XLOOKUP(H91,Config!$E$2:$E$5,Config!$F$2:$F$5),_xlfn.XLOOKUP(I91,Config!$G$2:$G$3,Config!$H$2:$H$3),_xlfn.XLOOKUP(J91,Config!$I$2:$I$3,Config!$J$2:$J$3),_xlfn.XLOOKUP(K91,Config!$K$2:$K$3,Config!$L$2:$L$3),_xlfn.XLOOKUP(L91,Config!$M$2:$M$3,Config!$N$2:$N$3),_xlfn.XLOOKUP(M91,Config!$O$2:$O$6,Config!$P$2:$P$6))</f>
        <v>7.3626537599999985E-4</v>
      </c>
      <c r="Q91" s="22">
        <v>1</v>
      </c>
      <c r="R91" s="16">
        <f>P91*Q91*Config!$B$19</f>
        <v>5.4109351166361261E-4</v>
      </c>
    </row>
    <row r="92" spans="1:18" x14ac:dyDescent="0.45">
      <c r="A92" s="3">
        <v>91</v>
      </c>
      <c r="B92" s="3" t="s">
        <v>649</v>
      </c>
      <c r="C92" s="11" t="s">
        <v>766</v>
      </c>
      <c r="D92" s="3" t="s">
        <v>980</v>
      </c>
      <c r="E92" t="s">
        <v>158</v>
      </c>
      <c r="F92" t="s">
        <v>984</v>
      </c>
      <c r="G92" t="s">
        <v>831</v>
      </c>
      <c r="H92" t="s">
        <v>768</v>
      </c>
      <c r="I92" s="12" t="s">
        <v>1107</v>
      </c>
      <c r="K92" s="12" t="s">
        <v>1062</v>
      </c>
      <c r="L92" s="12" t="s">
        <v>1110</v>
      </c>
      <c r="M92" t="s">
        <v>836</v>
      </c>
      <c r="N92" s="12" t="s">
        <v>1190</v>
      </c>
      <c r="P92" s="16">
        <f>PRODUCT(_xlfn.XLOOKUP(F92,Config!$A$2:$A$15,Config!$B$2:$B$15),_xlfn.XLOOKUP(G92,Config!$C$2:$C$7,Config!$D$2:$D$7),_xlfn.XLOOKUP(H92,Config!$E$2:$E$5,Config!$F$2:$F$5),_xlfn.XLOOKUP(I92,Config!$G$2:$G$3,Config!$H$2:$H$3),_xlfn.XLOOKUP(J92,Config!$I$2:$I$3,Config!$J$2:$J$3),_xlfn.XLOOKUP(K92,Config!$K$2:$K$3,Config!$L$2:$L$3),_xlfn.XLOOKUP(L92,Config!$M$2:$M$3,Config!$N$2:$N$3),_xlfn.XLOOKUP(M92,Config!$O$2:$O$6,Config!$P$2:$P$6))</f>
        <v>7.3626537599999985E-4</v>
      </c>
      <c r="Q92" s="22">
        <v>1</v>
      </c>
      <c r="R92" s="16">
        <f>P92*Q92*Config!$B$19</f>
        <v>5.4109351166361261E-4</v>
      </c>
    </row>
    <row r="93" spans="1:18" x14ac:dyDescent="0.45">
      <c r="A93" s="3">
        <v>92</v>
      </c>
      <c r="B93" s="3" t="s">
        <v>650</v>
      </c>
      <c r="C93" s="3" t="s">
        <v>761</v>
      </c>
      <c r="D93" s="3" t="s">
        <v>602</v>
      </c>
      <c r="E93" t="s">
        <v>981</v>
      </c>
      <c r="F93" t="s">
        <v>971</v>
      </c>
      <c r="G93" t="s">
        <v>831</v>
      </c>
      <c r="H93" t="s">
        <v>768</v>
      </c>
      <c r="I93" s="12" t="s">
        <v>1107</v>
      </c>
      <c r="K93" s="12" t="s">
        <v>1062</v>
      </c>
      <c r="L93" s="12" t="s">
        <v>1110</v>
      </c>
      <c r="M93" t="s">
        <v>836</v>
      </c>
      <c r="N93" s="14" t="s">
        <v>997</v>
      </c>
      <c r="P93" s="16">
        <f>PRODUCT(_xlfn.XLOOKUP(F93,Config!$A$2:$A$15,Config!$B$2:$B$15),_xlfn.XLOOKUP(G93,Config!$C$2:$C$7,Config!$D$2:$D$7),_xlfn.XLOOKUP(H93,Config!$E$2:$E$5,Config!$F$2:$F$5),_xlfn.XLOOKUP(I93,Config!$G$2:$G$3,Config!$H$2:$H$3),_xlfn.XLOOKUP(J93,Config!$I$2:$I$3,Config!$J$2:$J$3),_xlfn.XLOOKUP(K93,Config!$K$2:$K$3,Config!$L$2:$L$3),_xlfn.XLOOKUP(L93,Config!$M$2:$M$3,Config!$N$2:$N$3),_xlfn.XLOOKUP(M93,Config!$O$2:$O$6,Config!$P$2:$P$6))</f>
        <v>4.1414927399999998E-4</v>
      </c>
      <c r="Q93" s="22">
        <v>1</v>
      </c>
      <c r="R93" s="16">
        <f>P93*Q93*Config!$B$19</f>
        <v>3.0436510031078216E-4</v>
      </c>
    </row>
    <row r="94" spans="1:18" x14ac:dyDescent="0.45">
      <c r="A94" s="3">
        <v>93</v>
      </c>
      <c r="B94" s="3" t="s">
        <v>649</v>
      </c>
      <c r="C94" s="11" t="s">
        <v>766</v>
      </c>
      <c r="D94" s="3" t="s">
        <v>980</v>
      </c>
      <c r="E94" t="s">
        <v>158</v>
      </c>
      <c r="F94" t="s">
        <v>971</v>
      </c>
      <c r="G94" t="s">
        <v>831</v>
      </c>
      <c r="H94" t="s">
        <v>768</v>
      </c>
      <c r="I94" s="12" t="s">
        <v>1107</v>
      </c>
      <c r="K94" s="12" t="s">
        <v>1062</v>
      </c>
      <c r="L94" s="12" t="s">
        <v>1110</v>
      </c>
      <c r="M94" t="s">
        <v>836</v>
      </c>
      <c r="N94" s="12" t="s">
        <v>1190</v>
      </c>
      <c r="P94" s="16">
        <f>PRODUCT(_xlfn.XLOOKUP(F94,Config!$A$2:$A$15,Config!$B$2:$B$15),_xlfn.XLOOKUP(G94,Config!$C$2:$C$7,Config!$D$2:$D$7),_xlfn.XLOOKUP(H94,Config!$E$2:$E$5,Config!$F$2:$F$5),_xlfn.XLOOKUP(I94,Config!$G$2:$G$3,Config!$H$2:$H$3),_xlfn.XLOOKUP(J94,Config!$I$2:$I$3,Config!$J$2:$J$3),_xlfn.XLOOKUP(K94,Config!$K$2:$K$3,Config!$L$2:$L$3),_xlfn.XLOOKUP(L94,Config!$M$2:$M$3,Config!$N$2:$N$3),_xlfn.XLOOKUP(M94,Config!$O$2:$O$6,Config!$P$2:$P$6))</f>
        <v>4.1414927399999998E-4</v>
      </c>
      <c r="Q94" s="22">
        <v>1</v>
      </c>
      <c r="R94" s="16">
        <f>P94*Q94*Config!$B$19</f>
        <v>3.0436510031078216E-4</v>
      </c>
    </row>
    <row r="95" spans="1:18" x14ac:dyDescent="0.45">
      <c r="A95" s="3">
        <v>94</v>
      </c>
      <c r="B95" s="3" t="s">
        <v>650</v>
      </c>
      <c r="C95" s="3" t="s">
        <v>761</v>
      </c>
      <c r="D95" s="3" t="s">
        <v>602</v>
      </c>
      <c r="E95" t="s">
        <v>981</v>
      </c>
      <c r="F95" t="s">
        <v>985</v>
      </c>
      <c r="G95" t="s">
        <v>831</v>
      </c>
      <c r="H95" t="s">
        <v>768</v>
      </c>
      <c r="I95" s="12" t="s">
        <v>1107</v>
      </c>
      <c r="K95" s="12" t="s">
        <v>1062</v>
      </c>
      <c r="L95" s="12" t="s">
        <v>1110</v>
      </c>
      <c r="M95" t="s">
        <v>836</v>
      </c>
      <c r="N95" s="14" t="s">
        <v>997</v>
      </c>
      <c r="P95" s="16">
        <f>PRODUCT(_xlfn.XLOOKUP(F95,Config!$A$2:$A$15,Config!$B$2:$B$15),_xlfn.XLOOKUP(G95,Config!$C$2:$C$7,Config!$D$2:$D$7),_xlfn.XLOOKUP(H95,Config!$E$2:$E$5,Config!$F$2:$F$5),_xlfn.XLOOKUP(I95,Config!$G$2:$G$3,Config!$H$2:$H$3),_xlfn.XLOOKUP(J95,Config!$I$2:$I$3,Config!$J$2:$J$3),_xlfn.XLOOKUP(K95,Config!$K$2:$K$3,Config!$L$2:$L$3),_xlfn.XLOOKUP(L95,Config!$M$2:$M$3,Config!$N$2:$N$3),_xlfn.XLOOKUP(M95,Config!$O$2:$O$6,Config!$P$2:$P$6))</f>
        <v>6.3586555199999996E-4</v>
      </c>
      <c r="Q95" s="22">
        <v>1</v>
      </c>
      <c r="R95" s="16">
        <f>P95*Q95*Config!$B$19</f>
        <v>4.6730803280039277E-4</v>
      </c>
    </row>
    <row r="96" spans="1:18" x14ac:dyDescent="0.45">
      <c r="A96" s="3">
        <v>95</v>
      </c>
      <c r="B96" s="3" t="s">
        <v>649</v>
      </c>
      <c r="C96" s="11" t="s">
        <v>766</v>
      </c>
      <c r="D96" s="3" t="s">
        <v>980</v>
      </c>
      <c r="E96" t="s">
        <v>158</v>
      </c>
      <c r="F96" t="s">
        <v>985</v>
      </c>
      <c r="G96" t="s">
        <v>831</v>
      </c>
      <c r="H96" t="s">
        <v>768</v>
      </c>
      <c r="I96" s="12" t="s">
        <v>1107</v>
      </c>
      <c r="K96" s="12" t="s">
        <v>1062</v>
      </c>
      <c r="L96" s="12" t="s">
        <v>1110</v>
      </c>
      <c r="M96" t="s">
        <v>836</v>
      </c>
      <c r="N96" s="12" t="s">
        <v>1190</v>
      </c>
      <c r="P96" s="16">
        <f>PRODUCT(_xlfn.XLOOKUP(F96,Config!$A$2:$A$15,Config!$B$2:$B$15),_xlfn.XLOOKUP(G96,Config!$C$2:$C$7,Config!$D$2:$D$7),_xlfn.XLOOKUP(H96,Config!$E$2:$E$5,Config!$F$2:$F$5),_xlfn.XLOOKUP(I96,Config!$G$2:$G$3,Config!$H$2:$H$3),_xlfn.XLOOKUP(J96,Config!$I$2:$I$3,Config!$J$2:$J$3),_xlfn.XLOOKUP(K96,Config!$K$2:$K$3,Config!$L$2:$L$3),_xlfn.XLOOKUP(L96,Config!$M$2:$M$3,Config!$N$2:$N$3),_xlfn.XLOOKUP(M96,Config!$O$2:$O$6,Config!$P$2:$P$6))</f>
        <v>6.3586555199999996E-4</v>
      </c>
      <c r="Q96" s="22">
        <v>1</v>
      </c>
      <c r="R96" s="16">
        <f>P96*Q96*Config!$B$19</f>
        <v>4.6730803280039277E-4</v>
      </c>
    </row>
    <row r="97" spans="1:18" x14ac:dyDescent="0.45">
      <c r="A97" s="3">
        <v>96</v>
      </c>
      <c r="B97" s="3" t="s">
        <v>650</v>
      </c>
      <c r="C97" s="3" t="s">
        <v>761</v>
      </c>
      <c r="D97" s="3" t="s">
        <v>602</v>
      </c>
      <c r="E97" t="s">
        <v>981</v>
      </c>
      <c r="F97" t="s">
        <v>986</v>
      </c>
      <c r="G97" t="s">
        <v>831</v>
      </c>
      <c r="H97" t="s">
        <v>768</v>
      </c>
      <c r="I97" s="12" t="s">
        <v>1107</v>
      </c>
      <c r="K97" s="12" t="s">
        <v>1062</v>
      </c>
      <c r="L97" s="12" t="s">
        <v>1110</v>
      </c>
      <c r="M97" t="s">
        <v>836</v>
      </c>
      <c r="N97" s="14" t="s">
        <v>997</v>
      </c>
      <c r="P97" s="16">
        <f>PRODUCT(_xlfn.XLOOKUP(F97,Config!$A$2:$A$15,Config!$B$2:$B$15),_xlfn.XLOOKUP(G97,Config!$C$2:$C$7,Config!$D$2:$D$7),_xlfn.XLOOKUP(H97,Config!$E$2:$E$5,Config!$F$2:$F$5),_xlfn.XLOOKUP(I97,Config!$G$2:$G$3,Config!$H$2:$H$3),_xlfn.XLOOKUP(J97,Config!$I$2:$I$3,Config!$J$2:$J$3),_xlfn.XLOOKUP(K97,Config!$K$2:$K$3,Config!$L$2:$L$3),_xlfn.XLOOKUP(L97,Config!$M$2:$M$3,Config!$N$2:$N$3),_xlfn.XLOOKUP(M97,Config!$O$2:$O$6,Config!$P$2:$P$6))</f>
        <v>3.5767437299999996E-4</v>
      </c>
      <c r="Q97" s="22">
        <v>1</v>
      </c>
      <c r="R97" s="16">
        <f>P97*Q97*Config!$B$19</f>
        <v>2.6286076845022095E-4</v>
      </c>
    </row>
    <row r="98" spans="1:18" x14ac:dyDescent="0.45">
      <c r="A98" s="3">
        <v>97</v>
      </c>
      <c r="B98" s="3" t="s">
        <v>649</v>
      </c>
      <c r="C98" s="11" t="s">
        <v>766</v>
      </c>
      <c r="D98" s="3" t="s">
        <v>980</v>
      </c>
      <c r="E98" t="s">
        <v>158</v>
      </c>
      <c r="F98" t="s">
        <v>986</v>
      </c>
      <c r="G98" t="s">
        <v>831</v>
      </c>
      <c r="H98" t="s">
        <v>768</v>
      </c>
      <c r="I98" s="12" t="s">
        <v>1107</v>
      </c>
      <c r="K98" s="12" t="s">
        <v>1062</v>
      </c>
      <c r="L98" s="12" t="s">
        <v>1110</v>
      </c>
      <c r="M98" t="s">
        <v>836</v>
      </c>
      <c r="N98" s="12" t="s">
        <v>1190</v>
      </c>
      <c r="P98" s="16">
        <f>PRODUCT(_xlfn.XLOOKUP(F98,Config!$A$2:$A$15,Config!$B$2:$B$15),_xlfn.XLOOKUP(G98,Config!$C$2:$C$7,Config!$D$2:$D$7),_xlfn.XLOOKUP(H98,Config!$E$2:$E$5,Config!$F$2:$F$5),_xlfn.XLOOKUP(I98,Config!$G$2:$G$3,Config!$H$2:$H$3),_xlfn.XLOOKUP(J98,Config!$I$2:$I$3,Config!$J$2:$J$3),_xlfn.XLOOKUP(K98,Config!$K$2:$K$3,Config!$L$2:$L$3),_xlfn.XLOOKUP(L98,Config!$M$2:$M$3,Config!$N$2:$N$3),_xlfn.XLOOKUP(M98,Config!$O$2:$O$6,Config!$P$2:$P$6))</f>
        <v>3.5767437299999996E-4</v>
      </c>
      <c r="Q98" s="22">
        <v>1</v>
      </c>
      <c r="R98" s="16">
        <f>P98*Q98*Config!$B$19</f>
        <v>2.6286076845022095E-4</v>
      </c>
    </row>
    <row r="99" spans="1:18" x14ac:dyDescent="0.45">
      <c r="A99" s="3">
        <v>98</v>
      </c>
      <c r="B99" s="3" t="s">
        <v>650</v>
      </c>
      <c r="C99" s="3" t="s">
        <v>761</v>
      </c>
      <c r="D99" s="3" t="s">
        <v>602</v>
      </c>
      <c r="E99" t="s">
        <v>981</v>
      </c>
      <c r="F99" t="s">
        <v>1010</v>
      </c>
      <c r="G99" t="s">
        <v>831</v>
      </c>
      <c r="H99" t="s">
        <v>768</v>
      </c>
      <c r="I99" s="12" t="s">
        <v>1107</v>
      </c>
      <c r="K99" s="12" t="s">
        <v>1062</v>
      </c>
      <c r="L99" s="12" t="s">
        <v>1110</v>
      </c>
      <c r="M99" t="s">
        <v>836</v>
      </c>
      <c r="N99" s="14" t="s">
        <v>997</v>
      </c>
      <c r="O99" t="s">
        <v>609</v>
      </c>
      <c r="P99" s="16">
        <f>PRODUCT(_xlfn.XLOOKUP(F99,Config!$A$2:$A$15,Config!$B$2:$B$15),_xlfn.XLOOKUP(G99,Config!$C$2:$C$7,Config!$D$2:$D$7),_xlfn.XLOOKUP(H99,Config!$E$2:$E$5,Config!$F$2:$F$5),_xlfn.XLOOKUP(I99,Config!$G$2:$G$3,Config!$H$2:$H$3),_xlfn.XLOOKUP(J99,Config!$I$2:$I$3,Config!$J$2:$J$3),_xlfn.XLOOKUP(K99,Config!$K$2:$K$3,Config!$L$2:$L$3),_xlfn.XLOOKUP(L99,Config!$M$2:$M$3,Config!$N$2:$N$3),_xlfn.XLOOKUP(M99,Config!$O$2:$O$6,Config!$P$2:$P$6))</f>
        <v>4.9363246800000001E-4</v>
      </c>
      <c r="Q99" s="22">
        <v>1</v>
      </c>
      <c r="R99" s="16">
        <f>P99*Q99*Config!$B$19</f>
        <v>3.6277860441083124E-4</v>
      </c>
    </row>
    <row r="100" spans="1:18" x14ac:dyDescent="0.45">
      <c r="A100" s="3">
        <v>99</v>
      </c>
      <c r="B100" s="3" t="s">
        <v>649</v>
      </c>
      <c r="C100" s="11" t="s">
        <v>766</v>
      </c>
      <c r="D100" s="3" t="s">
        <v>696</v>
      </c>
      <c r="E100" t="s">
        <v>1016</v>
      </c>
      <c r="F100" t="s">
        <v>1010</v>
      </c>
      <c r="G100" t="s">
        <v>831</v>
      </c>
      <c r="H100" t="s">
        <v>768</v>
      </c>
      <c r="I100" s="12" t="s">
        <v>1107</v>
      </c>
      <c r="K100" s="12" t="s">
        <v>1062</v>
      </c>
      <c r="L100" s="12" t="s">
        <v>1110</v>
      </c>
      <c r="M100" t="s">
        <v>836</v>
      </c>
      <c r="N100" s="14" t="s">
        <v>1003</v>
      </c>
      <c r="O100" t="s">
        <v>157</v>
      </c>
      <c r="P100" s="16">
        <f>PRODUCT(_xlfn.XLOOKUP(F100,Config!$A$2:$A$15,Config!$B$2:$B$15),_xlfn.XLOOKUP(G100,Config!$C$2:$C$7,Config!$D$2:$D$7),_xlfn.XLOOKUP(H100,Config!$E$2:$E$5,Config!$F$2:$F$5),_xlfn.XLOOKUP(I100,Config!$G$2:$G$3,Config!$H$2:$H$3),_xlfn.XLOOKUP(J100,Config!$I$2:$I$3,Config!$J$2:$J$3),_xlfn.XLOOKUP(K100,Config!$K$2:$K$3,Config!$L$2:$L$3),_xlfn.XLOOKUP(L100,Config!$M$2:$M$3,Config!$N$2:$N$3),_xlfn.XLOOKUP(M100,Config!$O$2:$O$6,Config!$P$2:$P$6))</f>
        <v>4.9363246800000001E-4</v>
      </c>
      <c r="Q100" s="22">
        <v>1</v>
      </c>
      <c r="R100" s="16">
        <f>P100*Q100*Config!$B$19</f>
        <v>3.6277860441083124E-4</v>
      </c>
    </row>
    <row r="101" spans="1:18" x14ac:dyDescent="0.45">
      <c r="A101" s="3">
        <v>100</v>
      </c>
      <c r="B101" s="3" t="s">
        <v>649</v>
      </c>
      <c r="C101" s="11" t="s">
        <v>766</v>
      </c>
      <c r="D101" s="3" t="s">
        <v>980</v>
      </c>
      <c r="E101" t="s">
        <v>158</v>
      </c>
      <c r="F101" t="s">
        <v>1010</v>
      </c>
      <c r="G101" t="s">
        <v>831</v>
      </c>
      <c r="H101" t="s">
        <v>768</v>
      </c>
      <c r="I101" s="12" t="s">
        <v>1107</v>
      </c>
      <c r="K101" s="12" t="s">
        <v>1062</v>
      </c>
      <c r="L101" s="12" t="s">
        <v>1110</v>
      </c>
      <c r="M101" t="s">
        <v>836</v>
      </c>
      <c r="N101" s="12" t="s">
        <v>1190</v>
      </c>
      <c r="O101" t="s">
        <v>157</v>
      </c>
      <c r="P101" s="16">
        <f>PRODUCT(_xlfn.XLOOKUP(F101,Config!$A$2:$A$15,Config!$B$2:$B$15),_xlfn.XLOOKUP(G101,Config!$C$2:$C$7,Config!$D$2:$D$7),_xlfn.XLOOKUP(H101,Config!$E$2:$E$5,Config!$F$2:$F$5),_xlfn.XLOOKUP(I101,Config!$G$2:$G$3,Config!$H$2:$H$3),_xlfn.XLOOKUP(J101,Config!$I$2:$I$3,Config!$J$2:$J$3),_xlfn.XLOOKUP(K101,Config!$K$2:$K$3,Config!$L$2:$L$3),_xlfn.XLOOKUP(L101,Config!$M$2:$M$3,Config!$N$2:$N$3),_xlfn.XLOOKUP(M101,Config!$O$2:$O$6,Config!$P$2:$P$6))</f>
        <v>4.9363246800000001E-4</v>
      </c>
      <c r="Q101" s="22">
        <v>1</v>
      </c>
      <c r="R101" s="16">
        <f>P101*Q101*Config!$B$19</f>
        <v>3.6277860441083124E-4</v>
      </c>
    </row>
    <row r="102" spans="1:18" x14ac:dyDescent="0.45">
      <c r="A102" s="3">
        <v>101</v>
      </c>
      <c r="B102" s="3" t="s">
        <v>151</v>
      </c>
      <c r="C102" s="3" t="s">
        <v>752</v>
      </c>
      <c r="D102" s="3" t="s">
        <v>279</v>
      </c>
      <c r="E102" t="s">
        <v>136</v>
      </c>
      <c r="F102" t="s">
        <v>988</v>
      </c>
      <c r="G102" t="s">
        <v>831</v>
      </c>
      <c r="H102" t="s">
        <v>768</v>
      </c>
      <c r="I102" s="12" t="s">
        <v>1107</v>
      </c>
      <c r="K102" s="12" t="s">
        <v>1062</v>
      </c>
      <c r="L102" s="12" t="s">
        <v>1110</v>
      </c>
      <c r="M102" t="s">
        <v>836</v>
      </c>
      <c r="N102" s="14" t="s">
        <v>997</v>
      </c>
      <c r="O102" t="s">
        <v>137</v>
      </c>
      <c r="P102" s="16">
        <f>PRODUCT(_xlfn.XLOOKUP(F102,Config!$A$2:$A$15,Config!$B$2:$B$15),_xlfn.XLOOKUP(G102,Config!$C$2:$C$7,Config!$D$2:$D$7),_xlfn.XLOOKUP(H102,Config!$E$2:$E$5,Config!$F$2:$F$5),_xlfn.XLOOKUP(I102,Config!$G$2:$G$3,Config!$H$2:$H$3),_xlfn.XLOOKUP(J102,Config!$I$2:$I$3,Config!$J$2:$J$3),_xlfn.XLOOKUP(K102,Config!$K$2:$K$3,Config!$L$2:$L$3),_xlfn.XLOOKUP(L102,Config!$M$2:$M$3,Config!$N$2:$N$3),_xlfn.XLOOKUP(M102,Config!$O$2:$O$6,Config!$P$2:$P$6))</f>
        <v>4.9363246800000001E-4</v>
      </c>
      <c r="Q102" s="22">
        <v>1</v>
      </c>
      <c r="R102" s="16">
        <f>P102*Q102*Config!$B$19</f>
        <v>3.6277860441083124E-4</v>
      </c>
    </row>
    <row r="103" spans="1:18" x14ac:dyDescent="0.45">
      <c r="A103" s="3">
        <v>102</v>
      </c>
      <c r="B103" s="3" t="s">
        <v>52</v>
      </c>
      <c r="C103" s="3" t="s">
        <v>751</v>
      </c>
      <c r="D103" s="3" t="s">
        <v>278</v>
      </c>
      <c r="E103" s="2" t="s">
        <v>121</v>
      </c>
      <c r="F103" t="s">
        <v>988</v>
      </c>
      <c r="G103" t="s">
        <v>831</v>
      </c>
      <c r="H103" t="s">
        <v>768</v>
      </c>
      <c r="I103" s="12" t="s">
        <v>1107</v>
      </c>
      <c r="K103" s="12" t="s">
        <v>1062</v>
      </c>
      <c r="L103" s="12" t="s">
        <v>1110</v>
      </c>
      <c r="M103" t="s">
        <v>836</v>
      </c>
      <c r="N103" s="12" t="s">
        <v>1190</v>
      </c>
      <c r="O103" s="2" t="s">
        <v>124</v>
      </c>
      <c r="P103" s="16">
        <f>PRODUCT(_xlfn.XLOOKUP(F103,Config!$A$2:$A$15,Config!$B$2:$B$15),_xlfn.XLOOKUP(G103,Config!$C$2:$C$7,Config!$D$2:$D$7),_xlfn.XLOOKUP(H103,Config!$E$2:$E$5,Config!$F$2:$F$5),_xlfn.XLOOKUP(I103,Config!$G$2:$G$3,Config!$H$2:$H$3),_xlfn.XLOOKUP(J103,Config!$I$2:$I$3,Config!$J$2:$J$3),_xlfn.XLOOKUP(K103,Config!$K$2:$K$3,Config!$L$2:$L$3),_xlfn.XLOOKUP(L103,Config!$M$2:$M$3,Config!$N$2:$N$3),_xlfn.XLOOKUP(M103,Config!$O$2:$O$6,Config!$P$2:$P$6))</f>
        <v>4.9363246800000001E-4</v>
      </c>
      <c r="Q103" s="22">
        <v>1</v>
      </c>
      <c r="R103" s="16">
        <f>P103*Q103*Config!$B$19</f>
        <v>3.6277860441083124E-4</v>
      </c>
    </row>
    <row r="104" spans="1:18" x14ac:dyDescent="0.45">
      <c r="A104" s="3">
        <v>103</v>
      </c>
      <c r="B104" s="3" t="s">
        <v>650</v>
      </c>
      <c r="C104" s="3" t="s">
        <v>761</v>
      </c>
      <c r="D104" s="3" t="s">
        <v>602</v>
      </c>
      <c r="E104" t="s">
        <v>981</v>
      </c>
      <c r="F104" t="s">
        <v>987</v>
      </c>
      <c r="G104" t="s">
        <v>831</v>
      </c>
      <c r="H104" t="s">
        <v>768</v>
      </c>
      <c r="I104" s="12" t="s">
        <v>1107</v>
      </c>
      <c r="K104" s="12" t="s">
        <v>1062</v>
      </c>
      <c r="L104" s="12" t="s">
        <v>1110</v>
      </c>
      <c r="M104" t="s">
        <v>836</v>
      </c>
      <c r="N104" s="14" t="s">
        <v>997</v>
      </c>
      <c r="P104" s="16">
        <f>PRODUCT(_xlfn.XLOOKUP(F104,Config!$A$2:$A$15,Config!$B$2:$B$15),_xlfn.XLOOKUP(G104,Config!$C$2:$C$7,Config!$D$2:$D$7),_xlfn.XLOOKUP(H104,Config!$E$2:$E$5,Config!$F$2:$F$5),_xlfn.XLOOKUP(I104,Config!$G$2:$G$3,Config!$H$2:$H$3),_xlfn.XLOOKUP(J104,Config!$I$2:$I$3,Config!$J$2:$J$3),_xlfn.XLOOKUP(K104,Config!$K$2:$K$3,Config!$L$2:$L$3),_xlfn.XLOOKUP(L104,Config!$M$2:$M$3,Config!$N$2:$N$3),_xlfn.XLOOKUP(M104,Config!$O$2:$O$6,Config!$P$2:$P$6))</f>
        <v>1.8511217549999995E-4</v>
      </c>
      <c r="Q104" s="22">
        <v>1</v>
      </c>
      <c r="R104" s="16">
        <f>P104*Q104*Config!$B$19</f>
        <v>1.3604197665406168E-4</v>
      </c>
    </row>
    <row r="105" spans="1:18" x14ac:dyDescent="0.45">
      <c r="A105" s="3">
        <v>104</v>
      </c>
      <c r="B105" s="3" t="s">
        <v>649</v>
      </c>
      <c r="C105" s="11" t="s">
        <v>766</v>
      </c>
      <c r="D105" s="3" t="s">
        <v>980</v>
      </c>
      <c r="E105" t="s">
        <v>158</v>
      </c>
      <c r="F105" t="s">
        <v>987</v>
      </c>
      <c r="G105" t="s">
        <v>831</v>
      </c>
      <c r="H105" t="s">
        <v>768</v>
      </c>
      <c r="I105" s="12" t="s">
        <v>1107</v>
      </c>
      <c r="K105" s="12" t="s">
        <v>1062</v>
      </c>
      <c r="L105" s="12" t="s">
        <v>1110</v>
      </c>
      <c r="M105" t="s">
        <v>836</v>
      </c>
      <c r="N105" s="12" t="s">
        <v>1190</v>
      </c>
      <c r="P105" s="16">
        <f>PRODUCT(_xlfn.XLOOKUP(F105,Config!$A$2:$A$15,Config!$B$2:$B$15),_xlfn.XLOOKUP(G105,Config!$C$2:$C$7,Config!$D$2:$D$7),_xlfn.XLOOKUP(H105,Config!$E$2:$E$5,Config!$F$2:$F$5),_xlfn.XLOOKUP(I105,Config!$G$2:$G$3,Config!$H$2:$H$3),_xlfn.XLOOKUP(J105,Config!$I$2:$I$3,Config!$J$2:$J$3),_xlfn.XLOOKUP(K105,Config!$K$2:$K$3,Config!$L$2:$L$3),_xlfn.XLOOKUP(L105,Config!$M$2:$M$3,Config!$N$2:$N$3),_xlfn.XLOOKUP(M105,Config!$O$2:$O$6,Config!$P$2:$P$6))</f>
        <v>1.8511217549999995E-4</v>
      </c>
      <c r="Q105" s="22">
        <v>1</v>
      </c>
      <c r="R105" s="16">
        <f>P105*Q105*Config!$B$19</f>
        <v>1.3604197665406168E-4</v>
      </c>
    </row>
    <row r="106" spans="1:18" x14ac:dyDescent="0.45">
      <c r="A106" s="3">
        <v>105</v>
      </c>
      <c r="B106" s="3" t="s">
        <v>242</v>
      </c>
      <c r="C106" s="3" t="s">
        <v>747</v>
      </c>
      <c r="D106" s="3" t="s">
        <v>267</v>
      </c>
      <c r="E106" t="s">
        <v>147</v>
      </c>
      <c r="F106" t="s">
        <v>988</v>
      </c>
      <c r="G106" t="s">
        <v>831</v>
      </c>
      <c r="H106" t="s">
        <v>768</v>
      </c>
      <c r="I106" s="12" t="s">
        <v>1107</v>
      </c>
      <c r="K106" s="12" t="s">
        <v>1062</v>
      </c>
      <c r="L106" t="s">
        <v>1111</v>
      </c>
      <c r="M106" s="12" t="s">
        <v>838</v>
      </c>
      <c r="N106" s="12" t="s">
        <v>1190</v>
      </c>
      <c r="O106" t="s">
        <v>102</v>
      </c>
      <c r="P106" s="16">
        <f>PRODUCT(_xlfn.XLOOKUP(F106,Config!$A$2:$A$15,Config!$B$2:$B$15),_xlfn.XLOOKUP(G106,Config!$C$2:$C$7,Config!$D$2:$D$7),_xlfn.XLOOKUP(H106,Config!$E$2:$E$5,Config!$F$2:$F$5),_xlfn.XLOOKUP(I106,Config!$G$2:$G$3,Config!$H$2:$H$3),_xlfn.XLOOKUP(J106,Config!$I$2:$I$3,Config!$J$2:$J$3),_xlfn.XLOOKUP(K106,Config!$K$2:$K$3,Config!$L$2:$L$3),_xlfn.XLOOKUP(L106,Config!$M$2:$M$3,Config!$N$2:$N$3),_xlfn.XLOOKUP(M106,Config!$O$2:$O$6,Config!$P$2:$P$6))</f>
        <v>3.4844644799999998E-4</v>
      </c>
      <c r="Q106" s="22">
        <v>1</v>
      </c>
      <c r="R106" s="16">
        <f>P106*Q106*Config!$B$19</f>
        <v>2.5607901487823383E-4</v>
      </c>
    </row>
    <row r="107" spans="1:18" x14ac:dyDescent="0.45">
      <c r="A107" s="3">
        <v>106</v>
      </c>
      <c r="B107" s="3" t="s">
        <v>244</v>
      </c>
      <c r="C107" s="3" t="s">
        <v>748</v>
      </c>
      <c r="D107" s="3" t="s">
        <v>268</v>
      </c>
      <c r="E107" t="s">
        <v>149</v>
      </c>
      <c r="F107" t="s">
        <v>989</v>
      </c>
      <c r="G107" t="s">
        <v>831</v>
      </c>
      <c r="H107" t="s">
        <v>768</v>
      </c>
      <c r="I107" s="12" t="s">
        <v>1107</v>
      </c>
      <c r="K107" s="12" t="s">
        <v>1062</v>
      </c>
      <c r="L107" t="s">
        <v>1111</v>
      </c>
      <c r="M107" s="12" t="s">
        <v>838</v>
      </c>
      <c r="N107" s="12" t="s">
        <v>1190</v>
      </c>
      <c r="O107" t="s">
        <v>104</v>
      </c>
      <c r="P107" s="16">
        <f>PRODUCT(_xlfn.XLOOKUP(F107,Config!$A$2:$A$15,Config!$B$2:$B$15),_xlfn.XLOOKUP(G107,Config!$C$2:$C$7,Config!$D$2:$D$7),_xlfn.XLOOKUP(H107,Config!$E$2:$E$5,Config!$F$2:$F$5),_xlfn.XLOOKUP(I107,Config!$G$2:$G$3,Config!$H$2:$H$3),_xlfn.XLOOKUP(J107,Config!$I$2:$I$3,Config!$J$2:$J$3),_xlfn.XLOOKUP(K107,Config!$K$2:$K$3,Config!$L$2:$L$3),_xlfn.XLOOKUP(L107,Config!$M$2:$M$3,Config!$N$2:$N$3),_xlfn.XLOOKUP(M107,Config!$O$2:$O$6,Config!$P$2:$P$6))</f>
        <v>3.4844644799999998E-4</v>
      </c>
      <c r="Q107" s="22">
        <v>1</v>
      </c>
      <c r="R107" s="16">
        <f>P107*Q107*Config!$B$19</f>
        <v>2.5607901487823383E-4</v>
      </c>
    </row>
    <row r="108" spans="1:18" x14ac:dyDescent="0.45">
      <c r="A108" s="3">
        <v>107</v>
      </c>
      <c r="B108" s="11" t="s">
        <v>661</v>
      </c>
      <c r="C108" s="11" t="s">
        <v>549</v>
      </c>
      <c r="D108" s="3" t="s">
        <v>553</v>
      </c>
      <c r="E108" s="2" t="s">
        <v>106</v>
      </c>
      <c r="F108" t="s">
        <v>984</v>
      </c>
      <c r="G108" t="s">
        <v>831</v>
      </c>
      <c r="H108" s="2" t="s">
        <v>808</v>
      </c>
      <c r="I108" s="12" t="s">
        <v>1107</v>
      </c>
      <c r="J108" s="2"/>
      <c r="K108" s="12" t="s">
        <v>1062</v>
      </c>
      <c r="L108" s="12" t="s">
        <v>1110</v>
      </c>
      <c r="M108" s="12" t="s">
        <v>838</v>
      </c>
      <c r="N108" s="12" t="s">
        <v>1190</v>
      </c>
      <c r="P108" s="16">
        <f>PRODUCT(_xlfn.XLOOKUP(F108,Config!$A$2:$A$15,Config!$B$2:$B$15),_xlfn.XLOOKUP(G108,Config!$C$2:$C$7,Config!$D$2:$D$7),_xlfn.XLOOKUP(H108,Config!$E$2:$E$5,Config!$F$2:$F$5),_xlfn.XLOOKUP(I108,Config!$G$2:$G$3,Config!$H$2:$H$3),_xlfn.XLOOKUP(J108,Config!$I$2:$I$3,Config!$J$2:$J$3),_xlfn.XLOOKUP(K108,Config!$K$2:$K$3,Config!$L$2:$L$3),_xlfn.XLOOKUP(L108,Config!$M$2:$M$3,Config!$N$2:$N$3),_xlfn.XLOOKUP(M108,Config!$O$2:$O$6,Config!$P$2:$P$6))</f>
        <v>8.0989191360000008E-3</v>
      </c>
      <c r="Q108" s="22">
        <v>0.25</v>
      </c>
      <c r="R108" s="16">
        <f>P108*Q108*Config!$B$19</f>
        <v>1.488007157074935E-3</v>
      </c>
    </row>
    <row r="109" spans="1:18" x14ac:dyDescent="0.45">
      <c r="A109" s="3">
        <v>108</v>
      </c>
      <c r="B109" s="11" t="s">
        <v>661</v>
      </c>
      <c r="C109" s="11" t="s">
        <v>549</v>
      </c>
      <c r="D109" s="3" t="s">
        <v>553</v>
      </c>
      <c r="E109" s="2" t="s">
        <v>106</v>
      </c>
      <c r="F109" t="s">
        <v>971</v>
      </c>
      <c r="G109" t="s">
        <v>831</v>
      </c>
      <c r="H109" s="2" t="s">
        <v>808</v>
      </c>
      <c r="I109" s="12" t="s">
        <v>1107</v>
      </c>
      <c r="J109" s="2"/>
      <c r="K109" s="12" t="s">
        <v>1062</v>
      </c>
      <c r="L109" s="12" t="s">
        <v>1110</v>
      </c>
      <c r="M109" s="12" t="s">
        <v>838</v>
      </c>
      <c r="N109" s="12" t="s">
        <v>1190</v>
      </c>
      <c r="P109" s="16">
        <f>PRODUCT(_xlfn.XLOOKUP(F109,Config!$A$2:$A$15,Config!$B$2:$B$15),_xlfn.XLOOKUP(G109,Config!$C$2:$C$7,Config!$D$2:$D$7),_xlfn.XLOOKUP(H109,Config!$E$2:$E$5,Config!$F$2:$F$5),_xlfn.XLOOKUP(I109,Config!$G$2:$G$3,Config!$H$2:$H$3),_xlfn.XLOOKUP(J109,Config!$I$2:$I$3,Config!$J$2:$J$3),_xlfn.XLOOKUP(K109,Config!$K$2:$K$3,Config!$L$2:$L$3),_xlfn.XLOOKUP(L109,Config!$M$2:$M$3,Config!$N$2:$N$3),_xlfn.XLOOKUP(M109,Config!$O$2:$O$6,Config!$P$2:$P$6))</f>
        <v>4.5556420139999994E-3</v>
      </c>
      <c r="Q109" s="22">
        <v>0.25</v>
      </c>
      <c r="R109" s="16">
        <f>P109*Q109*Config!$B$19</f>
        <v>8.370040258546508E-4</v>
      </c>
    </row>
    <row r="110" spans="1:18" x14ac:dyDescent="0.45">
      <c r="A110" s="3">
        <v>109</v>
      </c>
      <c r="B110" s="11" t="s">
        <v>661</v>
      </c>
      <c r="C110" s="11" t="s">
        <v>549</v>
      </c>
      <c r="D110" s="3" t="s">
        <v>553</v>
      </c>
      <c r="E110" s="2" t="s">
        <v>106</v>
      </c>
      <c r="F110" t="s">
        <v>985</v>
      </c>
      <c r="G110" t="s">
        <v>831</v>
      </c>
      <c r="H110" s="2" t="s">
        <v>808</v>
      </c>
      <c r="I110" s="12" t="s">
        <v>1107</v>
      </c>
      <c r="J110" s="2"/>
      <c r="K110" s="12" t="s">
        <v>1062</v>
      </c>
      <c r="L110" s="12" t="s">
        <v>1110</v>
      </c>
      <c r="M110" s="12" t="s">
        <v>838</v>
      </c>
      <c r="N110" s="12" t="s">
        <v>1190</v>
      </c>
      <c r="P110" s="16">
        <f>PRODUCT(_xlfn.XLOOKUP(F110,Config!$A$2:$A$15,Config!$B$2:$B$15),_xlfn.XLOOKUP(G110,Config!$C$2:$C$7,Config!$D$2:$D$7),_xlfn.XLOOKUP(H110,Config!$E$2:$E$5,Config!$F$2:$F$5),_xlfn.XLOOKUP(I110,Config!$G$2:$G$3,Config!$H$2:$H$3),_xlfn.XLOOKUP(J110,Config!$I$2:$I$3,Config!$J$2:$J$3),_xlfn.XLOOKUP(K110,Config!$K$2:$K$3,Config!$L$2:$L$3),_xlfn.XLOOKUP(L110,Config!$M$2:$M$3,Config!$N$2:$N$3),_xlfn.XLOOKUP(M110,Config!$O$2:$O$6,Config!$P$2:$P$6))</f>
        <v>6.9945210720000007E-3</v>
      </c>
      <c r="Q110" s="22">
        <v>0.25</v>
      </c>
      <c r="R110" s="16">
        <f>P110*Q110*Config!$B$19</f>
        <v>1.2850970902010803E-3</v>
      </c>
    </row>
    <row r="111" spans="1:18" x14ac:dyDescent="0.45">
      <c r="A111" s="3">
        <v>110</v>
      </c>
      <c r="B111" s="11" t="s">
        <v>661</v>
      </c>
      <c r="C111" s="11" t="s">
        <v>549</v>
      </c>
      <c r="D111" s="3" t="s">
        <v>553</v>
      </c>
      <c r="E111" s="2" t="s">
        <v>106</v>
      </c>
      <c r="F111" t="s">
        <v>986</v>
      </c>
      <c r="G111" t="s">
        <v>831</v>
      </c>
      <c r="H111" s="2" t="s">
        <v>808</v>
      </c>
      <c r="I111" s="12" t="s">
        <v>1107</v>
      </c>
      <c r="J111" s="2"/>
      <c r="K111" s="12" t="s">
        <v>1062</v>
      </c>
      <c r="L111" s="12" t="s">
        <v>1110</v>
      </c>
      <c r="M111" s="12" t="s">
        <v>838</v>
      </c>
      <c r="N111" s="12" t="s">
        <v>1190</v>
      </c>
      <c r="P111" s="16">
        <f>PRODUCT(_xlfn.XLOOKUP(F111,Config!$A$2:$A$15,Config!$B$2:$B$15),_xlfn.XLOOKUP(G111,Config!$C$2:$C$7,Config!$D$2:$D$7),_xlfn.XLOOKUP(H111,Config!$E$2:$E$5,Config!$F$2:$F$5),_xlfn.XLOOKUP(I111,Config!$G$2:$G$3,Config!$H$2:$H$3),_xlfn.XLOOKUP(J111,Config!$I$2:$I$3,Config!$J$2:$J$3),_xlfn.XLOOKUP(K111,Config!$K$2:$K$3,Config!$L$2:$L$3),_xlfn.XLOOKUP(L111,Config!$M$2:$M$3,Config!$N$2:$N$3),_xlfn.XLOOKUP(M111,Config!$O$2:$O$6,Config!$P$2:$P$6))</f>
        <v>3.9344181030000003E-3</v>
      </c>
      <c r="Q111" s="22">
        <v>0.25</v>
      </c>
      <c r="R111" s="16">
        <f>P111*Q111*Config!$B$19</f>
        <v>7.2286711323810767E-4</v>
      </c>
    </row>
    <row r="112" spans="1:18" x14ac:dyDescent="0.45">
      <c r="A112" s="3">
        <v>111</v>
      </c>
      <c r="B112" s="11" t="s">
        <v>661</v>
      </c>
      <c r="C112" s="11" t="s">
        <v>549</v>
      </c>
      <c r="D112" s="3" t="s">
        <v>559</v>
      </c>
      <c r="E112" s="2" t="s">
        <v>1192</v>
      </c>
      <c r="F112" t="s">
        <v>1010</v>
      </c>
      <c r="G112" t="s">
        <v>831</v>
      </c>
      <c r="H112" s="2" t="s">
        <v>808</v>
      </c>
      <c r="I112" s="12" t="s">
        <v>1107</v>
      </c>
      <c r="J112" s="2"/>
      <c r="K112" s="12" t="s">
        <v>1062</v>
      </c>
      <c r="L112" s="12" t="s">
        <v>1110</v>
      </c>
      <c r="M112" s="12" t="s">
        <v>838</v>
      </c>
      <c r="N112" s="14" t="s">
        <v>1003</v>
      </c>
      <c r="O112" s="2" t="s">
        <v>1191</v>
      </c>
      <c r="P112" s="16">
        <f>PRODUCT(_xlfn.XLOOKUP(F112,Config!$A$2:$A$15,Config!$B$2:$B$15),_xlfn.XLOOKUP(G112,Config!$C$2:$C$7,Config!$D$2:$D$7),_xlfn.XLOOKUP(H112,Config!$E$2:$E$5,Config!$F$2:$F$5),_xlfn.XLOOKUP(I112,Config!$G$2:$G$3,Config!$H$2:$H$3),_xlfn.XLOOKUP(J112,Config!$I$2:$I$3,Config!$J$2:$J$3),_xlfn.XLOOKUP(K112,Config!$K$2:$K$3,Config!$L$2:$L$3),_xlfn.XLOOKUP(L112,Config!$M$2:$M$3,Config!$N$2:$N$3),_xlfn.XLOOKUP(M112,Config!$O$2:$O$6,Config!$P$2:$P$6))</f>
        <v>5.4299571479999994E-3</v>
      </c>
      <c r="Q112" s="22">
        <v>0.75</v>
      </c>
      <c r="R112" s="16">
        <f>P112*Q112*Config!$B$19</f>
        <v>2.9929234863893574E-3</v>
      </c>
    </row>
    <row r="113" spans="1:19" x14ac:dyDescent="0.45">
      <c r="A113" s="3">
        <v>112</v>
      </c>
      <c r="B113" s="11" t="s">
        <v>661</v>
      </c>
      <c r="C113" s="11" t="s">
        <v>549</v>
      </c>
      <c r="D113" s="3" t="s">
        <v>553</v>
      </c>
      <c r="E113" s="2" t="s">
        <v>106</v>
      </c>
      <c r="F113" t="s">
        <v>1010</v>
      </c>
      <c r="G113" t="s">
        <v>831</v>
      </c>
      <c r="H113" s="2" t="s">
        <v>808</v>
      </c>
      <c r="I113" s="12" t="s">
        <v>1107</v>
      </c>
      <c r="J113" s="2"/>
      <c r="K113" s="12" t="s">
        <v>1062</v>
      </c>
      <c r="L113" s="12" t="s">
        <v>1110</v>
      </c>
      <c r="M113" s="12" t="s">
        <v>838</v>
      </c>
      <c r="N113" s="12" t="s">
        <v>1190</v>
      </c>
      <c r="O113" s="2" t="s">
        <v>1191</v>
      </c>
      <c r="P113" s="16">
        <f>PRODUCT(_xlfn.XLOOKUP(F113,Config!$A$2:$A$15,Config!$B$2:$B$15),_xlfn.XLOOKUP(G113,Config!$C$2:$C$7,Config!$D$2:$D$7),_xlfn.XLOOKUP(H113,Config!$E$2:$E$5,Config!$F$2:$F$5),_xlfn.XLOOKUP(I113,Config!$G$2:$G$3,Config!$H$2:$H$3),_xlfn.XLOOKUP(J113,Config!$I$2:$I$3,Config!$J$2:$J$3),_xlfn.XLOOKUP(K113,Config!$K$2:$K$3,Config!$L$2:$L$3),_xlfn.XLOOKUP(L113,Config!$M$2:$M$3,Config!$N$2:$N$3),_xlfn.XLOOKUP(M113,Config!$O$2:$O$6,Config!$P$2:$P$6))</f>
        <v>5.4299571479999994E-3</v>
      </c>
      <c r="Q113" s="22">
        <v>0.25</v>
      </c>
      <c r="R113" s="16">
        <f>P113*Q113*Config!$B$19</f>
        <v>9.9764116212978579E-4</v>
      </c>
    </row>
    <row r="114" spans="1:19" x14ac:dyDescent="0.45">
      <c r="A114" s="3">
        <v>113</v>
      </c>
      <c r="B114" s="3" t="s">
        <v>503</v>
      </c>
      <c r="C114" s="3" t="s">
        <v>570</v>
      </c>
      <c r="D114" s="3" t="s">
        <v>571</v>
      </c>
      <c r="F114" t="s">
        <v>990</v>
      </c>
      <c r="G114" t="s">
        <v>831</v>
      </c>
      <c r="H114" t="s">
        <v>808</v>
      </c>
      <c r="I114" s="12" t="s">
        <v>1107</v>
      </c>
      <c r="K114" s="12" t="s">
        <v>1062</v>
      </c>
      <c r="L114" s="12" t="s">
        <v>1110</v>
      </c>
      <c r="M114" s="12" t="s">
        <v>838</v>
      </c>
      <c r="N114" s="14" t="s">
        <v>997</v>
      </c>
      <c r="O114" t="s">
        <v>499</v>
      </c>
      <c r="P114" s="16">
        <f>PRODUCT(_xlfn.XLOOKUP(F114,Config!$A$2:$A$15,Config!$B$2:$B$15),_xlfn.XLOOKUP(G114,Config!$C$2:$C$7,Config!$D$2:$D$7),_xlfn.XLOOKUP(H114,Config!$E$2:$E$5,Config!$F$2:$F$5),_xlfn.XLOOKUP(I114,Config!$G$2:$G$3,Config!$H$2:$H$3),_xlfn.XLOOKUP(J114,Config!$I$2:$I$3,Config!$J$2:$J$3),_xlfn.XLOOKUP(K114,Config!$K$2:$K$3,Config!$L$2:$L$3),_xlfn.XLOOKUP(L114,Config!$M$2:$M$3,Config!$N$2:$N$3),_xlfn.XLOOKUP(M114,Config!$O$2:$O$6,Config!$P$2:$P$6))</f>
        <v>5.4299571479999994E-3</v>
      </c>
      <c r="Q114" s="22">
        <v>1</v>
      </c>
      <c r="R114" s="16">
        <f>P114*Q114*Config!$B$19</f>
        <v>3.9905646485191432E-3</v>
      </c>
      <c r="S114" t="s">
        <v>655</v>
      </c>
    </row>
    <row r="115" spans="1:19" x14ac:dyDescent="0.45">
      <c r="A115" s="3">
        <v>114</v>
      </c>
      <c r="B115" s="3" t="s">
        <v>495</v>
      </c>
      <c r="C115" s="3" t="s">
        <v>565</v>
      </c>
      <c r="D115" s="3" t="s">
        <v>568</v>
      </c>
      <c r="F115" t="s">
        <v>990</v>
      </c>
      <c r="G115" t="s">
        <v>831</v>
      </c>
      <c r="H115" t="s">
        <v>808</v>
      </c>
      <c r="I115" s="12" t="s">
        <v>1107</v>
      </c>
      <c r="K115" s="12" t="s">
        <v>1062</v>
      </c>
      <c r="L115" s="12" t="s">
        <v>1110</v>
      </c>
      <c r="M115" s="12" t="s">
        <v>838</v>
      </c>
      <c r="N115" s="12" t="s">
        <v>1190</v>
      </c>
      <c r="O115" t="s">
        <v>496</v>
      </c>
      <c r="P115" s="16">
        <f>PRODUCT(_xlfn.XLOOKUP(F115,Config!$A$2:$A$15,Config!$B$2:$B$15),_xlfn.XLOOKUP(G115,Config!$C$2:$C$7,Config!$D$2:$D$7),_xlfn.XLOOKUP(H115,Config!$E$2:$E$5,Config!$F$2:$F$5),_xlfn.XLOOKUP(I115,Config!$G$2:$G$3,Config!$H$2:$H$3),_xlfn.XLOOKUP(J115,Config!$I$2:$I$3,Config!$J$2:$J$3),_xlfn.XLOOKUP(K115,Config!$K$2:$K$3,Config!$L$2:$L$3),_xlfn.XLOOKUP(L115,Config!$M$2:$M$3,Config!$N$2:$N$3),_xlfn.XLOOKUP(M115,Config!$O$2:$O$6,Config!$P$2:$P$6))</f>
        <v>5.4299571479999994E-3</v>
      </c>
      <c r="Q115" s="22">
        <v>1</v>
      </c>
      <c r="R115" s="16">
        <f>P115*Q115*Config!$B$19</f>
        <v>3.9905646485191432E-3</v>
      </c>
    </row>
    <row r="116" spans="1:19" x14ac:dyDescent="0.45">
      <c r="A116" s="3">
        <v>115</v>
      </c>
      <c r="B116" s="3" t="s">
        <v>65</v>
      </c>
      <c r="C116" s="3" t="s">
        <v>195</v>
      </c>
      <c r="D116" s="3" t="s">
        <v>253</v>
      </c>
      <c r="E116" t="s">
        <v>16</v>
      </c>
      <c r="F116" t="s">
        <v>988</v>
      </c>
      <c r="G116" t="s">
        <v>831</v>
      </c>
      <c r="H116" t="s">
        <v>808</v>
      </c>
      <c r="I116" s="12" t="s">
        <v>1107</v>
      </c>
      <c r="K116" s="12" t="s">
        <v>1062</v>
      </c>
      <c r="L116" s="12" t="s">
        <v>1110</v>
      </c>
      <c r="M116" s="12" t="s">
        <v>838</v>
      </c>
      <c r="N116" s="14" t="s">
        <v>997</v>
      </c>
      <c r="O116" t="s">
        <v>68</v>
      </c>
      <c r="P116" s="16">
        <f>PRODUCT(_xlfn.XLOOKUP(F116,Config!$A$2:$A$15,Config!$B$2:$B$15),_xlfn.XLOOKUP(G116,Config!$C$2:$C$7,Config!$D$2:$D$7),_xlfn.XLOOKUP(H116,Config!$E$2:$E$5,Config!$F$2:$F$5),_xlfn.XLOOKUP(I116,Config!$G$2:$G$3,Config!$H$2:$H$3),_xlfn.XLOOKUP(J116,Config!$I$2:$I$3,Config!$J$2:$J$3),_xlfn.XLOOKUP(K116,Config!$K$2:$K$3,Config!$L$2:$L$3),_xlfn.XLOOKUP(L116,Config!$M$2:$M$3,Config!$N$2:$N$3),_xlfn.XLOOKUP(M116,Config!$O$2:$O$6,Config!$P$2:$P$6))</f>
        <v>5.4299571479999994E-3</v>
      </c>
      <c r="Q116" s="22">
        <v>1</v>
      </c>
      <c r="R116" s="16">
        <f>P116*Q116*Config!$B$19</f>
        <v>3.9905646485191432E-3</v>
      </c>
      <c r="S116" t="s">
        <v>655</v>
      </c>
    </row>
    <row r="117" spans="1:19" x14ac:dyDescent="0.45">
      <c r="A117" s="3">
        <v>116</v>
      </c>
      <c r="B117" s="3" t="s">
        <v>63</v>
      </c>
      <c r="C117" s="3" t="s">
        <v>40</v>
      </c>
      <c r="D117" s="3" t="s">
        <v>251</v>
      </c>
      <c r="E117" t="s">
        <v>64</v>
      </c>
      <c r="F117" t="s">
        <v>988</v>
      </c>
      <c r="G117" t="s">
        <v>831</v>
      </c>
      <c r="H117" t="s">
        <v>808</v>
      </c>
      <c r="I117" s="12" t="s">
        <v>1107</v>
      </c>
      <c r="K117" s="12" t="s">
        <v>1062</v>
      </c>
      <c r="L117" s="12" t="s">
        <v>1110</v>
      </c>
      <c r="M117" s="12" t="s">
        <v>838</v>
      </c>
      <c r="N117" s="12" t="s">
        <v>1190</v>
      </c>
      <c r="O117" t="s">
        <v>41</v>
      </c>
      <c r="P117" s="16">
        <f>PRODUCT(_xlfn.XLOOKUP(F117,Config!$A$2:$A$15,Config!$B$2:$B$15),_xlfn.XLOOKUP(G117,Config!$C$2:$C$7,Config!$D$2:$D$7),_xlfn.XLOOKUP(H117,Config!$E$2:$E$5,Config!$F$2:$F$5),_xlfn.XLOOKUP(I117,Config!$G$2:$G$3,Config!$H$2:$H$3),_xlfn.XLOOKUP(J117,Config!$I$2:$I$3,Config!$J$2:$J$3),_xlfn.XLOOKUP(K117,Config!$K$2:$K$3,Config!$L$2:$L$3),_xlfn.XLOOKUP(L117,Config!$M$2:$M$3,Config!$N$2:$N$3),_xlfn.XLOOKUP(M117,Config!$O$2:$O$6,Config!$P$2:$P$6))</f>
        <v>5.4299571479999994E-3</v>
      </c>
      <c r="Q117" s="22">
        <v>1</v>
      </c>
      <c r="R117" s="16">
        <f>P117*Q117*Config!$B$19</f>
        <v>3.9905646485191432E-3</v>
      </c>
    </row>
    <row r="118" spans="1:19" x14ac:dyDescent="0.45">
      <c r="A118" s="3">
        <v>117</v>
      </c>
      <c r="B118" s="11" t="s">
        <v>661</v>
      </c>
      <c r="C118" s="11" t="s">
        <v>549</v>
      </c>
      <c r="D118" s="3" t="s">
        <v>553</v>
      </c>
      <c r="E118" s="2" t="s">
        <v>106</v>
      </c>
      <c r="F118" t="s">
        <v>987</v>
      </c>
      <c r="G118" t="s">
        <v>831</v>
      </c>
      <c r="H118" s="2" t="s">
        <v>808</v>
      </c>
      <c r="I118" s="12" t="s">
        <v>1107</v>
      </c>
      <c r="J118" s="2"/>
      <c r="K118" s="12" t="s">
        <v>1062</v>
      </c>
      <c r="L118" s="12" t="s">
        <v>1110</v>
      </c>
      <c r="M118" s="12" t="s">
        <v>838</v>
      </c>
      <c r="N118" s="12" t="s">
        <v>1190</v>
      </c>
      <c r="P118" s="16">
        <f>PRODUCT(_xlfn.XLOOKUP(F118,Config!$A$2:$A$15,Config!$B$2:$B$15),_xlfn.XLOOKUP(G118,Config!$C$2:$C$7,Config!$D$2:$D$7),_xlfn.XLOOKUP(H118,Config!$E$2:$E$5,Config!$F$2:$F$5),_xlfn.XLOOKUP(I118,Config!$G$2:$G$3,Config!$H$2:$H$3),_xlfn.XLOOKUP(J118,Config!$I$2:$I$3,Config!$J$2:$J$3),_xlfn.XLOOKUP(K118,Config!$K$2:$K$3,Config!$L$2:$L$3),_xlfn.XLOOKUP(L118,Config!$M$2:$M$3,Config!$N$2:$N$3),_xlfn.XLOOKUP(M118,Config!$O$2:$O$6,Config!$P$2:$P$6))</f>
        <v>2.0362339304999997E-3</v>
      </c>
      <c r="Q118" s="22">
        <v>0.25</v>
      </c>
      <c r="R118" s="16">
        <f>P118*Q118*Config!$B$19</f>
        <v>3.7411543579866967E-4</v>
      </c>
    </row>
    <row r="119" spans="1:19" x14ac:dyDescent="0.45">
      <c r="A119" s="3">
        <v>118</v>
      </c>
      <c r="B119" s="3" t="s">
        <v>231</v>
      </c>
      <c r="C119" s="3" t="s">
        <v>232</v>
      </c>
      <c r="D119" s="3" t="s">
        <v>264</v>
      </c>
      <c r="E119" t="s">
        <v>16</v>
      </c>
      <c r="F119" t="s">
        <v>993</v>
      </c>
      <c r="G119" t="s">
        <v>831</v>
      </c>
      <c r="H119" t="s">
        <v>808</v>
      </c>
      <c r="I119" s="12" t="s">
        <v>1107</v>
      </c>
      <c r="K119" s="12" t="s">
        <v>1062</v>
      </c>
      <c r="L119" s="12" t="s">
        <v>1110</v>
      </c>
      <c r="M119" s="12" t="s">
        <v>838</v>
      </c>
      <c r="N119" s="14" t="s">
        <v>997</v>
      </c>
      <c r="O119" t="s">
        <v>233</v>
      </c>
      <c r="P119" s="16">
        <f>PRODUCT(_xlfn.XLOOKUP(F119,Config!$A$2:$A$15,Config!$B$2:$B$15),_xlfn.XLOOKUP(G119,Config!$C$2:$C$7,Config!$D$2:$D$7),_xlfn.XLOOKUP(H119,Config!$E$2:$E$5,Config!$F$2:$F$5),_xlfn.XLOOKUP(I119,Config!$G$2:$G$3,Config!$H$2:$H$3),_xlfn.XLOOKUP(J119,Config!$I$2:$I$3,Config!$J$2:$J$3),_xlfn.XLOOKUP(K119,Config!$K$2:$K$3,Config!$L$2:$L$3),_xlfn.XLOOKUP(L119,Config!$M$2:$M$3,Config!$N$2:$N$3),_xlfn.XLOOKUP(M119,Config!$O$2:$O$6,Config!$P$2:$P$6))</f>
        <v>2.0362339304999997E-3</v>
      </c>
      <c r="Q119" s="22">
        <v>1</v>
      </c>
      <c r="R119" s="16">
        <f>P119*Q119*Config!$B$19</f>
        <v>1.4964617431946787E-3</v>
      </c>
    </row>
    <row r="120" spans="1:19" x14ac:dyDescent="0.45">
      <c r="A120" s="3">
        <v>119</v>
      </c>
      <c r="B120" s="11" t="s">
        <v>661</v>
      </c>
      <c r="C120" s="11" t="s">
        <v>549</v>
      </c>
      <c r="D120" s="3" t="s">
        <v>559</v>
      </c>
      <c r="E120" s="2" t="s">
        <v>1192</v>
      </c>
      <c r="F120" t="s">
        <v>987</v>
      </c>
      <c r="G120" t="s">
        <v>831</v>
      </c>
      <c r="H120" t="s">
        <v>808</v>
      </c>
      <c r="I120" s="12" t="s">
        <v>1107</v>
      </c>
      <c r="K120" s="12" t="s">
        <v>1062</v>
      </c>
      <c r="L120" s="12" t="s">
        <v>1110</v>
      </c>
      <c r="M120" s="12" t="s">
        <v>838</v>
      </c>
      <c r="N120" s="14" t="s">
        <v>1003</v>
      </c>
      <c r="P120" s="16">
        <f>PRODUCT(_xlfn.XLOOKUP(F120,Config!$A$2:$A$15,Config!$B$2:$B$15),_xlfn.XLOOKUP(G120,Config!$C$2:$C$7,Config!$D$2:$D$7),_xlfn.XLOOKUP(H120,Config!$E$2:$E$5,Config!$F$2:$F$5),_xlfn.XLOOKUP(I120,Config!$G$2:$G$3,Config!$H$2:$H$3),_xlfn.XLOOKUP(J120,Config!$I$2:$I$3,Config!$J$2:$J$3),_xlfn.XLOOKUP(K120,Config!$K$2:$K$3,Config!$L$2:$L$3),_xlfn.XLOOKUP(L120,Config!$M$2:$M$3,Config!$N$2:$N$3),_xlfn.XLOOKUP(M120,Config!$O$2:$O$6,Config!$P$2:$P$6))</f>
        <v>2.0362339304999997E-3</v>
      </c>
      <c r="Q120" s="22">
        <v>0.75</v>
      </c>
      <c r="R120" s="16">
        <f>P120*Q120*Config!$B$19</f>
        <v>1.122346307396009E-3</v>
      </c>
    </row>
    <row r="121" spans="1:19" x14ac:dyDescent="0.45">
      <c r="A121" s="3">
        <v>120</v>
      </c>
      <c r="B121" s="3" t="s">
        <v>218</v>
      </c>
      <c r="C121" s="3" t="s">
        <v>219</v>
      </c>
      <c r="D121" s="3" t="s">
        <v>262</v>
      </c>
      <c r="E121" t="s">
        <v>64</v>
      </c>
      <c r="F121" t="s">
        <v>993</v>
      </c>
      <c r="G121" t="s">
        <v>831</v>
      </c>
      <c r="H121" t="s">
        <v>808</v>
      </c>
      <c r="I121" s="12" t="s">
        <v>1107</v>
      </c>
      <c r="K121" s="12" t="s">
        <v>1062</v>
      </c>
      <c r="L121" s="12" t="s">
        <v>1110</v>
      </c>
      <c r="M121" s="12" t="s">
        <v>838</v>
      </c>
      <c r="N121" s="12" t="s">
        <v>1190</v>
      </c>
      <c r="O121" t="s">
        <v>220</v>
      </c>
      <c r="P121" s="16">
        <f>PRODUCT(_xlfn.XLOOKUP(F121,Config!$A$2:$A$15,Config!$B$2:$B$15),_xlfn.XLOOKUP(G121,Config!$C$2:$C$7,Config!$D$2:$D$7),_xlfn.XLOOKUP(H121,Config!$E$2:$E$5,Config!$F$2:$F$5),_xlfn.XLOOKUP(I121,Config!$G$2:$G$3,Config!$H$2:$H$3),_xlfn.XLOOKUP(J121,Config!$I$2:$I$3,Config!$J$2:$J$3),_xlfn.XLOOKUP(K121,Config!$K$2:$K$3,Config!$L$2:$L$3),_xlfn.XLOOKUP(L121,Config!$M$2:$M$3,Config!$N$2:$N$3),_xlfn.XLOOKUP(M121,Config!$O$2:$O$6,Config!$P$2:$P$6))</f>
        <v>2.0362339304999997E-3</v>
      </c>
      <c r="Q121" s="22">
        <v>1</v>
      </c>
      <c r="R121" s="16">
        <f>P121*Q121*Config!$B$19</f>
        <v>1.4964617431946787E-3</v>
      </c>
    </row>
    <row r="122" spans="1:19" x14ac:dyDescent="0.45">
      <c r="A122" s="3">
        <v>121</v>
      </c>
      <c r="B122" s="11" t="s">
        <v>661</v>
      </c>
      <c r="C122" s="11" t="s">
        <v>549</v>
      </c>
      <c r="D122" s="3" t="s">
        <v>559</v>
      </c>
      <c r="E122" s="2" t="s">
        <v>1192</v>
      </c>
      <c r="F122" t="s">
        <v>971</v>
      </c>
      <c r="G122" t="s">
        <v>831</v>
      </c>
      <c r="H122" t="s">
        <v>808</v>
      </c>
      <c r="I122" s="12" t="s">
        <v>1107</v>
      </c>
      <c r="K122" s="12" t="s">
        <v>1062</v>
      </c>
      <c r="L122" s="12" t="s">
        <v>1110</v>
      </c>
      <c r="M122" s="12" t="s">
        <v>838</v>
      </c>
      <c r="N122" s="14" t="s">
        <v>1003</v>
      </c>
      <c r="P122" s="16">
        <f>PRODUCT(_xlfn.XLOOKUP(F122,Config!$A$2:$A$15,Config!$B$2:$B$15),_xlfn.XLOOKUP(G122,Config!$C$2:$C$7,Config!$D$2:$D$7),_xlfn.XLOOKUP(H122,Config!$E$2:$E$5,Config!$F$2:$F$5),_xlfn.XLOOKUP(I122,Config!$G$2:$G$3,Config!$H$2:$H$3),_xlfn.XLOOKUP(J122,Config!$I$2:$I$3,Config!$J$2:$J$3),_xlfn.XLOOKUP(K122,Config!$K$2:$K$3,Config!$L$2:$L$3),_xlfn.XLOOKUP(L122,Config!$M$2:$M$3,Config!$N$2:$N$3),_xlfn.XLOOKUP(M122,Config!$O$2:$O$6,Config!$P$2:$P$6))</f>
        <v>4.5556420139999994E-3</v>
      </c>
      <c r="Q122" s="22">
        <v>0.75</v>
      </c>
      <c r="R122" s="16">
        <f>P122*Q122*Config!$B$19</f>
        <v>2.5110120775639526E-3</v>
      </c>
    </row>
    <row r="123" spans="1:19" x14ac:dyDescent="0.45">
      <c r="A123" s="7">
        <v>122</v>
      </c>
      <c r="B123" s="7" t="s">
        <v>237</v>
      </c>
      <c r="C123" s="3" t="s">
        <v>1193</v>
      </c>
      <c r="D123" s="3" t="s">
        <v>1194</v>
      </c>
      <c r="E123" t="s">
        <v>788</v>
      </c>
      <c r="F123" t="s">
        <v>991</v>
      </c>
      <c r="G123" t="s">
        <v>831</v>
      </c>
      <c r="H123" t="s">
        <v>808</v>
      </c>
      <c r="I123" s="12" t="s">
        <v>1107</v>
      </c>
      <c r="K123" s="12" t="s">
        <v>1062</v>
      </c>
      <c r="L123" s="12" t="s">
        <v>1110</v>
      </c>
      <c r="M123" s="12" t="s">
        <v>838</v>
      </c>
      <c r="N123" s="14" t="s">
        <v>997</v>
      </c>
      <c r="O123" t="s">
        <v>238</v>
      </c>
      <c r="P123" s="16">
        <f>PRODUCT(_xlfn.XLOOKUP(F123,Config!$A$2:$A$15,Config!$B$2:$B$15),_xlfn.XLOOKUP(G123,Config!$C$2:$C$7,Config!$D$2:$D$7),_xlfn.XLOOKUP(H123,Config!$E$2:$E$5,Config!$F$2:$F$5),_xlfn.XLOOKUP(I123,Config!$G$2:$G$3,Config!$H$2:$H$3),_xlfn.XLOOKUP(J123,Config!$I$2:$I$3,Config!$J$2:$J$3),_xlfn.XLOOKUP(K123,Config!$K$2:$K$3,Config!$L$2:$L$3),_xlfn.XLOOKUP(L123,Config!$M$2:$M$3,Config!$N$2:$N$3),_xlfn.XLOOKUP(M123,Config!$O$2:$O$6,Config!$P$2:$P$6))</f>
        <v>2.0362339304999997E-3</v>
      </c>
      <c r="Q123" s="22">
        <v>0.5</v>
      </c>
      <c r="R123" s="16">
        <f>P123*Q123*Config!$B$19</f>
        <v>7.4823087159733934E-4</v>
      </c>
    </row>
    <row r="124" spans="1:19" x14ac:dyDescent="0.45">
      <c r="A124" s="7">
        <v>123</v>
      </c>
      <c r="B124" s="7" t="s">
        <v>239</v>
      </c>
      <c r="C124" s="3" t="s">
        <v>1193</v>
      </c>
      <c r="D124" s="3" t="s">
        <v>1194</v>
      </c>
      <c r="E124" t="s">
        <v>789</v>
      </c>
      <c r="F124" t="s">
        <v>991</v>
      </c>
      <c r="G124" t="s">
        <v>831</v>
      </c>
      <c r="H124" t="s">
        <v>808</v>
      </c>
      <c r="I124" s="12" t="s">
        <v>1107</v>
      </c>
      <c r="K124" s="12" t="s">
        <v>1062</v>
      </c>
      <c r="L124" s="12" t="s">
        <v>1110</v>
      </c>
      <c r="M124" s="12" t="s">
        <v>838</v>
      </c>
      <c r="N124" s="14" t="s">
        <v>997</v>
      </c>
      <c r="O124" t="s">
        <v>238</v>
      </c>
      <c r="P124" s="16">
        <f>PRODUCT(_xlfn.XLOOKUP(F124,Config!$A$2:$A$15,Config!$B$2:$B$15),_xlfn.XLOOKUP(G124,Config!$C$2:$C$7,Config!$D$2:$D$7),_xlfn.XLOOKUP(H124,Config!$E$2:$E$5,Config!$F$2:$F$5),_xlfn.XLOOKUP(I124,Config!$G$2:$G$3,Config!$H$2:$H$3),_xlfn.XLOOKUP(J124,Config!$I$2:$I$3,Config!$J$2:$J$3),_xlfn.XLOOKUP(K124,Config!$K$2:$K$3,Config!$L$2:$L$3),_xlfn.XLOOKUP(L124,Config!$M$2:$M$3,Config!$N$2:$N$3),_xlfn.XLOOKUP(M124,Config!$O$2:$O$6,Config!$P$2:$P$6))</f>
        <v>2.0362339304999997E-3</v>
      </c>
      <c r="Q124" s="22">
        <v>0.5</v>
      </c>
      <c r="R124" s="16">
        <f>P124*Q124*Config!$B$19</f>
        <v>7.4823087159733934E-4</v>
      </c>
    </row>
    <row r="125" spans="1:19" x14ac:dyDescent="0.45">
      <c r="A125" s="7">
        <v>124</v>
      </c>
      <c r="B125" s="7" t="s">
        <v>221</v>
      </c>
      <c r="C125" s="3" t="s">
        <v>222</v>
      </c>
      <c r="D125" s="3" t="s">
        <v>263</v>
      </c>
      <c r="E125" t="s">
        <v>794</v>
      </c>
      <c r="F125" t="s">
        <v>991</v>
      </c>
      <c r="G125" t="s">
        <v>831</v>
      </c>
      <c r="H125" t="s">
        <v>808</v>
      </c>
      <c r="I125" s="12" t="s">
        <v>1107</v>
      </c>
      <c r="K125" s="12" t="s">
        <v>1062</v>
      </c>
      <c r="L125" s="12" t="s">
        <v>1110</v>
      </c>
      <c r="M125" s="12" t="s">
        <v>838</v>
      </c>
      <c r="N125" s="12" t="s">
        <v>1190</v>
      </c>
      <c r="O125" t="s">
        <v>223</v>
      </c>
      <c r="P125" s="16">
        <f>PRODUCT(_xlfn.XLOOKUP(F125,Config!$A$2:$A$15,Config!$B$2:$B$15),_xlfn.XLOOKUP(G125,Config!$C$2:$C$7,Config!$D$2:$D$7),_xlfn.XLOOKUP(H125,Config!$E$2:$E$5,Config!$F$2:$F$5),_xlfn.XLOOKUP(I125,Config!$G$2:$G$3,Config!$H$2:$H$3),_xlfn.XLOOKUP(J125,Config!$I$2:$I$3,Config!$J$2:$J$3),_xlfn.XLOOKUP(K125,Config!$K$2:$K$3,Config!$L$2:$L$3),_xlfn.XLOOKUP(L125,Config!$M$2:$M$3,Config!$N$2:$N$3),_xlfn.XLOOKUP(M125,Config!$O$2:$O$6,Config!$P$2:$P$6))</f>
        <v>2.0362339304999997E-3</v>
      </c>
      <c r="Q125" s="22">
        <v>1</v>
      </c>
      <c r="R125" s="16">
        <f>P125*Q125*Config!$B$19</f>
        <v>1.4964617431946787E-3</v>
      </c>
    </row>
    <row r="126" spans="1:19" x14ac:dyDescent="0.45">
      <c r="A126" s="7">
        <v>125</v>
      </c>
      <c r="B126" s="7" t="s">
        <v>224</v>
      </c>
      <c r="C126" s="3" t="s">
        <v>222</v>
      </c>
      <c r="D126" s="3" t="s">
        <v>263</v>
      </c>
      <c r="E126" t="s">
        <v>12</v>
      </c>
      <c r="F126" t="s">
        <v>991</v>
      </c>
      <c r="G126" t="s">
        <v>831</v>
      </c>
      <c r="H126" t="s">
        <v>808</v>
      </c>
      <c r="I126" s="12" t="s">
        <v>1107</v>
      </c>
      <c r="K126" s="12" t="s">
        <v>1062</v>
      </c>
      <c r="L126" s="12" t="s">
        <v>1110</v>
      </c>
      <c r="M126" s="12" t="s">
        <v>838</v>
      </c>
      <c r="N126" s="12" t="s">
        <v>1190</v>
      </c>
      <c r="O126" t="s">
        <v>223</v>
      </c>
      <c r="P126" s="16">
        <f>PRODUCT(_xlfn.XLOOKUP(F126,Config!$A$2:$A$15,Config!$B$2:$B$15),_xlfn.XLOOKUP(G126,Config!$C$2:$C$7,Config!$D$2:$D$7),_xlfn.XLOOKUP(H126,Config!$E$2:$E$5,Config!$F$2:$F$5),_xlfn.XLOOKUP(I126,Config!$G$2:$G$3,Config!$H$2:$H$3),_xlfn.XLOOKUP(J126,Config!$I$2:$I$3,Config!$J$2:$J$3),_xlfn.XLOOKUP(K126,Config!$K$2:$K$3,Config!$L$2:$L$3),_xlfn.XLOOKUP(L126,Config!$M$2:$M$3,Config!$N$2:$N$3),_xlfn.XLOOKUP(M126,Config!$O$2:$O$6,Config!$P$2:$P$6))</f>
        <v>2.0362339304999997E-3</v>
      </c>
      <c r="Q126" s="22">
        <v>1</v>
      </c>
      <c r="R126" s="16">
        <f>P126*Q126*Config!$B$19</f>
        <v>1.4964617431946787E-3</v>
      </c>
    </row>
    <row r="127" spans="1:19" x14ac:dyDescent="0.45">
      <c r="A127" s="7">
        <v>126</v>
      </c>
      <c r="B127" s="7" t="s">
        <v>930</v>
      </c>
      <c r="C127" s="3" t="s">
        <v>1195</v>
      </c>
      <c r="D127" s="3" t="s">
        <v>1196</v>
      </c>
      <c r="E127" t="s">
        <v>891</v>
      </c>
      <c r="F127" t="s">
        <v>995</v>
      </c>
      <c r="G127" t="s">
        <v>831</v>
      </c>
      <c r="H127" t="s">
        <v>808</v>
      </c>
      <c r="I127" s="12" t="s">
        <v>1107</v>
      </c>
      <c r="K127" s="12" t="s">
        <v>1062</v>
      </c>
      <c r="L127" s="12" t="s">
        <v>1110</v>
      </c>
      <c r="M127" s="12" t="s">
        <v>838</v>
      </c>
      <c r="N127" s="14" t="s">
        <v>997</v>
      </c>
      <c r="O127" t="s">
        <v>892</v>
      </c>
      <c r="P127" s="16">
        <f>PRODUCT(_xlfn.XLOOKUP(F127,Config!$A$2:$A$15,Config!$B$2:$B$15),_xlfn.XLOOKUP(G127,Config!$C$2:$C$7,Config!$D$2:$D$7),_xlfn.XLOOKUP(H127,Config!$E$2:$E$5,Config!$F$2:$F$5),_xlfn.XLOOKUP(I127,Config!$G$2:$G$3,Config!$H$2:$H$3),_xlfn.XLOOKUP(J127,Config!$I$2:$I$3,Config!$J$2:$J$3),_xlfn.XLOOKUP(K127,Config!$K$2:$K$3,Config!$L$2:$L$3),_xlfn.XLOOKUP(L127,Config!$M$2:$M$3,Config!$N$2:$N$3),_xlfn.XLOOKUP(M127,Config!$O$2:$O$6,Config!$P$2:$P$6))</f>
        <v>2.0362339304999997E-3</v>
      </c>
      <c r="Q127" s="22">
        <v>1</v>
      </c>
      <c r="R127" s="16">
        <f>P127*Q127*Config!$B$19</f>
        <v>1.4964617431946787E-3</v>
      </c>
    </row>
    <row r="128" spans="1:19" x14ac:dyDescent="0.45">
      <c r="A128" s="3">
        <v>127</v>
      </c>
      <c r="B128" s="3" t="s">
        <v>656</v>
      </c>
      <c r="C128" s="3" t="s">
        <v>1197</v>
      </c>
      <c r="D128" s="3" t="s">
        <v>1198</v>
      </c>
      <c r="E128" t="s">
        <v>66</v>
      </c>
      <c r="F128" t="s">
        <v>989</v>
      </c>
      <c r="G128" t="s">
        <v>831</v>
      </c>
      <c r="H128" t="s">
        <v>808</v>
      </c>
      <c r="I128" s="12" t="s">
        <v>1107</v>
      </c>
      <c r="K128" s="12" t="s">
        <v>1062</v>
      </c>
      <c r="L128" s="12" t="s">
        <v>1110</v>
      </c>
      <c r="M128" s="12" t="s">
        <v>838</v>
      </c>
      <c r="N128" s="14" t="s">
        <v>997</v>
      </c>
      <c r="O128" t="s">
        <v>17</v>
      </c>
      <c r="P128" s="16">
        <f>PRODUCT(_xlfn.XLOOKUP(F128,Config!$A$2:$A$15,Config!$B$2:$B$15),_xlfn.XLOOKUP(G128,Config!$C$2:$C$7,Config!$D$2:$D$7),_xlfn.XLOOKUP(H128,Config!$E$2:$E$5,Config!$F$2:$F$5),_xlfn.XLOOKUP(I128,Config!$G$2:$G$3,Config!$H$2:$H$3),_xlfn.XLOOKUP(J128,Config!$I$2:$I$3,Config!$J$2:$J$3),_xlfn.XLOOKUP(K128,Config!$K$2:$K$3,Config!$L$2:$L$3),_xlfn.XLOOKUP(L128,Config!$M$2:$M$3,Config!$N$2:$N$3),_xlfn.XLOOKUP(M128,Config!$O$2:$O$6,Config!$P$2:$P$6))</f>
        <v>5.4299571479999994E-3</v>
      </c>
      <c r="Q128" s="22">
        <v>1</v>
      </c>
      <c r="R128" s="16">
        <f>P128*Q128*Config!$B$19</f>
        <v>3.9905646485191432E-3</v>
      </c>
      <c r="S128" t="s">
        <v>655</v>
      </c>
    </row>
    <row r="129" spans="1:18" x14ac:dyDescent="0.45">
      <c r="A129" s="7">
        <v>128</v>
      </c>
      <c r="B129" s="7" t="s">
        <v>87</v>
      </c>
      <c r="C129" s="3" t="s">
        <v>11</v>
      </c>
      <c r="D129" s="3" t="s">
        <v>252</v>
      </c>
      <c r="E129" t="s">
        <v>12</v>
      </c>
      <c r="F129" t="s">
        <v>989</v>
      </c>
      <c r="G129" t="s">
        <v>831</v>
      </c>
      <c r="H129" t="s">
        <v>808</v>
      </c>
      <c r="I129" s="12" t="s">
        <v>1107</v>
      </c>
      <c r="K129" s="12" t="s">
        <v>1062</v>
      </c>
      <c r="L129" s="12" t="s">
        <v>1110</v>
      </c>
      <c r="M129" s="12" t="s">
        <v>838</v>
      </c>
      <c r="N129" s="12" t="s">
        <v>1190</v>
      </c>
      <c r="O129" t="s">
        <v>13</v>
      </c>
      <c r="P129" s="16">
        <f>PRODUCT(_xlfn.XLOOKUP(F129,Config!$A$2:$A$15,Config!$B$2:$B$15),_xlfn.XLOOKUP(G129,Config!$C$2:$C$7,Config!$D$2:$D$7),_xlfn.XLOOKUP(H129,Config!$E$2:$E$5,Config!$F$2:$F$5),_xlfn.XLOOKUP(I129,Config!$G$2:$G$3,Config!$H$2:$H$3),_xlfn.XLOOKUP(J129,Config!$I$2:$I$3,Config!$J$2:$J$3),_xlfn.XLOOKUP(K129,Config!$K$2:$K$3,Config!$L$2:$L$3),_xlfn.XLOOKUP(L129,Config!$M$2:$M$3,Config!$N$2:$N$3),_xlfn.XLOOKUP(M129,Config!$O$2:$O$6,Config!$P$2:$P$6))</f>
        <v>5.4299571479999994E-3</v>
      </c>
      <c r="Q129" s="22">
        <v>1</v>
      </c>
      <c r="R129" s="16">
        <f>P129*Q129*Config!$B$19</f>
        <v>3.9905646485191432E-3</v>
      </c>
    </row>
    <row r="130" spans="1:18" x14ac:dyDescent="0.45">
      <c r="A130" s="7">
        <v>129</v>
      </c>
      <c r="B130" s="7" t="s">
        <v>1527</v>
      </c>
      <c r="C130" s="3" t="s">
        <v>1525</v>
      </c>
      <c r="D130" s="3" t="s">
        <v>966</v>
      </c>
      <c r="E130" t="s">
        <v>946</v>
      </c>
      <c r="F130" t="s">
        <v>995</v>
      </c>
      <c r="G130" t="s">
        <v>831</v>
      </c>
      <c r="H130" t="s">
        <v>808</v>
      </c>
      <c r="I130" s="12" t="s">
        <v>1107</v>
      </c>
      <c r="K130" s="12" t="s">
        <v>1062</v>
      </c>
      <c r="L130" s="12" t="s">
        <v>1110</v>
      </c>
      <c r="M130" s="14" t="s">
        <v>837</v>
      </c>
      <c r="N130" s="12" t="s">
        <v>1190</v>
      </c>
      <c r="O130" t="s">
        <v>947</v>
      </c>
      <c r="P130" s="16">
        <f>PRODUCT(_xlfn.XLOOKUP(F130,Config!$A$2:$A$15,Config!$B$2:$B$15),_xlfn.XLOOKUP(G130,Config!$C$2:$C$7,Config!$D$2:$D$7),_xlfn.XLOOKUP(H130,Config!$E$2:$E$5,Config!$F$2:$F$5),_xlfn.XLOOKUP(I130,Config!$G$2:$G$3,Config!$H$2:$H$3),_xlfn.XLOOKUP(J130,Config!$I$2:$I$3,Config!$J$2:$J$3),_xlfn.XLOOKUP(K130,Config!$K$2:$K$3,Config!$L$2:$L$3),_xlfn.XLOOKUP(L130,Config!$M$2:$M$3,Config!$N$2:$N$3),_xlfn.XLOOKUP(M130,Config!$O$2:$O$6,Config!$P$2:$P$6))</f>
        <v>1.6968616087499998E-4</v>
      </c>
      <c r="Q130" s="22">
        <v>1</v>
      </c>
      <c r="R130" s="16">
        <f>P130*Q130*Config!$B$19</f>
        <v>1.2470514526622322E-4</v>
      </c>
    </row>
    <row r="131" spans="1:18" x14ac:dyDescent="0.45">
      <c r="A131" s="7">
        <v>130</v>
      </c>
      <c r="B131" s="7" t="s">
        <v>1217</v>
      </c>
      <c r="C131" s="3" t="s">
        <v>967</v>
      </c>
      <c r="D131" s="3" t="s">
        <v>968</v>
      </c>
      <c r="E131" t="s">
        <v>948</v>
      </c>
      <c r="F131" t="s">
        <v>995</v>
      </c>
      <c r="G131" t="s">
        <v>831</v>
      </c>
      <c r="H131" t="s">
        <v>808</v>
      </c>
      <c r="I131" s="12" t="s">
        <v>1107</v>
      </c>
      <c r="K131" s="12" t="s">
        <v>1062</v>
      </c>
      <c r="L131" s="12" t="s">
        <v>1110</v>
      </c>
      <c r="M131" s="14" t="s">
        <v>835</v>
      </c>
      <c r="N131" s="12" t="s">
        <v>1190</v>
      </c>
      <c r="O131" t="s">
        <v>949</v>
      </c>
      <c r="P131" s="16">
        <f>PRODUCT(_xlfn.XLOOKUP(F131,Config!$A$2:$A$15,Config!$B$2:$B$15),_xlfn.XLOOKUP(G131,Config!$C$2:$C$7,Config!$D$2:$D$7),_xlfn.XLOOKUP(H131,Config!$E$2:$E$5,Config!$F$2:$F$5),_xlfn.XLOOKUP(I131,Config!$G$2:$G$3,Config!$H$2:$H$3),_xlfn.XLOOKUP(J131,Config!$I$2:$I$3,Config!$J$2:$J$3),_xlfn.XLOOKUP(K131,Config!$K$2:$K$3,Config!$L$2:$L$3),_xlfn.XLOOKUP(L131,Config!$M$2:$M$3,Config!$N$2:$N$3),_xlfn.XLOOKUP(M131,Config!$O$2:$O$6,Config!$P$2:$P$6))</f>
        <v>1.6968616087499998E-4</v>
      </c>
      <c r="Q131" s="22">
        <v>1</v>
      </c>
      <c r="R131" s="16">
        <f>P131*Q131*Config!$B$19</f>
        <v>1.2470514526622322E-4</v>
      </c>
    </row>
    <row r="132" spans="1:18" x14ac:dyDescent="0.45">
      <c r="A132" s="7">
        <v>131</v>
      </c>
      <c r="B132" s="7" t="s">
        <v>1217</v>
      </c>
      <c r="C132" s="3" t="s">
        <v>967</v>
      </c>
      <c r="D132" s="3" t="s">
        <v>968</v>
      </c>
      <c r="E132" t="s">
        <v>896</v>
      </c>
      <c r="F132" t="s">
        <v>995</v>
      </c>
      <c r="G132" t="s">
        <v>831</v>
      </c>
      <c r="H132" t="s">
        <v>808</v>
      </c>
      <c r="I132" s="12" t="s">
        <v>1107</v>
      </c>
      <c r="K132" s="12" t="s">
        <v>1062</v>
      </c>
      <c r="L132" s="12" t="s">
        <v>1110</v>
      </c>
      <c r="M132" t="s">
        <v>837</v>
      </c>
      <c r="N132" s="12" t="s">
        <v>1190</v>
      </c>
      <c r="O132" t="s">
        <v>897</v>
      </c>
      <c r="P132" s="16">
        <f>PRODUCT(_xlfn.XLOOKUP(F132,Config!$A$2:$A$15,Config!$B$2:$B$15),_xlfn.XLOOKUP(G132,Config!$C$2:$C$7,Config!$D$2:$D$7),_xlfn.XLOOKUP(H132,Config!$E$2:$E$5,Config!$F$2:$F$5),_xlfn.XLOOKUP(I132,Config!$G$2:$G$3,Config!$H$2:$H$3),_xlfn.XLOOKUP(J132,Config!$I$2:$I$3,Config!$J$2:$J$3),_xlfn.XLOOKUP(K132,Config!$K$2:$K$3,Config!$L$2:$L$3),_xlfn.XLOOKUP(L132,Config!$M$2:$M$3,Config!$N$2:$N$3),_xlfn.XLOOKUP(M132,Config!$O$2:$O$6,Config!$P$2:$P$6))</f>
        <v>1.6968616087499998E-4</v>
      </c>
      <c r="Q132" s="22">
        <v>1</v>
      </c>
      <c r="R132" s="16">
        <f>P132*Q132*Config!$B$19</f>
        <v>1.2470514526622322E-4</v>
      </c>
    </row>
    <row r="133" spans="1:18" x14ac:dyDescent="0.45">
      <c r="A133" s="3">
        <v>132</v>
      </c>
      <c r="B133" s="3" t="s">
        <v>504</v>
      </c>
      <c r="C133" s="3" t="s">
        <v>622</v>
      </c>
      <c r="D133" s="3" t="s">
        <v>572</v>
      </c>
      <c r="F133" t="s">
        <v>990</v>
      </c>
      <c r="G133" t="s">
        <v>831</v>
      </c>
      <c r="H133" t="s">
        <v>808</v>
      </c>
      <c r="I133" s="12" t="s">
        <v>1107</v>
      </c>
      <c r="K133" s="12" t="s">
        <v>1062</v>
      </c>
      <c r="L133" s="12" t="s">
        <v>1110</v>
      </c>
      <c r="M133" t="s">
        <v>836</v>
      </c>
      <c r="N133" s="12" t="s">
        <v>1190</v>
      </c>
      <c r="O133" t="s">
        <v>500</v>
      </c>
      <c r="P133" s="16">
        <f>PRODUCT(_xlfn.XLOOKUP(F133,Config!$A$2:$A$15,Config!$B$2:$B$15),_xlfn.XLOOKUP(G133,Config!$C$2:$C$7,Config!$D$2:$D$7),_xlfn.XLOOKUP(H133,Config!$E$2:$E$5,Config!$F$2:$F$5),_xlfn.XLOOKUP(I133,Config!$G$2:$G$3,Config!$H$2:$H$3),_xlfn.XLOOKUP(J133,Config!$I$2:$I$3,Config!$J$2:$J$3),_xlfn.XLOOKUP(K133,Config!$K$2:$K$3,Config!$L$2:$L$3),_xlfn.XLOOKUP(L133,Config!$M$2:$M$3,Config!$N$2:$N$3),_xlfn.XLOOKUP(M133,Config!$O$2:$O$6,Config!$P$2:$P$6))</f>
        <v>1.3574892869999999E-3</v>
      </c>
      <c r="Q133" s="22">
        <v>1</v>
      </c>
      <c r="R133" s="16">
        <f>P133*Q133*Config!$B$19</f>
        <v>9.9764116212978579E-4</v>
      </c>
    </row>
    <row r="134" spans="1:18" x14ac:dyDescent="0.45">
      <c r="A134" s="3">
        <v>133</v>
      </c>
      <c r="B134" s="3" t="s">
        <v>69</v>
      </c>
      <c r="C134" s="3" t="s">
        <v>625</v>
      </c>
      <c r="D134" s="3" t="s">
        <v>501</v>
      </c>
      <c r="E134" t="s">
        <v>19</v>
      </c>
      <c r="F134" t="s">
        <v>988</v>
      </c>
      <c r="G134" t="s">
        <v>831</v>
      </c>
      <c r="H134" t="s">
        <v>808</v>
      </c>
      <c r="I134" s="12" t="s">
        <v>1107</v>
      </c>
      <c r="K134" s="12" t="s">
        <v>1062</v>
      </c>
      <c r="L134" s="12" t="s">
        <v>1110</v>
      </c>
      <c r="M134" t="s">
        <v>836</v>
      </c>
      <c r="N134" s="12" t="s">
        <v>1190</v>
      </c>
      <c r="O134" t="s">
        <v>70</v>
      </c>
      <c r="P134" s="16">
        <f>PRODUCT(_xlfn.XLOOKUP(F134,Config!$A$2:$A$15,Config!$B$2:$B$15),_xlfn.XLOOKUP(G134,Config!$C$2:$C$7,Config!$D$2:$D$7),_xlfn.XLOOKUP(H134,Config!$E$2:$E$5,Config!$F$2:$F$5),_xlfn.XLOOKUP(I134,Config!$G$2:$G$3,Config!$H$2:$H$3),_xlfn.XLOOKUP(J134,Config!$I$2:$I$3,Config!$J$2:$J$3),_xlfn.XLOOKUP(K134,Config!$K$2:$K$3,Config!$L$2:$L$3),_xlfn.XLOOKUP(L134,Config!$M$2:$M$3,Config!$N$2:$N$3),_xlfn.XLOOKUP(M134,Config!$O$2:$O$6,Config!$P$2:$P$6))</f>
        <v>1.3574892869999999E-3</v>
      </c>
      <c r="Q134" s="22">
        <v>1</v>
      </c>
      <c r="R134" s="16">
        <f>P134*Q134*Config!$B$19</f>
        <v>9.9764116212978579E-4</v>
      </c>
    </row>
    <row r="135" spans="1:18" x14ac:dyDescent="0.45">
      <c r="A135" s="3">
        <v>134</v>
      </c>
      <c r="B135" s="3" t="s">
        <v>234</v>
      </c>
      <c r="C135" s="3" t="s">
        <v>739</v>
      </c>
      <c r="D135" s="3" t="s">
        <v>281</v>
      </c>
      <c r="E135" t="s">
        <v>19</v>
      </c>
      <c r="F135" t="s">
        <v>993</v>
      </c>
      <c r="G135" t="s">
        <v>831</v>
      </c>
      <c r="H135" t="s">
        <v>808</v>
      </c>
      <c r="I135" s="12" t="s">
        <v>1107</v>
      </c>
      <c r="K135" s="12" t="s">
        <v>1062</v>
      </c>
      <c r="L135" s="12" t="s">
        <v>1110</v>
      </c>
      <c r="M135" t="s">
        <v>836</v>
      </c>
      <c r="N135" s="12" t="s">
        <v>1190</v>
      </c>
      <c r="O135" t="s">
        <v>235</v>
      </c>
      <c r="P135" s="16">
        <f>PRODUCT(_xlfn.XLOOKUP(F135,Config!$A$2:$A$15,Config!$B$2:$B$15),_xlfn.XLOOKUP(G135,Config!$C$2:$C$7,Config!$D$2:$D$7),_xlfn.XLOOKUP(H135,Config!$E$2:$E$5,Config!$F$2:$F$5),_xlfn.XLOOKUP(I135,Config!$G$2:$G$3,Config!$H$2:$H$3),_xlfn.XLOOKUP(J135,Config!$I$2:$I$3,Config!$J$2:$J$3),_xlfn.XLOOKUP(K135,Config!$K$2:$K$3,Config!$L$2:$L$3),_xlfn.XLOOKUP(L135,Config!$M$2:$M$3,Config!$N$2:$N$3),_xlfn.XLOOKUP(M135,Config!$O$2:$O$6,Config!$P$2:$P$6))</f>
        <v>5.0905848262499992E-4</v>
      </c>
      <c r="Q135" s="22">
        <v>1</v>
      </c>
      <c r="R135" s="16">
        <f>P135*Q135*Config!$B$19</f>
        <v>3.7411543579866967E-4</v>
      </c>
    </row>
    <row r="136" spans="1:18" x14ac:dyDescent="0.45">
      <c r="A136" s="7">
        <v>135</v>
      </c>
      <c r="B136" s="7" t="s">
        <v>234</v>
      </c>
      <c r="C136" s="7" t="s">
        <v>1211</v>
      </c>
      <c r="D136" s="7" t="s">
        <v>1212</v>
      </c>
      <c r="E136" t="s">
        <v>19</v>
      </c>
      <c r="F136" t="s">
        <v>992</v>
      </c>
      <c r="G136" t="s">
        <v>831</v>
      </c>
      <c r="H136" t="s">
        <v>808</v>
      </c>
      <c r="I136" s="12" t="s">
        <v>1107</v>
      </c>
      <c r="K136" s="12" t="s">
        <v>1062</v>
      </c>
      <c r="L136" s="12" t="s">
        <v>1110</v>
      </c>
      <c r="M136" t="s">
        <v>836</v>
      </c>
      <c r="N136" s="12" t="s">
        <v>1190</v>
      </c>
      <c r="O136" t="s">
        <v>236</v>
      </c>
      <c r="P136" s="16">
        <f>PRODUCT(_xlfn.XLOOKUP(F136,Config!$A$2:$A$15,Config!$B$2:$B$15),_xlfn.XLOOKUP(G136,Config!$C$2:$C$7,Config!$D$2:$D$7),_xlfn.XLOOKUP(H136,Config!$E$2:$E$5,Config!$F$2:$F$5),_xlfn.XLOOKUP(I136,Config!$G$2:$G$3,Config!$H$2:$H$3),_xlfn.XLOOKUP(J136,Config!$I$2:$I$3,Config!$J$2:$J$3),_xlfn.XLOOKUP(K136,Config!$K$2:$K$3,Config!$L$2:$L$3),_xlfn.XLOOKUP(L136,Config!$M$2:$M$3,Config!$N$2:$N$3),_xlfn.XLOOKUP(M136,Config!$O$2:$O$6,Config!$P$2:$P$6))</f>
        <v>5.0905848262499992E-4</v>
      </c>
      <c r="Q136" s="22">
        <v>1</v>
      </c>
      <c r="R136" s="16">
        <f>P136*Q136*Config!$B$19</f>
        <v>3.7411543579866967E-4</v>
      </c>
    </row>
    <row r="137" spans="1:18" x14ac:dyDescent="0.45">
      <c r="A137" s="7">
        <v>136</v>
      </c>
      <c r="B137" s="7" t="s">
        <v>1214</v>
      </c>
      <c r="C137" s="3" t="s">
        <v>740</v>
      </c>
      <c r="D137" s="3" t="s">
        <v>282</v>
      </c>
      <c r="E137" t="s">
        <v>67</v>
      </c>
      <c r="F137" t="s">
        <v>991</v>
      </c>
      <c r="G137" t="s">
        <v>831</v>
      </c>
      <c r="H137" t="s">
        <v>808</v>
      </c>
      <c r="I137" s="12" t="s">
        <v>1107</v>
      </c>
      <c r="K137" s="12" t="s">
        <v>1062</v>
      </c>
      <c r="L137" s="12" t="s">
        <v>1110</v>
      </c>
      <c r="M137" t="s">
        <v>836</v>
      </c>
      <c r="N137" s="12" t="s">
        <v>1190</v>
      </c>
      <c r="O137" t="s">
        <v>240</v>
      </c>
      <c r="P137" s="16">
        <f>PRODUCT(_xlfn.XLOOKUP(F137,Config!$A$2:$A$15,Config!$B$2:$B$15),_xlfn.XLOOKUP(G137,Config!$C$2:$C$7,Config!$D$2:$D$7),_xlfn.XLOOKUP(H137,Config!$E$2:$E$5,Config!$F$2:$F$5),_xlfn.XLOOKUP(I137,Config!$G$2:$G$3,Config!$H$2:$H$3),_xlfn.XLOOKUP(J137,Config!$I$2:$I$3,Config!$J$2:$J$3),_xlfn.XLOOKUP(K137,Config!$K$2:$K$3,Config!$L$2:$L$3),_xlfn.XLOOKUP(L137,Config!$M$2:$M$3,Config!$N$2:$N$3),_xlfn.XLOOKUP(M137,Config!$O$2:$O$6,Config!$P$2:$P$6))</f>
        <v>5.0905848262499992E-4</v>
      </c>
      <c r="Q137" s="22">
        <v>1</v>
      </c>
      <c r="R137" s="16">
        <f>P137*Q137*Config!$B$19</f>
        <v>3.7411543579866967E-4</v>
      </c>
    </row>
    <row r="138" spans="1:18" x14ac:dyDescent="0.45">
      <c r="A138" s="7">
        <v>137</v>
      </c>
      <c r="B138" s="7" t="s">
        <v>1215</v>
      </c>
      <c r="C138" s="3" t="s">
        <v>740</v>
      </c>
      <c r="D138" s="3" t="s">
        <v>282</v>
      </c>
      <c r="E138" t="s">
        <v>799</v>
      </c>
      <c r="F138" t="s">
        <v>991</v>
      </c>
      <c r="G138" t="s">
        <v>831</v>
      </c>
      <c r="H138" t="s">
        <v>808</v>
      </c>
      <c r="I138" s="12" t="s">
        <v>1107</v>
      </c>
      <c r="K138" s="12" t="s">
        <v>1062</v>
      </c>
      <c r="L138" s="12" t="s">
        <v>1110</v>
      </c>
      <c r="M138" t="s">
        <v>836</v>
      </c>
      <c r="N138" s="12" t="s">
        <v>1190</v>
      </c>
      <c r="O138" t="s">
        <v>240</v>
      </c>
      <c r="P138" s="16">
        <f>PRODUCT(_xlfn.XLOOKUP(F138,Config!$A$2:$A$15,Config!$B$2:$B$15),_xlfn.XLOOKUP(G138,Config!$C$2:$C$7,Config!$D$2:$D$7),_xlfn.XLOOKUP(H138,Config!$E$2:$E$5,Config!$F$2:$F$5),_xlfn.XLOOKUP(I138,Config!$G$2:$G$3,Config!$H$2:$H$3),_xlfn.XLOOKUP(J138,Config!$I$2:$I$3,Config!$J$2:$J$3),_xlfn.XLOOKUP(K138,Config!$K$2:$K$3,Config!$L$2:$L$3),_xlfn.XLOOKUP(L138,Config!$M$2:$M$3,Config!$N$2:$N$3),_xlfn.XLOOKUP(M138,Config!$O$2:$O$6,Config!$P$2:$P$6))</f>
        <v>5.0905848262499992E-4</v>
      </c>
      <c r="Q138" s="22">
        <v>1</v>
      </c>
      <c r="R138" s="16">
        <f>P138*Q138*Config!$B$19</f>
        <v>3.7411543579866967E-4</v>
      </c>
    </row>
    <row r="139" spans="1:18" x14ac:dyDescent="0.45">
      <c r="A139" s="7">
        <v>138</v>
      </c>
      <c r="B139" s="7" t="s">
        <v>1216</v>
      </c>
      <c r="C139" s="3" t="s">
        <v>1526</v>
      </c>
      <c r="D139" s="3" t="s">
        <v>893</v>
      </c>
      <c r="E139" t="s">
        <v>894</v>
      </c>
      <c r="F139" t="s">
        <v>995</v>
      </c>
      <c r="G139" t="s">
        <v>831</v>
      </c>
      <c r="H139" t="s">
        <v>808</v>
      </c>
      <c r="I139" s="12" t="s">
        <v>1107</v>
      </c>
      <c r="K139" s="12" t="s">
        <v>1062</v>
      </c>
      <c r="L139" s="12" t="s">
        <v>1110</v>
      </c>
      <c r="M139" t="s">
        <v>836</v>
      </c>
      <c r="N139" s="12" t="s">
        <v>1190</v>
      </c>
      <c r="O139" t="s">
        <v>895</v>
      </c>
      <c r="P139" s="16">
        <f>PRODUCT(_xlfn.XLOOKUP(F139,Config!$A$2:$A$15,Config!$B$2:$B$15),_xlfn.XLOOKUP(G139,Config!$C$2:$C$7,Config!$D$2:$D$7),_xlfn.XLOOKUP(H139,Config!$E$2:$E$5,Config!$F$2:$F$5),_xlfn.XLOOKUP(I139,Config!$G$2:$G$3,Config!$H$2:$H$3),_xlfn.XLOOKUP(J139,Config!$I$2:$I$3,Config!$J$2:$J$3),_xlfn.XLOOKUP(K139,Config!$K$2:$K$3,Config!$L$2:$L$3),_xlfn.XLOOKUP(L139,Config!$M$2:$M$3,Config!$N$2:$N$3),_xlfn.XLOOKUP(M139,Config!$O$2:$O$6,Config!$P$2:$P$6))</f>
        <v>5.0905848262499992E-4</v>
      </c>
      <c r="Q139" s="22">
        <v>1</v>
      </c>
      <c r="R139" s="16">
        <f>P139*Q139*Config!$B$19</f>
        <v>3.7411543579866967E-4</v>
      </c>
    </row>
    <row r="140" spans="1:18" x14ac:dyDescent="0.45">
      <c r="A140" s="7">
        <v>139</v>
      </c>
      <c r="B140" s="7" t="s">
        <v>18</v>
      </c>
      <c r="C140" s="3" t="s">
        <v>626</v>
      </c>
      <c r="D140" s="3" t="s">
        <v>502</v>
      </c>
      <c r="E140" t="s">
        <v>67</v>
      </c>
      <c r="F140" t="s">
        <v>989</v>
      </c>
      <c r="G140" t="s">
        <v>831</v>
      </c>
      <c r="H140" t="s">
        <v>808</v>
      </c>
      <c r="I140" s="12" t="s">
        <v>1107</v>
      </c>
      <c r="K140" s="12" t="s">
        <v>1062</v>
      </c>
      <c r="L140" s="12" t="s">
        <v>1110</v>
      </c>
      <c r="M140" t="s">
        <v>836</v>
      </c>
      <c r="N140" s="12" t="s">
        <v>1190</v>
      </c>
      <c r="O140" t="s">
        <v>20</v>
      </c>
      <c r="P140" s="16">
        <f>PRODUCT(_xlfn.XLOOKUP(F140,Config!$A$2:$A$15,Config!$B$2:$B$15),_xlfn.XLOOKUP(G140,Config!$C$2:$C$7,Config!$D$2:$D$7),_xlfn.XLOOKUP(H140,Config!$E$2:$E$5,Config!$F$2:$F$5),_xlfn.XLOOKUP(I140,Config!$G$2:$G$3,Config!$H$2:$H$3),_xlfn.XLOOKUP(J140,Config!$I$2:$I$3,Config!$J$2:$J$3),_xlfn.XLOOKUP(K140,Config!$K$2:$K$3,Config!$L$2:$L$3),_xlfn.XLOOKUP(L140,Config!$M$2:$M$3,Config!$N$2:$N$3),_xlfn.XLOOKUP(M140,Config!$O$2:$O$6,Config!$P$2:$P$6))</f>
        <v>1.3574892869999999E-3</v>
      </c>
      <c r="Q140" s="22">
        <v>1</v>
      </c>
      <c r="R140" s="16">
        <f>P140*Q140*Config!$B$19</f>
        <v>9.9764116212978579E-4</v>
      </c>
    </row>
    <row r="141" spans="1:18" x14ac:dyDescent="0.45">
      <c r="A141" s="3">
        <v>140</v>
      </c>
      <c r="B141" s="11" t="s">
        <v>663</v>
      </c>
      <c r="C141" s="11" t="s">
        <v>617</v>
      </c>
      <c r="D141" s="3" t="s">
        <v>555</v>
      </c>
      <c r="E141" s="2" t="s">
        <v>982</v>
      </c>
      <c r="F141" t="s">
        <v>984</v>
      </c>
      <c r="G141" t="s">
        <v>831</v>
      </c>
      <c r="H141" s="2" t="s">
        <v>808</v>
      </c>
      <c r="I141" s="12" t="s">
        <v>1107</v>
      </c>
      <c r="J141" s="2"/>
      <c r="K141" s="12" t="s">
        <v>1062</v>
      </c>
      <c r="L141" t="s">
        <v>1111</v>
      </c>
      <c r="M141" s="12" t="s">
        <v>838</v>
      </c>
      <c r="N141" s="12" t="s">
        <v>1190</v>
      </c>
      <c r="O141" s="2" t="s">
        <v>109</v>
      </c>
      <c r="P141" s="16">
        <f>PRODUCT(_xlfn.XLOOKUP(F141,Config!$A$2:$A$15,Config!$B$2:$B$15),_xlfn.XLOOKUP(G141,Config!$C$2:$C$7,Config!$D$2:$D$7),_xlfn.XLOOKUP(H141,Config!$E$2:$E$5,Config!$F$2:$F$5),_xlfn.XLOOKUP(I141,Config!$G$2:$G$3,Config!$H$2:$H$3),_xlfn.XLOOKUP(J141,Config!$I$2:$I$3,Config!$J$2:$J$3),_xlfn.XLOOKUP(K141,Config!$K$2:$K$3,Config!$L$2:$L$3),_xlfn.XLOOKUP(L141,Config!$M$2:$M$3,Config!$N$2:$N$3),_xlfn.XLOOKUP(M141,Config!$O$2:$O$6,Config!$P$2:$P$6))</f>
        <v>1.429221024E-3</v>
      </c>
      <c r="Q141" s="22">
        <v>1</v>
      </c>
      <c r="R141" s="16">
        <f>P141*Q141*Config!$B$19</f>
        <v>1.0503579932293658E-3</v>
      </c>
    </row>
    <row r="142" spans="1:18" x14ac:dyDescent="0.45">
      <c r="A142" s="3">
        <v>141</v>
      </c>
      <c r="B142" s="11" t="s">
        <v>663</v>
      </c>
      <c r="C142" s="11" t="s">
        <v>617</v>
      </c>
      <c r="D142" s="3" t="s">
        <v>555</v>
      </c>
      <c r="E142" s="2" t="s">
        <v>982</v>
      </c>
      <c r="F142" t="s">
        <v>971</v>
      </c>
      <c r="G142" t="s">
        <v>831</v>
      </c>
      <c r="H142" s="2" t="s">
        <v>808</v>
      </c>
      <c r="I142" s="12" t="s">
        <v>1107</v>
      </c>
      <c r="J142" s="2"/>
      <c r="K142" s="12" t="s">
        <v>1062</v>
      </c>
      <c r="L142" t="s">
        <v>1111</v>
      </c>
      <c r="M142" s="12" t="s">
        <v>838</v>
      </c>
      <c r="N142" s="12" t="s">
        <v>1190</v>
      </c>
      <c r="P142" s="16">
        <f>PRODUCT(_xlfn.XLOOKUP(F142,Config!$A$2:$A$15,Config!$B$2:$B$15),_xlfn.XLOOKUP(G142,Config!$C$2:$C$7,Config!$D$2:$D$7),_xlfn.XLOOKUP(H142,Config!$E$2:$E$5,Config!$F$2:$F$5),_xlfn.XLOOKUP(I142,Config!$G$2:$G$3,Config!$H$2:$H$3),_xlfn.XLOOKUP(J142,Config!$I$2:$I$3,Config!$J$2:$J$3),_xlfn.XLOOKUP(K142,Config!$K$2:$K$3,Config!$L$2:$L$3),_xlfn.XLOOKUP(L142,Config!$M$2:$M$3,Config!$N$2:$N$3),_xlfn.XLOOKUP(M142,Config!$O$2:$O$6,Config!$P$2:$P$6))</f>
        <v>8.0393682599999995E-4</v>
      </c>
      <c r="Q142" s="22">
        <v>1</v>
      </c>
      <c r="R142" s="16">
        <f>P142*Q142*Config!$B$19</f>
        <v>5.908263711915183E-4</v>
      </c>
    </row>
    <row r="143" spans="1:18" x14ac:dyDescent="0.45">
      <c r="A143" s="3">
        <v>142</v>
      </c>
      <c r="B143" s="11" t="s">
        <v>663</v>
      </c>
      <c r="C143" s="11" t="s">
        <v>617</v>
      </c>
      <c r="D143" s="3" t="s">
        <v>555</v>
      </c>
      <c r="E143" s="2" t="s">
        <v>982</v>
      </c>
      <c r="F143" t="s">
        <v>985</v>
      </c>
      <c r="G143" t="s">
        <v>831</v>
      </c>
      <c r="H143" s="2" t="s">
        <v>808</v>
      </c>
      <c r="I143" s="12" t="s">
        <v>1107</v>
      </c>
      <c r="J143" s="2"/>
      <c r="K143" s="12" t="s">
        <v>1062</v>
      </c>
      <c r="L143" t="s">
        <v>1111</v>
      </c>
      <c r="M143" s="12" t="s">
        <v>838</v>
      </c>
      <c r="N143" s="12" t="s">
        <v>1190</v>
      </c>
      <c r="P143" s="16">
        <f>PRODUCT(_xlfn.XLOOKUP(F143,Config!$A$2:$A$15,Config!$B$2:$B$15),_xlfn.XLOOKUP(G143,Config!$C$2:$C$7,Config!$D$2:$D$7),_xlfn.XLOOKUP(H143,Config!$E$2:$E$5,Config!$F$2:$F$5),_xlfn.XLOOKUP(I143,Config!$G$2:$G$3,Config!$H$2:$H$3),_xlfn.XLOOKUP(J143,Config!$I$2:$I$3,Config!$J$2:$J$3),_xlfn.XLOOKUP(K143,Config!$K$2:$K$3,Config!$L$2:$L$3),_xlfn.XLOOKUP(L143,Config!$M$2:$M$3,Config!$N$2:$N$3),_xlfn.XLOOKUP(M143,Config!$O$2:$O$6,Config!$P$2:$P$6))</f>
        <v>1.234327248E-3</v>
      </c>
      <c r="Q143" s="22">
        <v>1</v>
      </c>
      <c r="R143" s="16">
        <f>P143*Q143*Config!$B$19</f>
        <v>9.0712735778899784E-4</v>
      </c>
    </row>
    <row r="144" spans="1:18" x14ac:dyDescent="0.45">
      <c r="A144" s="3">
        <v>143</v>
      </c>
      <c r="B144" s="11" t="s">
        <v>663</v>
      </c>
      <c r="C144" s="11" t="s">
        <v>617</v>
      </c>
      <c r="D144" s="3" t="s">
        <v>555</v>
      </c>
      <c r="E144" s="2" t="s">
        <v>982</v>
      </c>
      <c r="F144" t="s">
        <v>986</v>
      </c>
      <c r="G144" t="s">
        <v>831</v>
      </c>
      <c r="H144" s="2" t="s">
        <v>808</v>
      </c>
      <c r="I144" s="12" t="s">
        <v>1107</v>
      </c>
      <c r="J144" s="2"/>
      <c r="K144" s="12" t="s">
        <v>1062</v>
      </c>
      <c r="L144" t="s">
        <v>1111</v>
      </c>
      <c r="M144" s="12" t="s">
        <v>838</v>
      </c>
      <c r="N144" s="12" t="s">
        <v>1190</v>
      </c>
      <c r="P144" s="16">
        <f>PRODUCT(_xlfn.XLOOKUP(F144,Config!$A$2:$A$15,Config!$B$2:$B$15),_xlfn.XLOOKUP(G144,Config!$C$2:$C$7,Config!$D$2:$D$7),_xlfn.XLOOKUP(H144,Config!$E$2:$E$5,Config!$F$2:$F$5),_xlfn.XLOOKUP(I144,Config!$G$2:$G$3,Config!$H$2:$H$3),_xlfn.XLOOKUP(J144,Config!$I$2:$I$3,Config!$J$2:$J$3),_xlfn.XLOOKUP(K144,Config!$K$2:$K$3,Config!$L$2:$L$3),_xlfn.XLOOKUP(L144,Config!$M$2:$M$3,Config!$N$2:$N$3),_xlfn.XLOOKUP(M144,Config!$O$2:$O$6,Config!$P$2:$P$6))</f>
        <v>6.9430907699999996E-4</v>
      </c>
      <c r="Q144" s="22">
        <v>1</v>
      </c>
      <c r="R144" s="16">
        <f>P144*Q144*Config!$B$19</f>
        <v>5.1025913875631123E-4</v>
      </c>
    </row>
    <row r="145" spans="1:19" x14ac:dyDescent="0.45">
      <c r="A145" s="3">
        <v>144</v>
      </c>
      <c r="B145" s="11" t="s">
        <v>663</v>
      </c>
      <c r="C145" s="11" t="s">
        <v>617</v>
      </c>
      <c r="D145" s="3" t="s">
        <v>555</v>
      </c>
      <c r="E145" s="2" t="s">
        <v>982</v>
      </c>
      <c r="F145" t="s">
        <v>1010</v>
      </c>
      <c r="G145" t="s">
        <v>831</v>
      </c>
      <c r="H145" s="2" t="s">
        <v>808</v>
      </c>
      <c r="I145" s="12" t="s">
        <v>1107</v>
      </c>
      <c r="J145" s="2"/>
      <c r="K145" s="12" t="s">
        <v>1062</v>
      </c>
      <c r="L145" t="s">
        <v>1111</v>
      </c>
      <c r="M145" s="12" t="s">
        <v>838</v>
      </c>
      <c r="N145" s="12" t="s">
        <v>1190</v>
      </c>
      <c r="P145" s="16">
        <f>PRODUCT(_xlfn.XLOOKUP(F145,Config!$A$2:$A$15,Config!$B$2:$B$15),_xlfn.XLOOKUP(G145,Config!$C$2:$C$7,Config!$D$2:$D$7),_xlfn.XLOOKUP(H145,Config!$E$2:$E$5,Config!$F$2:$F$5),_xlfn.XLOOKUP(I145,Config!$G$2:$G$3,Config!$H$2:$H$3),_xlfn.XLOOKUP(J145,Config!$I$2:$I$3,Config!$J$2:$J$3),_xlfn.XLOOKUP(K145,Config!$K$2:$K$3,Config!$L$2:$L$3),_xlfn.XLOOKUP(L145,Config!$M$2:$M$3,Config!$N$2:$N$3),_xlfn.XLOOKUP(M145,Config!$O$2:$O$6,Config!$P$2:$P$6))</f>
        <v>9.5822773199999997E-4</v>
      </c>
      <c r="Q145" s="22">
        <v>1</v>
      </c>
      <c r="R145" s="16">
        <f>P145*Q145*Config!$B$19</f>
        <v>7.0421729091514303E-4</v>
      </c>
    </row>
    <row r="146" spans="1:19" x14ac:dyDescent="0.45">
      <c r="A146" s="3">
        <v>145</v>
      </c>
      <c r="B146" s="27" t="s">
        <v>663</v>
      </c>
      <c r="C146" s="27" t="s">
        <v>617</v>
      </c>
      <c r="D146" s="28" t="s">
        <v>561</v>
      </c>
      <c r="E146" s="6" t="s">
        <v>108</v>
      </c>
      <c r="F146" t="s">
        <v>1010</v>
      </c>
      <c r="G146" t="s">
        <v>831</v>
      </c>
      <c r="H146" s="6" t="s">
        <v>808</v>
      </c>
      <c r="I146" s="12" t="s">
        <v>1107</v>
      </c>
      <c r="J146" s="6"/>
      <c r="K146" s="12" t="s">
        <v>1062</v>
      </c>
      <c r="L146" t="s">
        <v>1111</v>
      </c>
      <c r="M146" s="12" t="s">
        <v>838</v>
      </c>
      <c r="N146" s="12" t="s">
        <v>1190</v>
      </c>
      <c r="O146" s="6" t="s">
        <v>109</v>
      </c>
      <c r="P146" s="16">
        <f>PRODUCT(_xlfn.XLOOKUP(F146,Config!$A$2:$A$15,Config!$B$2:$B$15),_xlfn.XLOOKUP(G146,Config!$C$2:$C$7,Config!$D$2:$D$7),_xlfn.XLOOKUP(H146,Config!$E$2:$E$5,Config!$F$2:$F$5),_xlfn.XLOOKUP(I146,Config!$G$2:$G$3,Config!$H$2:$H$3),_xlfn.XLOOKUP(J146,Config!$I$2:$I$3,Config!$J$2:$J$3),_xlfn.XLOOKUP(K146,Config!$K$2:$K$3,Config!$L$2:$L$3),_xlfn.XLOOKUP(L146,Config!$M$2:$M$3,Config!$N$2:$N$3),_xlfn.XLOOKUP(M146,Config!$O$2:$O$6,Config!$P$2:$P$6))</f>
        <v>9.5822773199999997E-4</v>
      </c>
      <c r="Q146" s="22">
        <v>1</v>
      </c>
      <c r="R146" s="16">
        <f>P146*Q146*Config!$B$19</f>
        <v>7.0421729091514303E-4</v>
      </c>
      <c r="S146" s="5"/>
    </row>
    <row r="147" spans="1:19" x14ac:dyDescent="0.45">
      <c r="A147" s="3">
        <v>146</v>
      </c>
      <c r="B147" s="3" t="s">
        <v>497</v>
      </c>
      <c r="C147" s="3" t="s">
        <v>621</v>
      </c>
      <c r="D147" s="3" t="s">
        <v>569</v>
      </c>
      <c r="F147" t="s">
        <v>990</v>
      </c>
      <c r="G147" t="s">
        <v>831</v>
      </c>
      <c r="H147" t="s">
        <v>808</v>
      </c>
      <c r="I147" s="12" t="s">
        <v>1107</v>
      </c>
      <c r="K147" s="12" t="s">
        <v>1062</v>
      </c>
      <c r="L147" t="s">
        <v>1111</v>
      </c>
      <c r="M147" s="12" t="s">
        <v>838</v>
      </c>
      <c r="N147" s="12" t="s">
        <v>1190</v>
      </c>
      <c r="O147" t="s">
        <v>498</v>
      </c>
      <c r="P147" s="16">
        <f>PRODUCT(_xlfn.XLOOKUP(F147,Config!$A$2:$A$15,Config!$B$2:$B$15),_xlfn.XLOOKUP(G147,Config!$C$2:$C$7,Config!$D$2:$D$7),_xlfn.XLOOKUP(H147,Config!$E$2:$E$5,Config!$F$2:$F$5),_xlfn.XLOOKUP(I147,Config!$G$2:$G$3,Config!$H$2:$H$3),_xlfn.XLOOKUP(J147,Config!$I$2:$I$3,Config!$J$2:$J$3),_xlfn.XLOOKUP(K147,Config!$K$2:$K$3,Config!$L$2:$L$3),_xlfn.XLOOKUP(L147,Config!$M$2:$M$3,Config!$N$2:$N$3),_xlfn.XLOOKUP(M147,Config!$O$2:$O$6,Config!$P$2:$P$6))</f>
        <v>9.5822773199999997E-4</v>
      </c>
      <c r="Q147" s="22">
        <v>1</v>
      </c>
      <c r="R147" s="16">
        <f>P147*Q147*Config!$B$19</f>
        <v>7.0421729091514303E-4</v>
      </c>
    </row>
    <row r="148" spans="1:19" x14ac:dyDescent="0.45">
      <c r="A148" s="3">
        <v>147</v>
      </c>
      <c r="B148" s="3" t="s">
        <v>269</v>
      </c>
      <c r="C148" s="3" t="s">
        <v>623</v>
      </c>
      <c r="D148" s="3" t="s">
        <v>275</v>
      </c>
      <c r="E148" t="s">
        <v>42</v>
      </c>
      <c r="F148" t="s">
        <v>988</v>
      </c>
      <c r="G148" t="s">
        <v>831</v>
      </c>
      <c r="H148" t="s">
        <v>808</v>
      </c>
      <c r="I148" s="12" t="s">
        <v>1107</v>
      </c>
      <c r="K148" s="12" t="s">
        <v>1062</v>
      </c>
      <c r="L148" t="s">
        <v>1111</v>
      </c>
      <c r="M148" s="12" t="s">
        <v>838</v>
      </c>
      <c r="N148" s="12" t="s">
        <v>1190</v>
      </c>
      <c r="O148" t="s">
        <v>43</v>
      </c>
      <c r="P148" s="16">
        <f>PRODUCT(_xlfn.XLOOKUP(F148,Config!$A$2:$A$15,Config!$B$2:$B$15),_xlfn.XLOOKUP(G148,Config!$C$2:$C$7,Config!$D$2:$D$7),_xlfn.XLOOKUP(H148,Config!$E$2:$E$5,Config!$F$2:$F$5),_xlfn.XLOOKUP(I148,Config!$G$2:$G$3,Config!$H$2:$H$3),_xlfn.XLOOKUP(J148,Config!$I$2:$I$3,Config!$J$2:$J$3),_xlfn.XLOOKUP(K148,Config!$K$2:$K$3,Config!$L$2:$L$3),_xlfn.XLOOKUP(L148,Config!$M$2:$M$3,Config!$N$2:$N$3),_xlfn.XLOOKUP(M148,Config!$O$2:$O$6,Config!$P$2:$P$6))</f>
        <v>9.5822773199999997E-4</v>
      </c>
      <c r="Q148" s="22">
        <v>1</v>
      </c>
      <c r="R148" s="16">
        <f>P148*Q148*Config!$B$19</f>
        <v>7.0421729091514303E-4</v>
      </c>
    </row>
    <row r="149" spans="1:19" x14ac:dyDescent="0.45">
      <c r="A149" s="3">
        <v>148</v>
      </c>
      <c r="B149" s="27" t="s">
        <v>663</v>
      </c>
      <c r="C149" s="11" t="s">
        <v>617</v>
      </c>
      <c r="D149" s="3" t="s">
        <v>555</v>
      </c>
      <c r="E149" s="2" t="s">
        <v>982</v>
      </c>
      <c r="F149" t="s">
        <v>987</v>
      </c>
      <c r="G149" t="s">
        <v>831</v>
      </c>
      <c r="H149" s="2" t="s">
        <v>808</v>
      </c>
      <c r="I149" s="12" t="s">
        <v>1107</v>
      </c>
      <c r="J149" s="2"/>
      <c r="K149" s="12" t="s">
        <v>1062</v>
      </c>
      <c r="L149" t="s">
        <v>1111</v>
      </c>
      <c r="M149" s="12" t="s">
        <v>838</v>
      </c>
      <c r="N149" s="12" t="s">
        <v>1190</v>
      </c>
      <c r="P149" s="16">
        <f>PRODUCT(_xlfn.XLOOKUP(F149,Config!$A$2:$A$15,Config!$B$2:$B$15),_xlfn.XLOOKUP(G149,Config!$C$2:$C$7,Config!$D$2:$D$7),_xlfn.XLOOKUP(H149,Config!$E$2:$E$5,Config!$F$2:$F$5),_xlfn.XLOOKUP(I149,Config!$G$2:$G$3,Config!$H$2:$H$3),_xlfn.XLOOKUP(J149,Config!$I$2:$I$3,Config!$J$2:$J$3),_xlfn.XLOOKUP(K149,Config!$K$2:$K$3,Config!$L$2:$L$3),_xlfn.XLOOKUP(L149,Config!$M$2:$M$3,Config!$N$2:$N$3),_xlfn.XLOOKUP(M149,Config!$O$2:$O$6,Config!$P$2:$P$6))</f>
        <v>3.5933539949999988E-4</v>
      </c>
      <c r="Q149" s="22">
        <v>1</v>
      </c>
      <c r="R149" s="16">
        <f>P149*Q149*Config!$B$19</f>
        <v>2.6408148409317857E-4</v>
      </c>
    </row>
    <row r="150" spans="1:19" x14ac:dyDescent="0.45">
      <c r="A150" s="3">
        <v>149</v>
      </c>
      <c r="B150" s="3" t="s">
        <v>225</v>
      </c>
      <c r="C150" s="3" t="s">
        <v>741</v>
      </c>
      <c r="D150" s="3" t="s">
        <v>1017</v>
      </c>
      <c r="E150" t="s">
        <v>42</v>
      </c>
      <c r="F150" t="s">
        <v>993</v>
      </c>
      <c r="G150" t="s">
        <v>831</v>
      </c>
      <c r="H150" t="s">
        <v>808</v>
      </c>
      <c r="I150" s="12" t="s">
        <v>1107</v>
      </c>
      <c r="K150" s="12" t="s">
        <v>1062</v>
      </c>
      <c r="L150" t="s">
        <v>1111</v>
      </c>
      <c r="M150" s="12" t="s">
        <v>838</v>
      </c>
      <c r="N150" s="12" t="s">
        <v>1190</v>
      </c>
      <c r="O150" t="s">
        <v>226</v>
      </c>
      <c r="P150" s="16">
        <f>PRODUCT(_xlfn.XLOOKUP(F150,Config!$A$2:$A$15,Config!$B$2:$B$15),_xlfn.XLOOKUP(G150,Config!$C$2:$C$7,Config!$D$2:$D$7),_xlfn.XLOOKUP(H150,Config!$E$2:$E$5,Config!$F$2:$F$5),_xlfn.XLOOKUP(I150,Config!$G$2:$G$3,Config!$H$2:$H$3),_xlfn.XLOOKUP(J150,Config!$I$2:$I$3,Config!$J$2:$J$3),_xlfn.XLOOKUP(K150,Config!$K$2:$K$3,Config!$L$2:$L$3),_xlfn.XLOOKUP(L150,Config!$M$2:$M$3,Config!$N$2:$N$3),_xlfn.XLOOKUP(M150,Config!$O$2:$O$6,Config!$P$2:$P$6))</f>
        <v>3.5933539949999988E-4</v>
      </c>
      <c r="Q150" s="22">
        <v>1</v>
      </c>
      <c r="R150" s="16">
        <f>P150*Q150*Config!$B$19</f>
        <v>2.6408148409317857E-4</v>
      </c>
    </row>
    <row r="151" spans="1:19" x14ac:dyDescent="0.45">
      <c r="A151" s="7">
        <v>150</v>
      </c>
      <c r="B151" s="7" t="s">
        <v>225</v>
      </c>
      <c r="C151" s="7" t="s">
        <v>1127</v>
      </c>
      <c r="D151" s="7" t="s">
        <v>1128</v>
      </c>
      <c r="E151" t="s">
        <v>42</v>
      </c>
      <c r="F151" t="s">
        <v>992</v>
      </c>
      <c r="G151" t="s">
        <v>831</v>
      </c>
      <c r="H151" t="s">
        <v>808</v>
      </c>
      <c r="I151" s="12" t="s">
        <v>1107</v>
      </c>
      <c r="K151" s="12" t="s">
        <v>1062</v>
      </c>
      <c r="L151" t="s">
        <v>1111</v>
      </c>
      <c r="M151" s="12" t="s">
        <v>838</v>
      </c>
      <c r="N151" s="12" t="s">
        <v>1190</v>
      </c>
      <c r="O151" t="s">
        <v>227</v>
      </c>
      <c r="P151" s="16">
        <f>PRODUCT(_xlfn.XLOOKUP(F151,Config!$A$2:$A$15,Config!$B$2:$B$15),_xlfn.XLOOKUP(G151,Config!$C$2:$C$7,Config!$D$2:$D$7),_xlfn.XLOOKUP(H151,Config!$E$2:$E$5,Config!$F$2:$F$5),_xlfn.XLOOKUP(I151,Config!$G$2:$G$3,Config!$H$2:$H$3),_xlfn.XLOOKUP(J151,Config!$I$2:$I$3,Config!$J$2:$J$3),_xlfn.XLOOKUP(K151,Config!$K$2:$K$3,Config!$L$2:$L$3),_xlfn.XLOOKUP(L151,Config!$M$2:$M$3,Config!$N$2:$N$3),_xlfn.XLOOKUP(M151,Config!$O$2:$O$6,Config!$P$2:$P$6))</f>
        <v>3.5933539949999988E-4</v>
      </c>
      <c r="Q151" s="22">
        <v>1</v>
      </c>
      <c r="R151" s="16">
        <f>P151*Q151*Config!$B$19</f>
        <v>2.6408148409317857E-4</v>
      </c>
    </row>
    <row r="152" spans="1:19" x14ac:dyDescent="0.45">
      <c r="A152" s="3">
        <v>151</v>
      </c>
      <c r="B152" s="3" t="s">
        <v>1265</v>
      </c>
      <c r="C152" s="3" t="s">
        <v>1266</v>
      </c>
      <c r="D152" s="3" t="s">
        <v>1267</v>
      </c>
      <c r="E152" t="s">
        <v>1273</v>
      </c>
      <c r="F152" t="s">
        <v>984</v>
      </c>
      <c r="G152" t="s">
        <v>830</v>
      </c>
      <c r="H152" t="s">
        <v>768</v>
      </c>
      <c r="I152" s="12" t="s">
        <v>1107</v>
      </c>
      <c r="J152" s="12"/>
      <c r="K152" s="12" t="s">
        <v>1062</v>
      </c>
      <c r="L152" s="12" t="s">
        <v>1110</v>
      </c>
      <c r="M152" s="12" t="s">
        <v>838</v>
      </c>
      <c r="N152" s="14" t="s">
        <v>1003</v>
      </c>
      <c r="O152" s="7" t="s">
        <v>1269</v>
      </c>
      <c r="P152" s="16">
        <f>PRODUCT(_xlfn.XLOOKUP(F152,Config!$A$2:$A$15,Config!$B$2:$B$15),_xlfn.XLOOKUP(G152,Config!$C$2:$C$7,Config!$D$2:$D$7),_xlfn.XLOOKUP(H152,Config!$E$2:$E$5,Config!$F$2:$F$5),_xlfn.XLOOKUP(I152,Config!$G$2:$G$3,Config!$H$2:$H$3),_xlfn.XLOOKUP(J152,Config!$I$2:$I$3,Config!$J$2:$J$3),_xlfn.XLOOKUP(K152,Config!$K$2:$K$3,Config!$L$2:$L$3),_xlfn.XLOOKUP(L152,Config!$M$2:$M$3,Config!$N$2:$N$3),_xlfn.XLOOKUP(M152,Config!$O$2:$O$6,Config!$P$2:$P$6))</f>
        <v>1.5146030592000004E-3</v>
      </c>
      <c r="Q152" s="22">
        <v>0.75</v>
      </c>
      <c r="R152" s="16">
        <f>P152*Q152*Config!$B$19</f>
        <v>8.3482998942385983E-4</v>
      </c>
    </row>
    <row r="153" spans="1:19" x14ac:dyDescent="0.45">
      <c r="A153" s="7">
        <v>152</v>
      </c>
      <c r="B153" s="7" t="s">
        <v>228</v>
      </c>
      <c r="C153" s="3" t="s">
        <v>742</v>
      </c>
      <c r="D153" s="3" t="s">
        <v>274</v>
      </c>
      <c r="E153" t="s">
        <v>795</v>
      </c>
      <c r="F153" t="s">
        <v>991</v>
      </c>
      <c r="G153" t="s">
        <v>831</v>
      </c>
      <c r="H153" t="s">
        <v>808</v>
      </c>
      <c r="I153" s="12" t="s">
        <v>1107</v>
      </c>
      <c r="K153" s="12" t="s">
        <v>1062</v>
      </c>
      <c r="L153" t="s">
        <v>1111</v>
      </c>
      <c r="M153" s="12" t="s">
        <v>838</v>
      </c>
      <c r="N153" s="12" t="s">
        <v>1190</v>
      </c>
      <c r="O153" t="s">
        <v>229</v>
      </c>
      <c r="P153" s="16">
        <f>PRODUCT(_xlfn.XLOOKUP(F153,Config!$A$2:$A$15,Config!$B$2:$B$15),_xlfn.XLOOKUP(G153,Config!$C$2:$C$7,Config!$D$2:$D$7),_xlfn.XLOOKUP(H153,Config!$E$2:$E$5,Config!$F$2:$F$5),_xlfn.XLOOKUP(I153,Config!$G$2:$G$3,Config!$H$2:$H$3),_xlfn.XLOOKUP(J153,Config!$I$2:$I$3,Config!$J$2:$J$3),_xlfn.XLOOKUP(K153,Config!$K$2:$K$3,Config!$L$2:$L$3),_xlfn.XLOOKUP(L153,Config!$M$2:$M$3,Config!$N$2:$N$3),_xlfn.XLOOKUP(M153,Config!$O$2:$O$6,Config!$P$2:$P$6))</f>
        <v>3.5933539949999988E-4</v>
      </c>
      <c r="Q153" s="22">
        <v>1</v>
      </c>
      <c r="R153" s="16">
        <f>P153*Q153*Config!$B$19</f>
        <v>2.6408148409317857E-4</v>
      </c>
    </row>
    <row r="154" spans="1:19" x14ac:dyDescent="0.45">
      <c r="A154" s="7">
        <v>153</v>
      </c>
      <c r="B154" s="7" t="s">
        <v>230</v>
      </c>
      <c r="C154" s="3" t="s">
        <v>742</v>
      </c>
      <c r="D154" s="3" t="s">
        <v>274</v>
      </c>
      <c r="E154" t="s">
        <v>798</v>
      </c>
      <c r="F154" t="s">
        <v>991</v>
      </c>
      <c r="G154" t="s">
        <v>831</v>
      </c>
      <c r="H154" t="s">
        <v>808</v>
      </c>
      <c r="I154" s="12" t="s">
        <v>1107</v>
      </c>
      <c r="K154" s="12" t="s">
        <v>1062</v>
      </c>
      <c r="L154" t="s">
        <v>1111</v>
      </c>
      <c r="M154" s="12" t="s">
        <v>838</v>
      </c>
      <c r="N154" s="12" t="s">
        <v>1190</v>
      </c>
      <c r="O154" t="s">
        <v>229</v>
      </c>
      <c r="P154" s="16">
        <f>PRODUCT(_xlfn.XLOOKUP(F154,Config!$A$2:$A$15,Config!$B$2:$B$15),_xlfn.XLOOKUP(G154,Config!$C$2:$C$7,Config!$D$2:$D$7),_xlfn.XLOOKUP(H154,Config!$E$2:$E$5,Config!$F$2:$F$5),_xlfn.XLOOKUP(I154,Config!$G$2:$G$3,Config!$H$2:$H$3),_xlfn.XLOOKUP(J154,Config!$I$2:$I$3,Config!$J$2:$J$3),_xlfn.XLOOKUP(K154,Config!$K$2:$K$3,Config!$L$2:$L$3),_xlfn.XLOOKUP(L154,Config!$M$2:$M$3,Config!$N$2:$N$3),_xlfn.XLOOKUP(M154,Config!$O$2:$O$6,Config!$P$2:$P$6))</f>
        <v>3.5933539949999988E-4</v>
      </c>
      <c r="Q154" s="22">
        <v>1</v>
      </c>
      <c r="R154" s="16">
        <f>P154*Q154*Config!$B$19</f>
        <v>2.6408148409317857E-4</v>
      </c>
    </row>
    <row r="155" spans="1:19" x14ac:dyDescent="0.45">
      <c r="A155" s="3">
        <v>154</v>
      </c>
      <c r="B155" s="3" t="s">
        <v>270</v>
      </c>
      <c r="C155" s="3" t="s">
        <v>624</v>
      </c>
      <c r="D155" s="3" t="s">
        <v>276</v>
      </c>
      <c r="E155" t="s">
        <v>14</v>
      </c>
      <c r="F155" t="s">
        <v>989</v>
      </c>
      <c r="G155" t="s">
        <v>831</v>
      </c>
      <c r="H155" t="s">
        <v>808</v>
      </c>
      <c r="I155" s="12" t="s">
        <v>1107</v>
      </c>
      <c r="K155" s="12" t="s">
        <v>1062</v>
      </c>
      <c r="L155" t="s">
        <v>1111</v>
      </c>
      <c r="M155" s="12" t="s">
        <v>838</v>
      </c>
      <c r="N155" s="12" t="s">
        <v>1190</v>
      </c>
      <c r="O155" t="s">
        <v>15</v>
      </c>
      <c r="P155" s="16">
        <f>PRODUCT(_xlfn.XLOOKUP(F155,Config!$A$2:$A$15,Config!$B$2:$B$15),_xlfn.XLOOKUP(G155,Config!$C$2:$C$7,Config!$D$2:$D$7),_xlfn.XLOOKUP(H155,Config!$E$2:$E$5,Config!$F$2:$F$5),_xlfn.XLOOKUP(I155,Config!$G$2:$G$3,Config!$H$2:$H$3),_xlfn.XLOOKUP(J155,Config!$I$2:$I$3,Config!$J$2:$J$3),_xlfn.XLOOKUP(K155,Config!$K$2:$K$3,Config!$L$2:$L$3),_xlfn.XLOOKUP(L155,Config!$M$2:$M$3,Config!$N$2:$N$3),_xlfn.XLOOKUP(M155,Config!$O$2:$O$6,Config!$P$2:$P$6))</f>
        <v>9.5822773199999997E-4</v>
      </c>
      <c r="Q155" s="22">
        <v>1</v>
      </c>
      <c r="R155" s="16">
        <f>P155*Q155*Config!$B$19</f>
        <v>7.0421729091514303E-4</v>
      </c>
    </row>
    <row r="156" spans="1:19" x14ac:dyDescent="0.45">
      <c r="A156" s="3">
        <v>155</v>
      </c>
      <c r="B156" s="3" t="s">
        <v>189</v>
      </c>
      <c r="C156" s="11" t="s">
        <v>551</v>
      </c>
      <c r="D156" s="3" t="s">
        <v>557</v>
      </c>
      <c r="E156" t="s">
        <v>156</v>
      </c>
      <c r="F156" t="s">
        <v>984</v>
      </c>
      <c r="G156" t="s">
        <v>831</v>
      </c>
      <c r="H156" t="s">
        <v>783</v>
      </c>
      <c r="I156" s="12" t="s">
        <v>1107</v>
      </c>
      <c r="K156" s="12" t="s">
        <v>1062</v>
      </c>
      <c r="L156" s="12" t="s">
        <v>1110</v>
      </c>
      <c r="M156" s="12" t="s">
        <v>838</v>
      </c>
      <c r="N156" s="14" t="s">
        <v>997</v>
      </c>
      <c r="O156" t="s">
        <v>155</v>
      </c>
      <c r="P156" s="16">
        <f>PRODUCT(_xlfn.XLOOKUP(F156,Config!$A$2:$A$15,Config!$B$2:$B$15),_xlfn.XLOOKUP(G156,Config!$C$2:$C$7,Config!$D$2:$D$7),_xlfn.XLOOKUP(H156,Config!$E$2:$E$5,Config!$F$2:$F$5),_xlfn.XLOOKUP(I156,Config!$G$2:$G$3,Config!$H$2:$H$3),_xlfn.XLOOKUP(J156,Config!$I$2:$I$3,Config!$J$2:$J$3),_xlfn.XLOOKUP(K156,Config!$K$2:$K$3,Config!$L$2:$L$3),_xlfn.XLOOKUP(L156,Config!$M$2:$M$3,Config!$N$2:$N$3),_xlfn.XLOOKUP(M156,Config!$O$2:$O$6,Config!$P$2:$P$6))</f>
        <v>2.9450615039999994E-3</v>
      </c>
      <c r="Q156" s="22">
        <v>1</v>
      </c>
      <c r="R156" s="16">
        <f>P156*Q156*Config!$B$19</f>
        <v>2.1643740466544504E-3</v>
      </c>
    </row>
    <row r="157" spans="1:19" x14ac:dyDescent="0.45">
      <c r="A157" s="3">
        <v>156</v>
      </c>
      <c r="B157" s="11" t="s">
        <v>662</v>
      </c>
      <c r="C157" s="11" t="s">
        <v>550</v>
      </c>
      <c r="D157" s="3" t="s">
        <v>554</v>
      </c>
      <c r="E157" s="2" t="s">
        <v>107</v>
      </c>
      <c r="F157" t="s">
        <v>984</v>
      </c>
      <c r="G157" t="s">
        <v>831</v>
      </c>
      <c r="H157" t="s">
        <v>783</v>
      </c>
      <c r="I157" s="12" t="s">
        <v>1107</v>
      </c>
      <c r="J157" s="2"/>
      <c r="K157" s="12" t="s">
        <v>1062</v>
      </c>
      <c r="L157" s="12" t="s">
        <v>1110</v>
      </c>
      <c r="M157" s="12" t="s">
        <v>838</v>
      </c>
      <c r="N157" s="12" t="s">
        <v>1190</v>
      </c>
      <c r="O157" s="2" t="s">
        <v>128</v>
      </c>
      <c r="P157" s="16">
        <f>PRODUCT(_xlfn.XLOOKUP(F157,Config!$A$2:$A$15,Config!$B$2:$B$15),_xlfn.XLOOKUP(G157,Config!$C$2:$C$7,Config!$D$2:$D$7),_xlfn.XLOOKUP(H157,Config!$E$2:$E$5,Config!$F$2:$F$5),_xlfn.XLOOKUP(I157,Config!$G$2:$G$3,Config!$H$2:$H$3),_xlfn.XLOOKUP(J157,Config!$I$2:$I$3,Config!$J$2:$J$3),_xlfn.XLOOKUP(K157,Config!$K$2:$K$3,Config!$L$2:$L$3),_xlfn.XLOOKUP(L157,Config!$M$2:$M$3,Config!$N$2:$N$3),_xlfn.XLOOKUP(M157,Config!$O$2:$O$6,Config!$P$2:$P$6))</f>
        <v>2.9450615039999994E-3</v>
      </c>
      <c r="Q157" s="22">
        <v>1</v>
      </c>
      <c r="R157" s="16">
        <f>P157*Q157*Config!$B$19</f>
        <v>2.1643740466544504E-3</v>
      </c>
    </row>
    <row r="158" spans="1:19" x14ac:dyDescent="0.45">
      <c r="A158" s="9">
        <v>157</v>
      </c>
      <c r="B158" s="9" t="s">
        <v>189</v>
      </c>
      <c r="C158" s="11" t="s">
        <v>551</v>
      </c>
      <c r="D158" s="3" t="s">
        <v>557</v>
      </c>
      <c r="E158" t="s">
        <v>156</v>
      </c>
      <c r="F158" t="s">
        <v>971</v>
      </c>
      <c r="G158" t="s">
        <v>831</v>
      </c>
      <c r="H158" t="s">
        <v>783</v>
      </c>
      <c r="I158" s="12" t="s">
        <v>1107</v>
      </c>
      <c r="K158" s="12" t="s">
        <v>1062</v>
      </c>
      <c r="L158" s="12" t="s">
        <v>1110</v>
      </c>
      <c r="M158" s="12" t="s">
        <v>838</v>
      </c>
      <c r="N158" s="14" t="s">
        <v>997</v>
      </c>
      <c r="P158" s="16">
        <f>PRODUCT(_xlfn.XLOOKUP(F158,Config!$A$2:$A$15,Config!$B$2:$B$15),_xlfn.XLOOKUP(G158,Config!$C$2:$C$7,Config!$D$2:$D$7),_xlfn.XLOOKUP(H158,Config!$E$2:$E$5,Config!$F$2:$F$5),_xlfn.XLOOKUP(I158,Config!$G$2:$G$3,Config!$H$2:$H$3),_xlfn.XLOOKUP(J158,Config!$I$2:$I$3,Config!$J$2:$J$3),_xlfn.XLOOKUP(K158,Config!$K$2:$K$3,Config!$L$2:$L$3),_xlfn.XLOOKUP(L158,Config!$M$2:$M$3,Config!$N$2:$N$3),_xlfn.XLOOKUP(M158,Config!$O$2:$O$6,Config!$P$2:$P$6))</f>
        <v>1.6565970959999999E-3</v>
      </c>
      <c r="Q158" s="22">
        <v>1</v>
      </c>
      <c r="R158" s="16">
        <f>P158*Q158*Config!$B$19</f>
        <v>1.2174604012431286E-3</v>
      </c>
    </row>
    <row r="159" spans="1:19" x14ac:dyDescent="0.45">
      <c r="A159" s="9">
        <v>158</v>
      </c>
      <c r="B159" s="10" t="s">
        <v>662</v>
      </c>
      <c r="C159" s="11" t="s">
        <v>550</v>
      </c>
      <c r="D159" s="3" t="s">
        <v>554</v>
      </c>
      <c r="E159" s="2" t="s">
        <v>107</v>
      </c>
      <c r="F159" t="s">
        <v>971</v>
      </c>
      <c r="G159" t="s">
        <v>831</v>
      </c>
      <c r="H159" t="s">
        <v>783</v>
      </c>
      <c r="I159" s="12" t="s">
        <v>1107</v>
      </c>
      <c r="J159" s="2"/>
      <c r="K159" s="12" t="s">
        <v>1062</v>
      </c>
      <c r="L159" s="12" t="s">
        <v>1110</v>
      </c>
      <c r="M159" s="12" t="s">
        <v>838</v>
      </c>
      <c r="N159" s="12" t="s">
        <v>1190</v>
      </c>
      <c r="O159" s="2"/>
      <c r="P159" s="16">
        <f>PRODUCT(_xlfn.XLOOKUP(F159,Config!$A$2:$A$15,Config!$B$2:$B$15),_xlfn.XLOOKUP(G159,Config!$C$2:$C$7,Config!$D$2:$D$7),_xlfn.XLOOKUP(H159,Config!$E$2:$E$5,Config!$F$2:$F$5),_xlfn.XLOOKUP(I159,Config!$G$2:$G$3,Config!$H$2:$H$3),_xlfn.XLOOKUP(J159,Config!$I$2:$I$3,Config!$J$2:$J$3),_xlfn.XLOOKUP(K159,Config!$K$2:$K$3,Config!$L$2:$L$3),_xlfn.XLOOKUP(L159,Config!$M$2:$M$3,Config!$N$2:$N$3),_xlfn.XLOOKUP(M159,Config!$O$2:$O$6,Config!$P$2:$P$6))</f>
        <v>1.6565970959999999E-3</v>
      </c>
      <c r="Q159" s="22">
        <v>1</v>
      </c>
      <c r="R159" s="16">
        <f>P159*Q159*Config!$B$19</f>
        <v>1.2174604012431286E-3</v>
      </c>
    </row>
    <row r="160" spans="1:19" x14ac:dyDescent="0.45">
      <c r="A160" s="3">
        <v>159</v>
      </c>
      <c r="B160" s="3" t="s">
        <v>189</v>
      </c>
      <c r="C160" s="11" t="s">
        <v>551</v>
      </c>
      <c r="D160" s="3" t="s">
        <v>557</v>
      </c>
      <c r="E160" t="s">
        <v>156</v>
      </c>
      <c r="F160" t="s">
        <v>985</v>
      </c>
      <c r="G160" t="s">
        <v>831</v>
      </c>
      <c r="H160" t="s">
        <v>783</v>
      </c>
      <c r="I160" s="12" t="s">
        <v>1107</v>
      </c>
      <c r="K160" s="12" t="s">
        <v>1062</v>
      </c>
      <c r="L160" s="12" t="s">
        <v>1110</v>
      </c>
      <c r="M160" s="12" t="s">
        <v>838</v>
      </c>
      <c r="N160" s="14" t="s">
        <v>997</v>
      </c>
      <c r="P160" s="16">
        <f>PRODUCT(_xlfn.XLOOKUP(F160,Config!$A$2:$A$15,Config!$B$2:$B$15),_xlfn.XLOOKUP(G160,Config!$C$2:$C$7,Config!$D$2:$D$7),_xlfn.XLOOKUP(H160,Config!$E$2:$E$5,Config!$F$2:$F$5),_xlfn.XLOOKUP(I160,Config!$G$2:$G$3,Config!$H$2:$H$3),_xlfn.XLOOKUP(J160,Config!$I$2:$I$3,Config!$J$2:$J$3),_xlfn.XLOOKUP(K160,Config!$K$2:$K$3,Config!$L$2:$L$3),_xlfn.XLOOKUP(L160,Config!$M$2:$M$3,Config!$N$2:$N$3),_xlfn.XLOOKUP(M160,Config!$O$2:$O$6,Config!$P$2:$P$6))</f>
        <v>2.5434622079999998E-3</v>
      </c>
      <c r="Q160" s="22">
        <v>1</v>
      </c>
      <c r="R160" s="16">
        <f>P160*Q160*Config!$B$19</f>
        <v>1.8692321312015711E-3</v>
      </c>
    </row>
    <row r="161" spans="1:19" x14ac:dyDescent="0.45">
      <c r="A161" s="3">
        <v>160</v>
      </c>
      <c r="B161" s="11" t="s">
        <v>662</v>
      </c>
      <c r="C161" s="11" t="s">
        <v>550</v>
      </c>
      <c r="D161" s="3" t="s">
        <v>554</v>
      </c>
      <c r="E161" s="2" t="s">
        <v>107</v>
      </c>
      <c r="F161" t="s">
        <v>985</v>
      </c>
      <c r="G161" t="s">
        <v>831</v>
      </c>
      <c r="H161" t="s">
        <v>783</v>
      </c>
      <c r="I161" s="12" t="s">
        <v>1107</v>
      </c>
      <c r="J161" s="2"/>
      <c r="K161" s="12" t="s">
        <v>1062</v>
      </c>
      <c r="L161" s="12" t="s">
        <v>1110</v>
      </c>
      <c r="M161" s="12" t="s">
        <v>838</v>
      </c>
      <c r="N161" s="12" t="s">
        <v>1190</v>
      </c>
      <c r="O161" s="2"/>
      <c r="P161" s="16">
        <f>PRODUCT(_xlfn.XLOOKUP(F161,Config!$A$2:$A$15,Config!$B$2:$B$15),_xlfn.XLOOKUP(G161,Config!$C$2:$C$7,Config!$D$2:$D$7),_xlfn.XLOOKUP(H161,Config!$E$2:$E$5,Config!$F$2:$F$5),_xlfn.XLOOKUP(I161,Config!$G$2:$G$3,Config!$H$2:$H$3),_xlfn.XLOOKUP(J161,Config!$I$2:$I$3,Config!$J$2:$J$3),_xlfn.XLOOKUP(K161,Config!$K$2:$K$3,Config!$L$2:$L$3),_xlfn.XLOOKUP(L161,Config!$M$2:$M$3,Config!$N$2:$N$3),_xlfn.XLOOKUP(M161,Config!$O$2:$O$6,Config!$P$2:$P$6))</f>
        <v>2.5434622079999998E-3</v>
      </c>
      <c r="Q161" s="22">
        <v>1</v>
      </c>
      <c r="R161" s="16">
        <f>P161*Q161*Config!$B$19</f>
        <v>1.8692321312015711E-3</v>
      </c>
    </row>
    <row r="162" spans="1:19" x14ac:dyDescent="0.45">
      <c r="A162" s="3">
        <v>161</v>
      </c>
      <c r="B162" s="3" t="s">
        <v>189</v>
      </c>
      <c r="C162" s="11" t="s">
        <v>551</v>
      </c>
      <c r="D162" s="3" t="s">
        <v>557</v>
      </c>
      <c r="E162" t="s">
        <v>156</v>
      </c>
      <c r="F162" t="s">
        <v>986</v>
      </c>
      <c r="G162" t="s">
        <v>831</v>
      </c>
      <c r="H162" t="s">
        <v>783</v>
      </c>
      <c r="I162" s="12" t="s">
        <v>1107</v>
      </c>
      <c r="K162" s="12" t="s">
        <v>1062</v>
      </c>
      <c r="L162" s="12" t="s">
        <v>1110</v>
      </c>
      <c r="M162" s="12" t="s">
        <v>838</v>
      </c>
      <c r="N162" s="14" t="s">
        <v>997</v>
      </c>
      <c r="P162" s="16">
        <f>PRODUCT(_xlfn.XLOOKUP(F162,Config!$A$2:$A$15,Config!$B$2:$B$15),_xlfn.XLOOKUP(G162,Config!$C$2:$C$7,Config!$D$2:$D$7),_xlfn.XLOOKUP(H162,Config!$E$2:$E$5,Config!$F$2:$F$5),_xlfn.XLOOKUP(I162,Config!$G$2:$G$3,Config!$H$2:$H$3),_xlfn.XLOOKUP(J162,Config!$I$2:$I$3,Config!$J$2:$J$3),_xlfn.XLOOKUP(K162,Config!$K$2:$K$3,Config!$L$2:$L$3),_xlfn.XLOOKUP(L162,Config!$M$2:$M$3,Config!$N$2:$N$3),_xlfn.XLOOKUP(M162,Config!$O$2:$O$6,Config!$P$2:$P$6))</f>
        <v>1.4306974919999999E-3</v>
      </c>
      <c r="Q162" s="22">
        <v>1</v>
      </c>
      <c r="R162" s="16">
        <f>P162*Q162*Config!$B$19</f>
        <v>1.0514430738008838E-3</v>
      </c>
    </row>
    <row r="163" spans="1:19" x14ac:dyDescent="0.45">
      <c r="A163" s="3">
        <v>162</v>
      </c>
      <c r="B163" s="11" t="s">
        <v>662</v>
      </c>
      <c r="C163" s="11" t="s">
        <v>550</v>
      </c>
      <c r="D163" s="3" t="s">
        <v>554</v>
      </c>
      <c r="E163" s="2" t="s">
        <v>107</v>
      </c>
      <c r="F163" t="s">
        <v>986</v>
      </c>
      <c r="G163" t="s">
        <v>831</v>
      </c>
      <c r="H163" t="s">
        <v>783</v>
      </c>
      <c r="I163" s="12" t="s">
        <v>1107</v>
      </c>
      <c r="J163" s="2"/>
      <c r="K163" s="12" t="s">
        <v>1062</v>
      </c>
      <c r="L163" s="12" t="s">
        <v>1110</v>
      </c>
      <c r="M163" s="12" t="s">
        <v>838</v>
      </c>
      <c r="N163" s="12" t="s">
        <v>1190</v>
      </c>
      <c r="O163" s="2"/>
      <c r="P163" s="16">
        <f>PRODUCT(_xlfn.XLOOKUP(F163,Config!$A$2:$A$15,Config!$B$2:$B$15),_xlfn.XLOOKUP(G163,Config!$C$2:$C$7,Config!$D$2:$D$7),_xlfn.XLOOKUP(H163,Config!$E$2:$E$5,Config!$F$2:$F$5),_xlfn.XLOOKUP(I163,Config!$G$2:$G$3,Config!$H$2:$H$3),_xlfn.XLOOKUP(J163,Config!$I$2:$I$3,Config!$J$2:$J$3),_xlfn.XLOOKUP(K163,Config!$K$2:$K$3,Config!$L$2:$L$3),_xlfn.XLOOKUP(L163,Config!$M$2:$M$3,Config!$N$2:$N$3),_xlfn.XLOOKUP(M163,Config!$O$2:$O$6,Config!$P$2:$P$6))</f>
        <v>1.4306974919999999E-3</v>
      </c>
      <c r="Q163" s="22">
        <v>1</v>
      </c>
      <c r="R163" s="16">
        <f>P163*Q163*Config!$B$19</f>
        <v>1.0514430738008838E-3</v>
      </c>
    </row>
    <row r="164" spans="1:19" x14ac:dyDescent="0.45">
      <c r="A164" s="3">
        <v>163</v>
      </c>
      <c r="B164" s="3" t="s">
        <v>189</v>
      </c>
      <c r="C164" s="11" t="s">
        <v>551</v>
      </c>
      <c r="D164" s="3" t="s">
        <v>557</v>
      </c>
      <c r="E164" t="s">
        <v>156</v>
      </c>
      <c r="F164" t="s">
        <v>1010</v>
      </c>
      <c r="G164" t="s">
        <v>831</v>
      </c>
      <c r="H164" t="s">
        <v>783</v>
      </c>
      <c r="I164" s="12" t="s">
        <v>1107</v>
      </c>
      <c r="K164" s="12" t="s">
        <v>1062</v>
      </c>
      <c r="L164" s="12" t="s">
        <v>1110</v>
      </c>
      <c r="M164" s="12" t="s">
        <v>838</v>
      </c>
      <c r="N164" s="14" t="s">
        <v>997</v>
      </c>
      <c r="P164" s="16">
        <f>PRODUCT(_xlfn.XLOOKUP(F164,Config!$A$2:$A$15,Config!$B$2:$B$15),_xlfn.XLOOKUP(G164,Config!$C$2:$C$7,Config!$D$2:$D$7),_xlfn.XLOOKUP(H164,Config!$E$2:$E$5,Config!$F$2:$F$5),_xlfn.XLOOKUP(I164,Config!$G$2:$G$3,Config!$H$2:$H$3),_xlfn.XLOOKUP(J164,Config!$I$2:$I$3,Config!$J$2:$J$3),_xlfn.XLOOKUP(K164,Config!$K$2:$K$3,Config!$L$2:$L$3),_xlfn.XLOOKUP(L164,Config!$M$2:$M$3,Config!$N$2:$N$3),_xlfn.XLOOKUP(M164,Config!$O$2:$O$6,Config!$P$2:$P$6))</f>
        <v>1.974529872E-3</v>
      </c>
      <c r="Q164" s="22">
        <v>1</v>
      </c>
      <c r="R164" s="16">
        <f>P164*Q164*Config!$B$19</f>
        <v>1.451114417643325E-3</v>
      </c>
    </row>
    <row r="165" spans="1:19" x14ac:dyDescent="0.45">
      <c r="A165" s="3">
        <v>164</v>
      </c>
      <c r="B165" s="3" t="s">
        <v>189</v>
      </c>
      <c r="C165" s="11" t="s">
        <v>551</v>
      </c>
      <c r="D165" s="3" t="s">
        <v>618</v>
      </c>
      <c r="E165" t="s">
        <v>156</v>
      </c>
      <c r="F165" t="s">
        <v>1010</v>
      </c>
      <c r="G165" t="s">
        <v>831</v>
      </c>
      <c r="H165" t="s">
        <v>783</v>
      </c>
      <c r="I165" s="12" t="s">
        <v>1107</v>
      </c>
      <c r="K165" s="12" t="s">
        <v>1062</v>
      </c>
      <c r="L165" s="12" t="s">
        <v>1110</v>
      </c>
      <c r="M165" s="12" t="s">
        <v>838</v>
      </c>
      <c r="N165" s="14" t="s">
        <v>997</v>
      </c>
      <c r="O165" t="s">
        <v>155</v>
      </c>
      <c r="P165" s="16">
        <f>PRODUCT(_xlfn.XLOOKUP(F165,Config!$A$2:$A$15,Config!$B$2:$B$15),_xlfn.XLOOKUP(G165,Config!$C$2:$C$7,Config!$D$2:$D$7),_xlfn.XLOOKUP(H165,Config!$E$2:$E$5,Config!$F$2:$F$5),_xlfn.XLOOKUP(I165,Config!$G$2:$G$3,Config!$H$2:$H$3),_xlfn.XLOOKUP(J165,Config!$I$2:$I$3,Config!$J$2:$J$3),_xlfn.XLOOKUP(K165,Config!$K$2:$K$3,Config!$L$2:$L$3),_xlfn.XLOOKUP(L165,Config!$M$2:$M$3,Config!$N$2:$N$3),_xlfn.XLOOKUP(M165,Config!$O$2:$O$6,Config!$P$2:$P$6))</f>
        <v>1.974529872E-3</v>
      </c>
      <c r="Q165" s="22">
        <v>1</v>
      </c>
      <c r="R165" s="16">
        <f>P165*Q165*Config!$B$19</f>
        <v>1.451114417643325E-3</v>
      </c>
      <c r="S165" t="s">
        <v>655</v>
      </c>
    </row>
    <row r="166" spans="1:19" x14ac:dyDescent="0.45">
      <c r="A166" s="3">
        <v>165</v>
      </c>
      <c r="B166" s="11" t="s">
        <v>662</v>
      </c>
      <c r="C166" s="11" t="s">
        <v>550</v>
      </c>
      <c r="D166" s="3" t="s">
        <v>560</v>
      </c>
      <c r="E166" s="2" t="s">
        <v>828</v>
      </c>
      <c r="F166" t="s">
        <v>1010</v>
      </c>
      <c r="G166" t="s">
        <v>831</v>
      </c>
      <c r="H166" t="s">
        <v>783</v>
      </c>
      <c r="I166" s="12" t="s">
        <v>1107</v>
      </c>
      <c r="J166" s="2"/>
      <c r="K166" s="12" t="s">
        <v>1062</v>
      </c>
      <c r="L166" s="12" t="s">
        <v>1110</v>
      </c>
      <c r="M166" s="12" t="s">
        <v>838</v>
      </c>
      <c r="N166" s="14" t="s">
        <v>1003</v>
      </c>
      <c r="O166" s="2" t="s">
        <v>128</v>
      </c>
      <c r="P166" s="16">
        <f>PRODUCT(_xlfn.XLOOKUP(F166,Config!$A$2:$A$15,Config!$B$2:$B$15),_xlfn.XLOOKUP(G166,Config!$C$2:$C$7,Config!$D$2:$D$7),_xlfn.XLOOKUP(H166,Config!$E$2:$E$5,Config!$F$2:$F$5),_xlfn.XLOOKUP(I166,Config!$G$2:$G$3,Config!$H$2:$H$3),_xlfn.XLOOKUP(J166,Config!$I$2:$I$3,Config!$J$2:$J$3),_xlfn.XLOOKUP(K166,Config!$K$2:$K$3,Config!$L$2:$L$3),_xlfn.XLOOKUP(L166,Config!$M$2:$M$3,Config!$N$2:$N$3),_xlfn.XLOOKUP(M166,Config!$O$2:$O$6,Config!$P$2:$P$6))</f>
        <v>1.974529872E-3</v>
      </c>
      <c r="Q166" s="22">
        <v>1</v>
      </c>
      <c r="R166" s="16">
        <f>P166*Q166*Config!$B$19</f>
        <v>1.451114417643325E-3</v>
      </c>
    </row>
    <row r="167" spans="1:19" x14ac:dyDescent="0.45">
      <c r="A167" s="3">
        <v>166</v>
      </c>
      <c r="B167" s="11" t="s">
        <v>662</v>
      </c>
      <c r="C167" s="11" t="s">
        <v>550</v>
      </c>
      <c r="D167" s="3" t="s">
        <v>554</v>
      </c>
      <c r="E167" s="2" t="s">
        <v>107</v>
      </c>
      <c r="F167" t="s">
        <v>1010</v>
      </c>
      <c r="G167" t="s">
        <v>831</v>
      </c>
      <c r="H167" t="s">
        <v>783</v>
      </c>
      <c r="I167" s="12" t="s">
        <v>1107</v>
      </c>
      <c r="J167" s="2"/>
      <c r="K167" s="12" t="s">
        <v>1062</v>
      </c>
      <c r="L167" s="12" t="s">
        <v>1110</v>
      </c>
      <c r="M167" s="12" t="s">
        <v>838</v>
      </c>
      <c r="N167" s="12" t="s">
        <v>1190</v>
      </c>
      <c r="P167" s="16">
        <f>PRODUCT(_xlfn.XLOOKUP(F167,Config!$A$2:$A$15,Config!$B$2:$B$15),_xlfn.XLOOKUP(G167,Config!$C$2:$C$7,Config!$D$2:$D$7),_xlfn.XLOOKUP(H167,Config!$E$2:$E$5,Config!$F$2:$F$5),_xlfn.XLOOKUP(I167,Config!$G$2:$G$3,Config!$H$2:$H$3),_xlfn.XLOOKUP(J167,Config!$I$2:$I$3,Config!$J$2:$J$3),_xlfn.XLOOKUP(K167,Config!$K$2:$K$3,Config!$L$2:$L$3),_xlfn.XLOOKUP(L167,Config!$M$2:$M$3,Config!$N$2:$N$3),_xlfn.XLOOKUP(M167,Config!$O$2:$O$6,Config!$P$2:$P$6))</f>
        <v>1.974529872E-3</v>
      </c>
      <c r="Q167" s="22">
        <v>1</v>
      </c>
      <c r="R167" s="16">
        <f>P167*Q167*Config!$B$19</f>
        <v>1.451114417643325E-3</v>
      </c>
    </row>
    <row r="168" spans="1:19" x14ac:dyDescent="0.45">
      <c r="A168" s="3">
        <v>167</v>
      </c>
      <c r="B168" s="3" t="s">
        <v>145</v>
      </c>
      <c r="C168" s="3" t="s">
        <v>196</v>
      </c>
      <c r="D168" s="3" t="s">
        <v>256</v>
      </c>
      <c r="E168" t="s">
        <v>132</v>
      </c>
      <c r="F168" t="s">
        <v>988</v>
      </c>
      <c r="G168" t="s">
        <v>831</v>
      </c>
      <c r="H168" t="s">
        <v>783</v>
      </c>
      <c r="I168" s="12" t="s">
        <v>1107</v>
      </c>
      <c r="K168" s="12" t="s">
        <v>1062</v>
      </c>
      <c r="L168" s="12" t="s">
        <v>1110</v>
      </c>
      <c r="M168" s="12" t="s">
        <v>838</v>
      </c>
      <c r="N168" s="14" t="s">
        <v>997</v>
      </c>
      <c r="O168" t="s">
        <v>133</v>
      </c>
      <c r="P168" s="16">
        <f>PRODUCT(_xlfn.XLOOKUP(F168,Config!$A$2:$A$15,Config!$B$2:$B$15),_xlfn.XLOOKUP(G168,Config!$C$2:$C$7,Config!$D$2:$D$7),_xlfn.XLOOKUP(H168,Config!$E$2:$E$5,Config!$F$2:$F$5),_xlfn.XLOOKUP(I168,Config!$G$2:$G$3,Config!$H$2:$H$3),_xlfn.XLOOKUP(J168,Config!$I$2:$I$3,Config!$J$2:$J$3),_xlfn.XLOOKUP(K168,Config!$K$2:$K$3,Config!$L$2:$L$3),_xlfn.XLOOKUP(L168,Config!$M$2:$M$3,Config!$N$2:$N$3),_xlfn.XLOOKUP(M168,Config!$O$2:$O$6,Config!$P$2:$P$6))</f>
        <v>1.974529872E-3</v>
      </c>
      <c r="Q168" s="22">
        <v>1</v>
      </c>
      <c r="R168" s="16">
        <f>P168*Q168*Config!$B$19</f>
        <v>1.451114417643325E-3</v>
      </c>
    </row>
    <row r="169" spans="1:19" x14ac:dyDescent="0.45">
      <c r="A169" s="3">
        <v>168</v>
      </c>
      <c r="B169" s="3" t="s">
        <v>96</v>
      </c>
      <c r="C169" s="3" t="s">
        <v>100</v>
      </c>
      <c r="D169" s="3" t="s">
        <v>255</v>
      </c>
      <c r="E169" t="s">
        <v>143</v>
      </c>
      <c r="F169" t="s">
        <v>988</v>
      </c>
      <c r="G169" t="s">
        <v>831</v>
      </c>
      <c r="H169" t="s">
        <v>783</v>
      </c>
      <c r="I169" s="12" t="s">
        <v>1107</v>
      </c>
      <c r="K169" s="12" t="s">
        <v>1062</v>
      </c>
      <c r="L169" s="12" t="s">
        <v>1110</v>
      </c>
      <c r="M169" s="12" t="s">
        <v>838</v>
      </c>
      <c r="N169" s="12" t="s">
        <v>1190</v>
      </c>
      <c r="O169" t="s">
        <v>129</v>
      </c>
      <c r="P169" s="16">
        <f>PRODUCT(_xlfn.XLOOKUP(F169,Config!$A$2:$A$15,Config!$B$2:$B$15),_xlfn.XLOOKUP(G169,Config!$C$2:$C$7,Config!$D$2:$D$7),_xlfn.XLOOKUP(H169,Config!$E$2:$E$5,Config!$F$2:$F$5),_xlfn.XLOOKUP(I169,Config!$G$2:$G$3,Config!$H$2:$H$3),_xlfn.XLOOKUP(J169,Config!$I$2:$I$3,Config!$J$2:$J$3),_xlfn.XLOOKUP(K169,Config!$K$2:$K$3,Config!$L$2:$L$3),_xlfn.XLOOKUP(L169,Config!$M$2:$M$3,Config!$N$2:$N$3),_xlfn.XLOOKUP(M169,Config!$O$2:$O$6,Config!$P$2:$P$6))</f>
        <v>1.974529872E-3</v>
      </c>
      <c r="Q169" s="22">
        <v>1</v>
      </c>
      <c r="R169" s="16">
        <f>P169*Q169*Config!$B$19</f>
        <v>1.451114417643325E-3</v>
      </c>
    </row>
    <row r="170" spans="1:19" x14ac:dyDescent="0.45">
      <c r="A170" s="3">
        <v>169</v>
      </c>
      <c r="B170" s="3" t="s">
        <v>189</v>
      </c>
      <c r="C170" s="11" t="s">
        <v>551</v>
      </c>
      <c r="D170" s="3" t="s">
        <v>557</v>
      </c>
      <c r="E170" t="s">
        <v>156</v>
      </c>
      <c r="F170" t="s">
        <v>987</v>
      </c>
      <c r="G170" t="s">
        <v>831</v>
      </c>
      <c r="H170" t="s">
        <v>783</v>
      </c>
      <c r="I170" s="12" t="s">
        <v>1107</v>
      </c>
      <c r="K170" s="12" t="s">
        <v>1062</v>
      </c>
      <c r="L170" s="12" t="s">
        <v>1110</v>
      </c>
      <c r="M170" s="12" t="s">
        <v>838</v>
      </c>
      <c r="N170" s="14" t="s">
        <v>997</v>
      </c>
      <c r="P170" s="16">
        <f>PRODUCT(_xlfn.XLOOKUP(F170,Config!$A$2:$A$15,Config!$B$2:$B$15),_xlfn.XLOOKUP(G170,Config!$C$2:$C$7,Config!$D$2:$D$7),_xlfn.XLOOKUP(H170,Config!$E$2:$E$5,Config!$F$2:$F$5),_xlfn.XLOOKUP(I170,Config!$G$2:$G$3,Config!$H$2:$H$3),_xlfn.XLOOKUP(J170,Config!$I$2:$I$3,Config!$J$2:$J$3),_xlfn.XLOOKUP(K170,Config!$K$2:$K$3,Config!$L$2:$L$3),_xlfn.XLOOKUP(L170,Config!$M$2:$M$3,Config!$N$2:$N$3),_xlfn.XLOOKUP(M170,Config!$O$2:$O$6,Config!$P$2:$P$6))</f>
        <v>7.4044870199999979E-4</v>
      </c>
      <c r="Q170" s="22">
        <v>1</v>
      </c>
      <c r="R170" s="16">
        <f>P170*Q170*Config!$B$19</f>
        <v>5.4416790661624673E-4</v>
      </c>
    </row>
    <row r="171" spans="1:19" x14ac:dyDescent="0.45">
      <c r="A171" s="3">
        <v>170</v>
      </c>
      <c r="B171" s="11" t="s">
        <v>662</v>
      </c>
      <c r="C171" s="11" t="s">
        <v>550</v>
      </c>
      <c r="D171" s="3" t="s">
        <v>554</v>
      </c>
      <c r="E171" s="2" t="s">
        <v>107</v>
      </c>
      <c r="F171" t="s">
        <v>987</v>
      </c>
      <c r="G171" t="s">
        <v>831</v>
      </c>
      <c r="H171" t="s">
        <v>783</v>
      </c>
      <c r="I171" s="12" t="s">
        <v>1107</v>
      </c>
      <c r="J171" s="2"/>
      <c r="K171" s="12" t="s">
        <v>1062</v>
      </c>
      <c r="L171" s="12" t="s">
        <v>1110</v>
      </c>
      <c r="M171" s="12" t="s">
        <v>838</v>
      </c>
      <c r="N171" s="12" t="s">
        <v>1190</v>
      </c>
      <c r="O171" s="2"/>
      <c r="P171" s="16">
        <f>PRODUCT(_xlfn.XLOOKUP(F171,Config!$A$2:$A$15,Config!$B$2:$B$15),_xlfn.XLOOKUP(G171,Config!$C$2:$C$7,Config!$D$2:$D$7),_xlfn.XLOOKUP(H171,Config!$E$2:$E$5,Config!$F$2:$F$5),_xlfn.XLOOKUP(I171,Config!$G$2:$G$3,Config!$H$2:$H$3),_xlfn.XLOOKUP(J171,Config!$I$2:$I$3,Config!$J$2:$J$3),_xlfn.XLOOKUP(K171,Config!$K$2:$K$3,Config!$L$2:$L$3),_xlfn.XLOOKUP(L171,Config!$M$2:$M$3,Config!$N$2:$N$3),_xlfn.XLOOKUP(M171,Config!$O$2:$O$6,Config!$P$2:$P$6))</f>
        <v>7.4044870199999979E-4</v>
      </c>
      <c r="Q171" s="22">
        <v>1</v>
      </c>
      <c r="R171" s="16">
        <f>P171*Q171*Config!$B$19</f>
        <v>5.4416790661624673E-4</v>
      </c>
    </row>
    <row r="172" spans="1:19" x14ac:dyDescent="0.45">
      <c r="A172" s="3">
        <v>171</v>
      </c>
      <c r="B172" s="3" t="s">
        <v>199</v>
      </c>
      <c r="C172" s="3" t="s">
        <v>1572</v>
      </c>
      <c r="D172" s="3" t="s">
        <v>1573</v>
      </c>
      <c r="E172" t="s">
        <v>598</v>
      </c>
      <c r="F172" t="s">
        <v>993</v>
      </c>
      <c r="G172" t="s">
        <v>831</v>
      </c>
      <c r="H172" t="s">
        <v>783</v>
      </c>
      <c r="I172" s="12" t="s">
        <v>1107</v>
      </c>
      <c r="K172" s="12" t="s">
        <v>1062</v>
      </c>
      <c r="L172" s="12" t="s">
        <v>1110</v>
      </c>
      <c r="M172" s="12" t="s">
        <v>838</v>
      </c>
      <c r="N172" s="14" t="s">
        <v>997</v>
      </c>
      <c r="O172" t="s">
        <v>596</v>
      </c>
      <c r="P172" s="16">
        <f>PRODUCT(_xlfn.XLOOKUP(F172,Config!$A$2:$A$15,Config!$B$2:$B$15),_xlfn.XLOOKUP(G172,Config!$C$2:$C$7,Config!$D$2:$D$7),_xlfn.XLOOKUP(H172,Config!$E$2:$E$5,Config!$F$2:$F$5),_xlfn.XLOOKUP(I172,Config!$G$2:$G$3,Config!$H$2:$H$3),_xlfn.XLOOKUP(J172,Config!$I$2:$I$3,Config!$J$2:$J$3),_xlfn.XLOOKUP(K172,Config!$K$2:$K$3,Config!$L$2:$L$3),_xlfn.XLOOKUP(L172,Config!$M$2:$M$3,Config!$N$2:$N$3),_xlfn.XLOOKUP(M172,Config!$O$2:$O$6,Config!$P$2:$P$6))</f>
        <v>7.4044870199999979E-4</v>
      </c>
      <c r="Q172" s="22">
        <v>1</v>
      </c>
      <c r="R172" s="16">
        <f>P172*Q172*Config!$B$19</f>
        <v>5.4416790661624673E-4</v>
      </c>
    </row>
    <row r="173" spans="1:19" x14ac:dyDescent="0.45">
      <c r="A173" s="3">
        <v>172</v>
      </c>
      <c r="B173" s="3" t="s">
        <v>197</v>
      </c>
      <c r="C173" s="3" t="s">
        <v>198</v>
      </c>
      <c r="D173" s="3" t="s">
        <v>595</v>
      </c>
      <c r="E173" t="s">
        <v>597</v>
      </c>
      <c r="F173" t="s">
        <v>993</v>
      </c>
      <c r="G173" t="s">
        <v>831</v>
      </c>
      <c r="H173" t="s">
        <v>783</v>
      </c>
      <c r="I173" s="12" t="s">
        <v>1107</v>
      </c>
      <c r="K173" s="12" t="s">
        <v>1062</v>
      </c>
      <c r="L173" s="12" t="s">
        <v>1110</v>
      </c>
      <c r="M173" s="12" t="s">
        <v>838</v>
      </c>
      <c r="N173" s="12" t="s">
        <v>1190</v>
      </c>
      <c r="O173" t="s">
        <v>594</v>
      </c>
      <c r="P173" s="16">
        <f>PRODUCT(_xlfn.XLOOKUP(F173,Config!$A$2:$A$15,Config!$B$2:$B$15),_xlfn.XLOOKUP(G173,Config!$C$2:$C$7,Config!$D$2:$D$7),_xlfn.XLOOKUP(H173,Config!$E$2:$E$5,Config!$F$2:$F$5),_xlfn.XLOOKUP(I173,Config!$G$2:$G$3,Config!$H$2:$H$3),_xlfn.XLOOKUP(J173,Config!$I$2:$I$3,Config!$J$2:$J$3),_xlfn.XLOOKUP(K173,Config!$K$2:$K$3,Config!$L$2:$L$3),_xlfn.XLOOKUP(L173,Config!$M$2:$M$3,Config!$N$2:$N$3),_xlfn.XLOOKUP(M173,Config!$O$2:$O$6,Config!$P$2:$P$6))</f>
        <v>7.4044870199999979E-4</v>
      </c>
      <c r="Q173" s="22">
        <v>1</v>
      </c>
      <c r="R173" s="16">
        <f>P173*Q173*Config!$B$19</f>
        <v>5.4416790661624673E-4</v>
      </c>
    </row>
    <row r="174" spans="1:19" x14ac:dyDescent="0.45">
      <c r="A174" s="3">
        <v>173</v>
      </c>
      <c r="B174" s="3" t="s">
        <v>1265</v>
      </c>
      <c r="C174" s="3" t="s">
        <v>1266</v>
      </c>
      <c r="D174" s="3" t="s">
        <v>1267</v>
      </c>
      <c r="E174" t="s">
        <v>1273</v>
      </c>
      <c r="F174" t="s">
        <v>1010</v>
      </c>
      <c r="G174" t="s">
        <v>830</v>
      </c>
      <c r="H174" t="s">
        <v>768</v>
      </c>
      <c r="I174" s="12" t="s">
        <v>1107</v>
      </c>
      <c r="J174" s="12"/>
      <c r="K174" s="12" t="s">
        <v>1062</v>
      </c>
      <c r="L174" s="12" t="s">
        <v>1110</v>
      </c>
      <c r="M174" s="12" t="s">
        <v>838</v>
      </c>
      <c r="N174" s="14" t="s">
        <v>1003</v>
      </c>
      <c r="P174" s="16">
        <f>PRODUCT(_xlfn.XLOOKUP(F174,Config!$A$2:$A$15,Config!$B$2:$B$15),_xlfn.XLOOKUP(G174,Config!$C$2:$C$7,Config!$D$2:$D$7),_xlfn.XLOOKUP(H174,Config!$E$2:$E$5,Config!$F$2:$F$5),_xlfn.XLOOKUP(I174,Config!$G$2:$G$3,Config!$H$2:$H$3),_xlfn.XLOOKUP(J174,Config!$I$2:$I$3,Config!$J$2:$J$3),_xlfn.XLOOKUP(K174,Config!$K$2:$K$3,Config!$L$2:$L$3),_xlfn.XLOOKUP(L174,Config!$M$2:$M$3,Config!$N$2:$N$3),_xlfn.XLOOKUP(M174,Config!$O$2:$O$6,Config!$P$2:$P$6))</f>
        <v>1.0154725055999999E-3</v>
      </c>
      <c r="Q174" s="22">
        <v>0.75</v>
      </c>
      <c r="R174" s="16">
        <f>P174*Q174*Config!$B$19</f>
        <v>5.5971556109099671E-4</v>
      </c>
    </row>
    <row r="175" spans="1:19" x14ac:dyDescent="0.45">
      <c r="A175" s="3">
        <v>174</v>
      </c>
      <c r="B175" s="3" t="s">
        <v>1265</v>
      </c>
      <c r="C175" s="3" t="s">
        <v>1266</v>
      </c>
      <c r="D175" s="3" t="s">
        <v>1267</v>
      </c>
      <c r="E175" t="s">
        <v>1273</v>
      </c>
      <c r="F175" t="s">
        <v>985</v>
      </c>
      <c r="G175" t="s">
        <v>830</v>
      </c>
      <c r="H175" t="s">
        <v>768</v>
      </c>
      <c r="I175" s="12" t="s">
        <v>1107</v>
      </c>
      <c r="J175" s="12"/>
      <c r="K175" s="12" t="s">
        <v>1062</v>
      </c>
      <c r="L175" s="12" t="s">
        <v>1110</v>
      </c>
      <c r="M175" s="12" t="s">
        <v>838</v>
      </c>
      <c r="N175" s="14" t="s">
        <v>1003</v>
      </c>
      <c r="P175" s="16">
        <f>PRODUCT(_xlfn.XLOOKUP(F175,Config!$A$2:$A$15,Config!$B$2:$B$15),_xlfn.XLOOKUP(G175,Config!$C$2:$C$7,Config!$D$2:$D$7),_xlfn.XLOOKUP(H175,Config!$E$2:$E$5,Config!$F$2:$F$5),_xlfn.XLOOKUP(I175,Config!$G$2:$G$3,Config!$H$2:$H$3),_xlfn.XLOOKUP(J175,Config!$I$2:$I$3,Config!$J$2:$J$3),_xlfn.XLOOKUP(K175,Config!$K$2:$K$3,Config!$L$2:$L$3),_xlfn.XLOOKUP(L175,Config!$M$2:$M$3,Config!$N$2:$N$3),_xlfn.XLOOKUP(M175,Config!$O$2:$O$6,Config!$P$2:$P$6))</f>
        <v>1.3080662784E-3</v>
      </c>
      <c r="Q175" s="22">
        <v>0.75</v>
      </c>
      <c r="R175" s="16">
        <f>P175*Q175*Config!$B$19</f>
        <v>7.2098953632060599E-4</v>
      </c>
    </row>
    <row r="176" spans="1:19" x14ac:dyDescent="0.45">
      <c r="A176" s="3">
        <v>175</v>
      </c>
      <c r="B176" s="3" t="s">
        <v>890</v>
      </c>
      <c r="C176" s="3" t="s">
        <v>1195</v>
      </c>
      <c r="D176" s="3" t="s">
        <v>1196</v>
      </c>
      <c r="E176" t="s">
        <v>936</v>
      </c>
      <c r="F176" t="s">
        <v>995</v>
      </c>
      <c r="G176" t="s">
        <v>831</v>
      </c>
      <c r="H176" t="s">
        <v>783</v>
      </c>
      <c r="I176" s="12" t="s">
        <v>1107</v>
      </c>
      <c r="K176" s="12" t="s">
        <v>1062</v>
      </c>
      <c r="L176" s="12" t="s">
        <v>1110</v>
      </c>
      <c r="M176" s="12" t="s">
        <v>838</v>
      </c>
      <c r="N176" s="14" t="s">
        <v>997</v>
      </c>
      <c r="O176" t="s">
        <v>937</v>
      </c>
      <c r="P176" s="16">
        <f>PRODUCT(_xlfn.XLOOKUP(F176,Config!$A$2:$A$15,Config!$B$2:$B$15),_xlfn.XLOOKUP(G176,Config!$C$2:$C$7,Config!$D$2:$D$7),_xlfn.XLOOKUP(H176,Config!$E$2:$E$5,Config!$F$2:$F$5),_xlfn.XLOOKUP(I176,Config!$G$2:$G$3,Config!$H$2:$H$3),_xlfn.XLOOKUP(J176,Config!$I$2:$I$3,Config!$J$2:$J$3),_xlfn.XLOOKUP(K176,Config!$K$2:$K$3,Config!$L$2:$L$3),_xlfn.XLOOKUP(L176,Config!$M$2:$M$3,Config!$N$2:$N$3),_xlfn.XLOOKUP(M176,Config!$O$2:$O$6,Config!$P$2:$P$6))</f>
        <v>7.4044870199999979E-4</v>
      </c>
      <c r="Q176" s="22">
        <v>1</v>
      </c>
      <c r="R176" s="16">
        <f>P176*Q176*Config!$B$19</f>
        <v>5.4416790661624673E-4</v>
      </c>
    </row>
    <row r="177" spans="1:19" x14ac:dyDescent="0.45">
      <c r="A177" s="3">
        <v>176</v>
      </c>
      <c r="B177" s="3" t="s">
        <v>929</v>
      </c>
      <c r="C177" s="3" t="s">
        <v>911</v>
      </c>
      <c r="D177" s="3" t="s">
        <v>912</v>
      </c>
      <c r="E177" t="s">
        <v>913</v>
      </c>
      <c r="F177" t="s">
        <v>995</v>
      </c>
      <c r="G177" t="s">
        <v>831</v>
      </c>
      <c r="H177" t="s">
        <v>783</v>
      </c>
      <c r="I177" s="12" t="s">
        <v>1107</v>
      </c>
      <c r="K177" s="12" t="s">
        <v>1062</v>
      </c>
      <c r="L177" s="12" t="s">
        <v>1110</v>
      </c>
      <c r="M177" s="12" t="s">
        <v>838</v>
      </c>
      <c r="N177" s="12" t="s">
        <v>1190</v>
      </c>
      <c r="O177" t="s">
        <v>914</v>
      </c>
      <c r="P177" s="16">
        <f>PRODUCT(_xlfn.XLOOKUP(F177,Config!$A$2:$A$15,Config!$B$2:$B$15),_xlfn.XLOOKUP(G177,Config!$C$2:$C$7,Config!$D$2:$D$7),_xlfn.XLOOKUP(H177,Config!$E$2:$E$5,Config!$F$2:$F$5),_xlfn.XLOOKUP(I177,Config!$G$2:$G$3,Config!$H$2:$H$3),_xlfn.XLOOKUP(J177,Config!$I$2:$I$3,Config!$J$2:$J$3),_xlfn.XLOOKUP(K177,Config!$K$2:$K$3,Config!$L$2:$L$3),_xlfn.XLOOKUP(L177,Config!$M$2:$M$3,Config!$N$2:$N$3),_xlfn.XLOOKUP(M177,Config!$O$2:$O$6,Config!$P$2:$P$6))</f>
        <v>7.4044870199999979E-4</v>
      </c>
      <c r="Q177" s="22">
        <v>1</v>
      </c>
      <c r="R177" s="16">
        <f>P177*Q177*Config!$B$19</f>
        <v>5.4416790661624673E-4</v>
      </c>
    </row>
    <row r="178" spans="1:19" x14ac:dyDescent="0.45">
      <c r="A178" s="3">
        <v>177</v>
      </c>
      <c r="B178" s="3" t="s">
        <v>98</v>
      </c>
      <c r="C178" s="3" t="s">
        <v>101</v>
      </c>
      <c r="D178" s="3" t="s">
        <v>258</v>
      </c>
      <c r="E178" t="s">
        <v>131</v>
      </c>
      <c r="F178" t="s">
        <v>989</v>
      </c>
      <c r="G178" t="s">
        <v>831</v>
      </c>
      <c r="H178" t="s">
        <v>783</v>
      </c>
      <c r="I178" s="12" t="s">
        <v>1107</v>
      </c>
      <c r="K178" s="12" t="s">
        <v>1062</v>
      </c>
      <c r="L178" s="12" t="s">
        <v>1110</v>
      </c>
      <c r="M178" s="12" t="s">
        <v>838</v>
      </c>
      <c r="N178" s="12" t="s">
        <v>1190</v>
      </c>
      <c r="O178" t="s">
        <v>94</v>
      </c>
      <c r="P178" s="16">
        <f>PRODUCT(_xlfn.XLOOKUP(F178,Config!$A$2:$A$15,Config!$B$2:$B$15),_xlfn.XLOOKUP(G178,Config!$C$2:$C$7,Config!$D$2:$D$7),_xlfn.XLOOKUP(H178,Config!$E$2:$E$5,Config!$F$2:$F$5),_xlfn.XLOOKUP(I178,Config!$G$2:$G$3,Config!$H$2:$H$3),_xlfn.XLOOKUP(J178,Config!$I$2:$I$3,Config!$J$2:$J$3),_xlfn.XLOOKUP(K178,Config!$K$2:$K$3,Config!$L$2:$L$3),_xlfn.XLOOKUP(L178,Config!$M$2:$M$3,Config!$N$2:$N$3),_xlfn.XLOOKUP(M178,Config!$O$2:$O$6,Config!$P$2:$P$6))</f>
        <v>1.974529872E-3</v>
      </c>
      <c r="Q178" s="22">
        <v>1</v>
      </c>
      <c r="R178" s="16">
        <f>P178*Q178*Config!$B$19</f>
        <v>1.451114417643325E-3</v>
      </c>
    </row>
    <row r="179" spans="1:19" x14ac:dyDescent="0.45">
      <c r="A179" s="3">
        <v>178</v>
      </c>
      <c r="B179" s="3" t="s">
        <v>600</v>
      </c>
      <c r="C179" s="3" t="s">
        <v>1574</v>
      </c>
      <c r="D179" s="3" t="s">
        <v>779</v>
      </c>
      <c r="F179" t="s">
        <v>988</v>
      </c>
      <c r="G179" t="s">
        <v>831</v>
      </c>
      <c r="H179" t="s">
        <v>783</v>
      </c>
      <c r="I179" s="12" t="s">
        <v>1107</v>
      </c>
      <c r="K179" s="12" t="s">
        <v>1062</v>
      </c>
      <c r="L179" s="12" t="s">
        <v>1110</v>
      </c>
      <c r="M179" t="s">
        <v>837</v>
      </c>
      <c r="N179" s="12" t="s">
        <v>1190</v>
      </c>
      <c r="O179" t="s">
        <v>604</v>
      </c>
      <c r="P179" s="16">
        <f>PRODUCT(_xlfn.XLOOKUP(F179,Config!$A$2:$A$15,Config!$B$2:$B$15),_xlfn.XLOOKUP(G179,Config!$C$2:$C$7,Config!$D$2:$D$7),_xlfn.XLOOKUP(H179,Config!$E$2:$E$5,Config!$F$2:$F$5),_xlfn.XLOOKUP(I179,Config!$G$2:$G$3,Config!$H$2:$H$3),_xlfn.XLOOKUP(J179,Config!$I$2:$I$3,Config!$J$2:$J$3),_xlfn.XLOOKUP(K179,Config!$K$2:$K$3,Config!$L$2:$L$3),_xlfn.XLOOKUP(L179,Config!$M$2:$M$3,Config!$N$2:$N$3),_xlfn.XLOOKUP(M179,Config!$O$2:$O$6,Config!$P$2:$P$6))</f>
        <v>1.64544156E-4</v>
      </c>
      <c r="Q179" s="22">
        <v>1</v>
      </c>
      <c r="R179" s="16">
        <f>P179*Q179*Config!$B$19</f>
        <v>1.2092620147027709E-4</v>
      </c>
    </row>
    <row r="180" spans="1:19" x14ac:dyDescent="0.45">
      <c r="A180" s="3">
        <v>179</v>
      </c>
      <c r="B180" s="3" t="s">
        <v>811</v>
      </c>
      <c r="C180" s="3" t="s">
        <v>1575</v>
      </c>
      <c r="D180" s="3" t="s">
        <v>825</v>
      </c>
      <c r="F180" t="s">
        <v>988</v>
      </c>
      <c r="G180" t="s">
        <v>831</v>
      </c>
      <c r="H180" t="s">
        <v>783</v>
      </c>
      <c r="I180" s="12" t="s">
        <v>1107</v>
      </c>
      <c r="K180" s="12" t="s">
        <v>1062</v>
      </c>
      <c r="L180" s="12" t="s">
        <v>1110</v>
      </c>
      <c r="M180" t="s">
        <v>835</v>
      </c>
      <c r="N180" s="12" t="s">
        <v>1190</v>
      </c>
      <c r="O180" t="s">
        <v>83</v>
      </c>
      <c r="P180" s="16">
        <f>PRODUCT(_xlfn.XLOOKUP(F180,Config!$A$2:$A$15,Config!$B$2:$B$15),_xlfn.XLOOKUP(G180,Config!$C$2:$C$7,Config!$D$2:$D$7),_xlfn.XLOOKUP(H180,Config!$E$2:$E$5,Config!$F$2:$F$5),_xlfn.XLOOKUP(I180,Config!$G$2:$G$3,Config!$H$2:$H$3),_xlfn.XLOOKUP(J180,Config!$I$2:$I$3,Config!$J$2:$J$3),_xlfn.XLOOKUP(K180,Config!$K$2:$K$3,Config!$L$2:$L$3),_xlfn.XLOOKUP(L180,Config!$M$2:$M$3,Config!$N$2:$N$3),_xlfn.XLOOKUP(M180,Config!$O$2:$O$6,Config!$P$2:$P$6))</f>
        <v>1.64544156E-4</v>
      </c>
      <c r="Q180" s="22">
        <v>1</v>
      </c>
      <c r="R180" s="16">
        <f>P180*Q180*Config!$B$19</f>
        <v>1.2092620147027709E-4</v>
      </c>
    </row>
    <row r="181" spans="1:19" x14ac:dyDescent="0.45">
      <c r="A181" s="3">
        <v>180</v>
      </c>
      <c r="B181" s="3" t="s">
        <v>113</v>
      </c>
      <c r="C181" s="3" t="s">
        <v>736</v>
      </c>
      <c r="D181" s="3" t="s">
        <v>277</v>
      </c>
      <c r="E181" s="2" t="s">
        <v>116</v>
      </c>
      <c r="F181" t="s">
        <v>988</v>
      </c>
      <c r="G181" t="s">
        <v>831</v>
      </c>
      <c r="H181" t="s">
        <v>783</v>
      </c>
      <c r="I181" s="12" t="s">
        <v>1107</v>
      </c>
      <c r="J181" s="2"/>
      <c r="K181" s="12" t="s">
        <v>1062</v>
      </c>
      <c r="L181" s="12" t="s">
        <v>1110</v>
      </c>
      <c r="M181" t="s">
        <v>836</v>
      </c>
      <c r="N181" s="12" t="s">
        <v>1190</v>
      </c>
      <c r="O181" s="2" t="s">
        <v>118</v>
      </c>
      <c r="P181" s="16">
        <f>PRODUCT(_xlfn.XLOOKUP(F181,Config!$A$2:$A$15,Config!$B$2:$B$15),_xlfn.XLOOKUP(G181,Config!$C$2:$C$7,Config!$D$2:$D$7),_xlfn.XLOOKUP(H181,Config!$E$2:$E$5,Config!$F$2:$F$5),_xlfn.XLOOKUP(I181,Config!$G$2:$G$3,Config!$H$2:$H$3),_xlfn.XLOOKUP(J181,Config!$I$2:$I$3,Config!$J$2:$J$3),_xlfn.XLOOKUP(K181,Config!$K$2:$K$3,Config!$L$2:$L$3),_xlfn.XLOOKUP(L181,Config!$M$2:$M$3,Config!$N$2:$N$3),_xlfn.XLOOKUP(M181,Config!$O$2:$O$6,Config!$P$2:$P$6))</f>
        <v>4.9363246800000001E-4</v>
      </c>
      <c r="Q181" s="22">
        <v>1</v>
      </c>
      <c r="R181" s="16">
        <f>P181*Q181*Config!$B$19</f>
        <v>3.6277860441083124E-4</v>
      </c>
    </row>
    <row r="182" spans="1:19" x14ac:dyDescent="0.45">
      <c r="A182" s="3">
        <v>181</v>
      </c>
      <c r="B182" s="11" t="s">
        <v>664</v>
      </c>
      <c r="C182" s="11" t="s">
        <v>745</v>
      </c>
      <c r="D182" s="3" t="s">
        <v>556</v>
      </c>
      <c r="E182" s="2" t="s">
        <v>983</v>
      </c>
      <c r="F182" t="s">
        <v>984</v>
      </c>
      <c r="G182" t="s">
        <v>831</v>
      </c>
      <c r="H182" t="s">
        <v>783</v>
      </c>
      <c r="I182" s="12" t="s">
        <v>1107</v>
      </c>
      <c r="J182" s="2"/>
      <c r="K182" s="12" t="s">
        <v>1062</v>
      </c>
      <c r="L182" t="s">
        <v>1111</v>
      </c>
      <c r="M182" s="12" t="s">
        <v>838</v>
      </c>
      <c r="N182" s="12" t="s">
        <v>1190</v>
      </c>
      <c r="O182" s="2" t="s">
        <v>111</v>
      </c>
      <c r="P182" s="16">
        <f>PRODUCT(_xlfn.XLOOKUP(F182,Config!$A$2:$A$15,Config!$B$2:$B$15),_xlfn.XLOOKUP(G182,Config!$C$2:$C$7,Config!$D$2:$D$7),_xlfn.XLOOKUP(H182,Config!$E$2:$E$5,Config!$F$2:$F$5),_xlfn.XLOOKUP(I182,Config!$G$2:$G$3,Config!$H$2:$H$3),_xlfn.XLOOKUP(J182,Config!$I$2:$I$3,Config!$J$2:$J$3),_xlfn.XLOOKUP(K182,Config!$K$2:$K$3,Config!$L$2:$L$3),_xlfn.XLOOKUP(L182,Config!$M$2:$M$3,Config!$N$2:$N$3),_xlfn.XLOOKUP(M182,Config!$O$2:$O$6,Config!$P$2:$P$6))</f>
        <v>5.1971673599999991E-4</v>
      </c>
      <c r="Q182" s="22">
        <v>1</v>
      </c>
      <c r="R182" s="16">
        <f>P182*Q182*Config!$B$19</f>
        <v>3.819483611743148E-4</v>
      </c>
    </row>
    <row r="183" spans="1:19" x14ac:dyDescent="0.45">
      <c r="A183" s="7">
        <v>182</v>
      </c>
      <c r="B183" s="11" t="s">
        <v>664</v>
      </c>
      <c r="C183" s="11" t="s">
        <v>745</v>
      </c>
      <c r="D183" s="7" t="s">
        <v>556</v>
      </c>
      <c r="E183" s="2" t="s">
        <v>983</v>
      </c>
      <c r="F183" t="s">
        <v>971</v>
      </c>
      <c r="G183" t="s">
        <v>831</v>
      </c>
      <c r="H183" t="s">
        <v>783</v>
      </c>
      <c r="I183" s="12" t="s">
        <v>1107</v>
      </c>
      <c r="J183" s="2"/>
      <c r="K183" s="12" t="s">
        <v>1062</v>
      </c>
      <c r="L183" t="s">
        <v>1111</v>
      </c>
      <c r="M183" s="12" t="s">
        <v>838</v>
      </c>
      <c r="N183" s="12" t="s">
        <v>1190</v>
      </c>
      <c r="P183" s="16">
        <f>PRODUCT(_xlfn.XLOOKUP(F183,Config!$A$2:$A$15,Config!$B$2:$B$15),_xlfn.XLOOKUP(G183,Config!$C$2:$C$7,Config!$D$2:$D$7),_xlfn.XLOOKUP(H183,Config!$E$2:$E$5,Config!$F$2:$F$5),_xlfn.XLOOKUP(I183,Config!$G$2:$G$3,Config!$H$2:$H$3),_xlfn.XLOOKUP(J183,Config!$I$2:$I$3,Config!$J$2:$J$3),_xlfn.XLOOKUP(K183,Config!$K$2:$K$3,Config!$L$2:$L$3),_xlfn.XLOOKUP(L183,Config!$M$2:$M$3,Config!$N$2:$N$3),_xlfn.XLOOKUP(M183,Config!$O$2:$O$6,Config!$P$2:$P$6))</f>
        <v>2.9234066399999993E-4</v>
      </c>
      <c r="Q183" s="22">
        <v>1</v>
      </c>
      <c r="R183" s="16">
        <f>P183*Q183*Config!$B$19</f>
        <v>2.1484595316055205E-4</v>
      </c>
    </row>
    <row r="184" spans="1:19" x14ac:dyDescent="0.45">
      <c r="A184" s="3">
        <v>183</v>
      </c>
      <c r="B184" s="11" t="s">
        <v>664</v>
      </c>
      <c r="C184" s="11" t="s">
        <v>745</v>
      </c>
      <c r="D184" s="3" t="s">
        <v>556</v>
      </c>
      <c r="E184" s="2" t="s">
        <v>983</v>
      </c>
      <c r="F184" t="s">
        <v>985</v>
      </c>
      <c r="G184" t="s">
        <v>831</v>
      </c>
      <c r="H184" t="s">
        <v>783</v>
      </c>
      <c r="I184" s="12" t="s">
        <v>1107</v>
      </c>
      <c r="J184" s="2"/>
      <c r="K184" s="12" t="s">
        <v>1062</v>
      </c>
      <c r="L184" t="s">
        <v>1111</v>
      </c>
      <c r="M184" s="12" t="s">
        <v>838</v>
      </c>
      <c r="N184" s="12" t="s">
        <v>1190</v>
      </c>
      <c r="P184" s="16">
        <f>PRODUCT(_xlfn.XLOOKUP(F184,Config!$A$2:$A$15,Config!$B$2:$B$15),_xlfn.XLOOKUP(G184,Config!$C$2:$C$7,Config!$D$2:$D$7),_xlfn.XLOOKUP(H184,Config!$E$2:$E$5,Config!$F$2:$F$5),_xlfn.XLOOKUP(I184,Config!$G$2:$G$3,Config!$H$2:$H$3),_xlfn.XLOOKUP(J184,Config!$I$2:$I$3,Config!$J$2:$J$3),_xlfn.XLOOKUP(K184,Config!$K$2:$K$3,Config!$L$2:$L$3),_xlfn.XLOOKUP(L184,Config!$M$2:$M$3,Config!$N$2:$N$3),_xlfn.XLOOKUP(M184,Config!$O$2:$O$6,Config!$P$2:$P$6))</f>
        <v>4.4884627200000003E-4</v>
      </c>
      <c r="Q184" s="22">
        <v>1</v>
      </c>
      <c r="R184" s="16">
        <f>P184*Q184*Config!$B$19</f>
        <v>3.2986449374145378E-4</v>
      </c>
    </row>
    <row r="185" spans="1:19" x14ac:dyDescent="0.45">
      <c r="A185" s="3">
        <v>184</v>
      </c>
      <c r="B185" s="11" t="s">
        <v>664</v>
      </c>
      <c r="C185" s="11" t="s">
        <v>745</v>
      </c>
      <c r="D185" s="3" t="s">
        <v>556</v>
      </c>
      <c r="E185" s="2" t="s">
        <v>983</v>
      </c>
      <c r="F185" t="s">
        <v>986</v>
      </c>
      <c r="G185" t="s">
        <v>831</v>
      </c>
      <c r="H185" t="s">
        <v>783</v>
      </c>
      <c r="I185" s="12" t="s">
        <v>1107</v>
      </c>
      <c r="J185" s="2"/>
      <c r="K185" s="12" t="s">
        <v>1062</v>
      </c>
      <c r="L185" t="s">
        <v>1111</v>
      </c>
      <c r="M185" s="12" t="s">
        <v>838</v>
      </c>
      <c r="N185" s="12" t="s">
        <v>1190</v>
      </c>
      <c r="P185" s="16">
        <f>PRODUCT(_xlfn.XLOOKUP(F185,Config!$A$2:$A$15,Config!$B$2:$B$15),_xlfn.XLOOKUP(G185,Config!$C$2:$C$7,Config!$D$2:$D$7),_xlfn.XLOOKUP(H185,Config!$E$2:$E$5,Config!$F$2:$F$5),_xlfn.XLOOKUP(I185,Config!$G$2:$G$3,Config!$H$2:$H$3),_xlfn.XLOOKUP(J185,Config!$I$2:$I$3,Config!$J$2:$J$3),_xlfn.XLOOKUP(K185,Config!$K$2:$K$3,Config!$L$2:$L$3),_xlfn.XLOOKUP(L185,Config!$M$2:$M$3,Config!$N$2:$N$3),_xlfn.XLOOKUP(M185,Config!$O$2:$O$6,Config!$P$2:$P$6))</f>
        <v>2.5247602799999996E-4</v>
      </c>
      <c r="Q185" s="22">
        <v>1</v>
      </c>
      <c r="R185" s="16">
        <f>P185*Q185*Config!$B$19</f>
        <v>1.8554877772956771E-4</v>
      </c>
    </row>
    <row r="186" spans="1:19" x14ac:dyDescent="0.45">
      <c r="A186" s="3">
        <v>185</v>
      </c>
      <c r="B186" s="11" t="s">
        <v>664</v>
      </c>
      <c r="C186" s="11" t="s">
        <v>745</v>
      </c>
      <c r="D186" s="3" t="s">
        <v>556</v>
      </c>
      <c r="E186" s="2" t="s">
        <v>983</v>
      </c>
      <c r="F186" t="s">
        <v>1010</v>
      </c>
      <c r="G186" t="s">
        <v>831</v>
      </c>
      <c r="H186" t="s">
        <v>783</v>
      </c>
      <c r="I186" s="12" t="s">
        <v>1107</v>
      </c>
      <c r="J186" s="2"/>
      <c r="K186" s="12" t="s">
        <v>1062</v>
      </c>
      <c r="L186" t="s">
        <v>1111</v>
      </c>
      <c r="M186" s="12" t="s">
        <v>838</v>
      </c>
      <c r="N186" s="12" t="s">
        <v>1190</v>
      </c>
      <c r="P186" s="16">
        <f>PRODUCT(_xlfn.XLOOKUP(F186,Config!$A$2:$A$15,Config!$B$2:$B$15),_xlfn.XLOOKUP(G186,Config!$C$2:$C$7,Config!$D$2:$D$7),_xlfn.XLOOKUP(H186,Config!$E$2:$E$5,Config!$F$2:$F$5),_xlfn.XLOOKUP(I186,Config!$G$2:$G$3,Config!$H$2:$H$3),_xlfn.XLOOKUP(J186,Config!$I$2:$I$3,Config!$J$2:$J$3),_xlfn.XLOOKUP(K186,Config!$K$2:$K$3,Config!$L$2:$L$3),_xlfn.XLOOKUP(L186,Config!$M$2:$M$3,Config!$N$2:$N$3),_xlfn.XLOOKUP(M186,Config!$O$2:$O$6,Config!$P$2:$P$6))</f>
        <v>3.4844644799999998E-4</v>
      </c>
      <c r="Q186" s="22">
        <v>1</v>
      </c>
      <c r="R186" s="16">
        <f>P186*Q186*Config!$B$19</f>
        <v>2.5607901487823383E-4</v>
      </c>
    </row>
    <row r="187" spans="1:19" x14ac:dyDescent="0.45">
      <c r="A187" s="3">
        <v>186</v>
      </c>
      <c r="B187" s="11" t="s">
        <v>664</v>
      </c>
      <c r="C187" s="11" t="s">
        <v>745</v>
      </c>
      <c r="D187" s="3" t="s">
        <v>562</v>
      </c>
      <c r="E187" s="2" t="s">
        <v>110</v>
      </c>
      <c r="F187" t="s">
        <v>1010</v>
      </c>
      <c r="G187" t="s">
        <v>831</v>
      </c>
      <c r="H187" t="s">
        <v>783</v>
      </c>
      <c r="I187" s="12" t="s">
        <v>1107</v>
      </c>
      <c r="J187" s="2"/>
      <c r="K187" s="12" t="s">
        <v>1062</v>
      </c>
      <c r="L187" t="s">
        <v>1111</v>
      </c>
      <c r="M187" s="12" t="s">
        <v>838</v>
      </c>
      <c r="N187" s="12" t="s">
        <v>1190</v>
      </c>
      <c r="O187" s="2" t="s">
        <v>111</v>
      </c>
      <c r="P187" s="16">
        <f>PRODUCT(_xlfn.XLOOKUP(F187,Config!$A$2:$A$15,Config!$B$2:$B$15),_xlfn.XLOOKUP(G187,Config!$C$2:$C$7,Config!$D$2:$D$7),_xlfn.XLOOKUP(H187,Config!$E$2:$E$5,Config!$F$2:$F$5),_xlfn.XLOOKUP(I187,Config!$G$2:$G$3,Config!$H$2:$H$3),_xlfn.XLOOKUP(J187,Config!$I$2:$I$3,Config!$J$2:$J$3),_xlfn.XLOOKUP(K187,Config!$K$2:$K$3,Config!$L$2:$L$3),_xlfn.XLOOKUP(L187,Config!$M$2:$M$3,Config!$N$2:$N$3),_xlfn.XLOOKUP(M187,Config!$O$2:$O$6,Config!$P$2:$P$6))</f>
        <v>3.4844644799999998E-4</v>
      </c>
      <c r="Q187" s="22">
        <v>1</v>
      </c>
      <c r="R187" s="16">
        <f>P187*Q187*Config!$B$19</f>
        <v>2.5607901487823383E-4</v>
      </c>
    </row>
    <row r="188" spans="1:19" x14ac:dyDescent="0.45">
      <c r="A188" s="3">
        <v>187</v>
      </c>
      <c r="B188" s="3" t="s">
        <v>241</v>
      </c>
      <c r="C188" s="3" t="s">
        <v>734</v>
      </c>
      <c r="D188" s="3" t="s">
        <v>265</v>
      </c>
      <c r="E188" t="s">
        <v>144</v>
      </c>
      <c r="F188" t="s">
        <v>988</v>
      </c>
      <c r="G188" t="s">
        <v>831</v>
      </c>
      <c r="H188" t="s">
        <v>783</v>
      </c>
      <c r="I188" s="12" t="s">
        <v>1107</v>
      </c>
      <c r="K188" s="12" t="s">
        <v>1062</v>
      </c>
      <c r="L188" t="s">
        <v>1111</v>
      </c>
      <c r="M188" s="12" t="s">
        <v>838</v>
      </c>
      <c r="N188" s="12" t="s">
        <v>1190</v>
      </c>
      <c r="O188" t="s">
        <v>130</v>
      </c>
      <c r="P188" s="16">
        <f>PRODUCT(_xlfn.XLOOKUP(F188,Config!$A$2:$A$15,Config!$B$2:$B$15),_xlfn.XLOOKUP(G188,Config!$C$2:$C$7,Config!$D$2:$D$7),_xlfn.XLOOKUP(H188,Config!$E$2:$E$5,Config!$F$2:$F$5),_xlfn.XLOOKUP(I188,Config!$G$2:$G$3,Config!$H$2:$H$3),_xlfn.XLOOKUP(J188,Config!$I$2:$I$3,Config!$J$2:$J$3),_xlfn.XLOOKUP(K188,Config!$K$2:$K$3,Config!$L$2:$L$3),_xlfn.XLOOKUP(L188,Config!$M$2:$M$3,Config!$N$2:$N$3),_xlfn.XLOOKUP(M188,Config!$O$2:$O$6,Config!$P$2:$P$6))</f>
        <v>3.4844644799999998E-4</v>
      </c>
      <c r="Q188" s="22">
        <v>1</v>
      </c>
      <c r="R188" s="16">
        <f>P188*Q188*Config!$B$19</f>
        <v>2.5607901487823383E-4</v>
      </c>
      <c r="S188" t="s">
        <v>733</v>
      </c>
    </row>
    <row r="189" spans="1:19" x14ac:dyDescent="0.45">
      <c r="A189" s="3">
        <v>188</v>
      </c>
      <c r="B189" s="11" t="s">
        <v>664</v>
      </c>
      <c r="C189" s="11" t="s">
        <v>745</v>
      </c>
      <c r="D189" s="3" t="s">
        <v>556</v>
      </c>
      <c r="E189" s="2" t="s">
        <v>983</v>
      </c>
      <c r="F189" t="s">
        <v>987</v>
      </c>
      <c r="G189" t="s">
        <v>831</v>
      </c>
      <c r="H189" t="s">
        <v>783</v>
      </c>
      <c r="I189" s="12" t="s">
        <v>1107</v>
      </c>
      <c r="J189" s="2"/>
      <c r="K189" s="12" t="s">
        <v>1062</v>
      </c>
      <c r="L189" t="s">
        <v>1111</v>
      </c>
      <c r="M189" s="12" t="s">
        <v>838</v>
      </c>
      <c r="N189" s="12" t="s">
        <v>1190</v>
      </c>
      <c r="P189" s="16">
        <f>PRODUCT(_xlfn.XLOOKUP(F189,Config!$A$2:$A$15,Config!$B$2:$B$15),_xlfn.XLOOKUP(G189,Config!$C$2:$C$7,Config!$D$2:$D$7),_xlfn.XLOOKUP(H189,Config!$E$2:$E$5,Config!$F$2:$F$5),_xlfn.XLOOKUP(I189,Config!$G$2:$G$3,Config!$H$2:$H$3),_xlfn.XLOOKUP(J189,Config!$I$2:$I$3,Config!$J$2:$J$3),_xlfn.XLOOKUP(K189,Config!$K$2:$K$3,Config!$L$2:$L$3),_xlfn.XLOOKUP(L189,Config!$M$2:$M$3,Config!$N$2:$N$3),_xlfn.XLOOKUP(M189,Config!$O$2:$O$6,Config!$P$2:$P$6))</f>
        <v>1.3066741799999996E-4</v>
      </c>
      <c r="Q189" s="22">
        <v>1</v>
      </c>
      <c r="R189" s="16">
        <f>P189*Q189*Config!$B$19</f>
        <v>9.6029630579337659E-5</v>
      </c>
    </row>
    <row r="190" spans="1:19" x14ac:dyDescent="0.45">
      <c r="A190" s="3">
        <v>189</v>
      </c>
      <c r="B190" s="3" t="s">
        <v>243</v>
      </c>
      <c r="C190" s="3" t="s">
        <v>735</v>
      </c>
      <c r="D190" s="3" t="s">
        <v>266</v>
      </c>
      <c r="E190" t="s">
        <v>148</v>
      </c>
      <c r="F190" t="s">
        <v>989</v>
      </c>
      <c r="G190" t="s">
        <v>831</v>
      </c>
      <c r="H190" t="s">
        <v>783</v>
      </c>
      <c r="I190" s="12" t="s">
        <v>1107</v>
      </c>
      <c r="K190" s="12" t="s">
        <v>1062</v>
      </c>
      <c r="L190" t="s">
        <v>1111</v>
      </c>
      <c r="M190" s="12" t="s">
        <v>838</v>
      </c>
      <c r="N190" s="12" t="s">
        <v>1190</v>
      </c>
      <c r="O190" t="s">
        <v>103</v>
      </c>
      <c r="P190" s="16">
        <f>PRODUCT(_xlfn.XLOOKUP(F190,Config!$A$2:$A$15,Config!$B$2:$B$15),_xlfn.XLOOKUP(G190,Config!$C$2:$C$7,Config!$D$2:$D$7),_xlfn.XLOOKUP(H190,Config!$E$2:$E$5,Config!$F$2:$F$5),_xlfn.XLOOKUP(I190,Config!$G$2:$G$3,Config!$H$2:$H$3),_xlfn.XLOOKUP(J190,Config!$I$2:$I$3,Config!$J$2:$J$3),_xlfn.XLOOKUP(K190,Config!$K$2:$K$3,Config!$L$2:$L$3),_xlfn.XLOOKUP(L190,Config!$M$2:$M$3,Config!$N$2:$N$3),_xlfn.XLOOKUP(M190,Config!$O$2:$O$6,Config!$P$2:$P$6))</f>
        <v>3.4844644799999998E-4</v>
      </c>
      <c r="Q190" s="22">
        <v>1</v>
      </c>
      <c r="R190" s="16">
        <f>P190*Q190*Config!$B$19</f>
        <v>2.5607901487823383E-4</v>
      </c>
      <c r="S190" t="s">
        <v>733</v>
      </c>
    </row>
    <row r="191" spans="1:19" x14ac:dyDescent="0.45">
      <c r="A191" s="7">
        <v>190</v>
      </c>
      <c r="B191" s="7" t="s">
        <v>579</v>
      </c>
      <c r="C191" s="3" t="s">
        <v>580</v>
      </c>
      <c r="D191" s="3" t="s">
        <v>581</v>
      </c>
      <c r="F191" t="s">
        <v>985</v>
      </c>
      <c r="G191" t="s">
        <v>832</v>
      </c>
      <c r="H191" t="s">
        <v>808</v>
      </c>
      <c r="I191" s="12" t="s">
        <v>1107</v>
      </c>
      <c r="J191" t="s">
        <v>784</v>
      </c>
      <c r="K191" s="12" t="s">
        <v>1062</v>
      </c>
      <c r="L191" s="12" t="s">
        <v>1110</v>
      </c>
      <c r="M191" s="12" t="s">
        <v>972</v>
      </c>
      <c r="N191" s="12" t="s">
        <v>1190</v>
      </c>
      <c r="O191" t="s">
        <v>642</v>
      </c>
      <c r="P191" s="16">
        <f>PRODUCT(_xlfn.XLOOKUP(F191,Config!$A$2:$A$15,Config!$B$2:$B$15),_xlfn.XLOOKUP(G191,Config!$C$2:$C$7,Config!$D$2:$D$7),_xlfn.XLOOKUP(H191,Config!$E$2:$E$5,Config!$F$2:$F$5),_xlfn.XLOOKUP(I191,Config!$G$2:$G$3,Config!$H$2:$H$3),_xlfn.XLOOKUP(J191,Config!$I$2:$I$3,Config!$J$2:$J$3),_xlfn.XLOOKUP(K191,Config!$K$2:$K$3,Config!$L$2:$L$3),_xlfn.XLOOKUP(L191,Config!$M$2:$M$3,Config!$N$2:$N$3),_xlfn.XLOOKUP(M191,Config!$O$2:$O$6,Config!$P$2:$P$6))</f>
        <v>1.498825944E-4</v>
      </c>
      <c r="Q191" s="22">
        <v>1</v>
      </c>
      <c r="R191" s="16">
        <f>P191*Q191*Config!$B$19</f>
        <v>1.1015117916009259E-4</v>
      </c>
    </row>
    <row r="192" spans="1:19" x14ac:dyDescent="0.45">
      <c r="A192" s="7">
        <v>191</v>
      </c>
      <c r="B192" s="7" t="s">
        <v>898</v>
      </c>
      <c r="C192" s="3" t="s">
        <v>899</v>
      </c>
      <c r="D192" s="3" t="s">
        <v>900</v>
      </c>
      <c r="E192" t="s">
        <v>901</v>
      </c>
      <c r="F192" t="s">
        <v>985</v>
      </c>
      <c r="G192" t="s">
        <v>832</v>
      </c>
      <c r="H192" t="s">
        <v>808</v>
      </c>
      <c r="I192" s="12" t="s">
        <v>1107</v>
      </c>
      <c r="J192" t="s">
        <v>784</v>
      </c>
      <c r="K192" s="12" t="s">
        <v>1062</v>
      </c>
      <c r="L192" s="12" t="s">
        <v>1110</v>
      </c>
      <c r="M192" s="12" t="s">
        <v>972</v>
      </c>
      <c r="N192" s="12" t="s">
        <v>1190</v>
      </c>
      <c r="O192" t="s">
        <v>902</v>
      </c>
      <c r="P192" s="16">
        <f>PRODUCT(_xlfn.XLOOKUP(F192,Config!$A$2:$A$15,Config!$B$2:$B$15),_xlfn.XLOOKUP(G192,Config!$C$2:$C$7,Config!$D$2:$D$7),_xlfn.XLOOKUP(H192,Config!$E$2:$E$5,Config!$F$2:$F$5),_xlfn.XLOOKUP(I192,Config!$G$2:$G$3,Config!$H$2:$H$3),_xlfn.XLOOKUP(J192,Config!$I$2:$I$3,Config!$J$2:$J$3),_xlfn.XLOOKUP(K192,Config!$K$2:$K$3,Config!$L$2:$L$3),_xlfn.XLOOKUP(L192,Config!$M$2:$M$3,Config!$N$2:$N$3),_xlfn.XLOOKUP(M192,Config!$O$2:$O$6,Config!$P$2:$P$6))</f>
        <v>1.498825944E-4</v>
      </c>
      <c r="Q192" s="22">
        <v>1</v>
      </c>
      <c r="R192" s="16">
        <f>P192*Q192*Config!$B$19</f>
        <v>1.1015117916009259E-4</v>
      </c>
    </row>
    <row r="193" spans="1:18" x14ac:dyDescent="0.45">
      <c r="A193" s="7">
        <v>192</v>
      </c>
      <c r="B193" s="7" t="s">
        <v>658</v>
      </c>
      <c r="C193" s="3" t="s">
        <v>580</v>
      </c>
      <c r="D193" s="3" t="s">
        <v>692</v>
      </c>
      <c r="F193" t="s">
        <v>986</v>
      </c>
      <c r="G193" t="s">
        <v>832</v>
      </c>
      <c r="H193" t="s">
        <v>808</v>
      </c>
      <c r="I193" s="12" t="s">
        <v>1107</v>
      </c>
      <c r="J193" t="s">
        <v>784</v>
      </c>
      <c r="K193" s="12" t="s">
        <v>1062</v>
      </c>
      <c r="L193" s="12" t="s">
        <v>1110</v>
      </c>
      <c r="M193" s="12" t="s">
        <v>972</v>
      </c>
      <c r="N193" s="12" t="s">
        <v>1190</v>
      </c>
      <c r="O193" t="s">
        <v>814</v>
      </c>
      <c r="P193" s="16">
        <f>PRODUCT(_xlfn.XLOOKUP(F193,Config!$A$2:$A$15,Config!$B$2:$B$15),_xlfn.XLOOKUP(G193,Config!$C$2:$C$7,Config!$D$2:$D$7),_xlfn.XLOOKUP(H193,Config!$E$2:$E$5,Config!$F$2:$F$5),_xlfn.XLOOKUP(I193,Config!$G$2:$G$3,Config!$H$2:$H$3),_xlfn.XLOOKUP(J193,Config!$I$2:$I$3,Config!$J$2:$J$3),_xlfn.XLOOKUP(K193,Config!$K$2:$K$3,Config!$L$2:$L$3),_xlfn.XLOOKUP(L193,Config!$M$2:$M$3,Config!$N$2:$N$3),_xlfn.XLOOKUP(M193,Config!$O$2:$O$6,Config!$P$2:$P$6))</f>
        <v>8.4308959350000028E-5</v>
      </c>
      <c r="Q193" s="22">
        <v>1</v>
      </c>
      <c r="R193" s="16">
        <f>P193*Q193*Config!$B$19</f>
        <v>6.1960038277552104E-5</v>
      </c>
    </row>
    <row r="194" spans="1:18" x14ac:dyDescent="0.45">
      <c r="A194" s="3">
        <v>193</v>
      </c>
      <c r="B194" s="3" t="s">
        <v>582</v>
      </c>
      <c r="C194" s="3" t="s">
        <v>1098</v>
      </c>
      <c r="D194" s="3" t="s">
        <v>583</v>
      </c>
      <c r="F194" t="s">
        <v>985</v>
      </c>
      <c r="G194" t="s">
        <v>832</v>
      </c>
      <c r="H194" t="s">
        <v>808</v>
      </c>
      <c r="I194" s="12" t="s">
        <v>1107</v>
      </c>
      <c r="J194" t="s">
        <v>784</v>
      </c>
      <c r="K194" s="12" t="s">
        <v>1062</v>
      </c>
      <c r="L194" t="s">
        <v>1111</v>
      </c>
      <c r="M194" s="12" t="s">
        <v>972</v>
      </c>
      <c r="N194" s="12" t="s">
        <v>1190</v>
      </c>
      <c r="O194" t="s">
        <v>643</v>
      </c>
      <c r="P194" s="16">
        <f>PRODUCT(_xlfn.XLOOKUP(F194,Config!$A$2:$A$15,Config!$B$2:$B$15),_xlfn.XLOOKUP(G194,Config!$C$2:$C$7,Config!$D$2:$D$7),_xlfn.XLOOKUP(H194,Config!$E$2:$E$5,Config!$F$2:$F$5),_xlfn.XLOOKUP(I194,Config!$G$2:$G$3,Config!$H$2:$H$3),_xlfn.XLOOKUP(J194,Config!$I$2:$I$3,Config!$J$2:$J$3),_xlfn.XLOOKUP(K194,Config!$K$2:$K$3,Config!$L$2:$L$3),_xlfn.XLOOKUP(L194,Config!$M$2:$M$3,Config!$N$2:$N$3),_xlfn.XLOOKUP(M194,Config!$O$2:$O$6,Config!$P$2:$P$6))</f>
        <v>2.64498696E-5</v>
      </c>
      <c r="Q194" s="22">
        <v>1</v>
      </c>
      <c r="R194" s="16">
        <f>P194*Q194*Config!$B$19</f>
        <v>1.943844338119281E-5</v>
      </c>
    </row>
    <row r="195" spans="1:18" x14ac:dyDescent="0.45">
      <c r="A195" s="3">
        <v>194</v>
      </c>
      <c r="B195" s="3" t="s">
        <v>903</v>
      </c>
      <c r="C195" s="3" t="s">
        <v>1099</v>
      </c>
      <c r="D195" s="3" t="s">
        <v>904</v>
      </c>
      <c r="E195" t="s">
        <v>905</v>
      </c>
      <c r="F195" t="s">
        <v>985</v>
      </c>
      <c r="G195" t="s">
        <v>832</v>
      </c>
      <c r="H195" t="s">
        <v>808</v>
      </c>
      <c r="I195" s="12" t="s">
        <v>1107</v>
      </c>
      <c r="J195" t="s">
        <v>784</v>
      </c>
      <c r="K195" s="12" t="s">
        <v>1062</v>
      </c>
      <c r="L195" t="s">
        <v>1111</v>
      </c>
      <c r="M195" s="12" t="s">
        <v>972</v>
      </c>
      <c r="N195" s="12" t="s">
        <v>1190</v>
      </c>
      <c r="O195" t="s">
        <v>906</v>
      </c>
      <c r="P195" s="16">
        <f>PRODUCT(_xlfn.XLOOKUP(F195,Config!$A$2:$A$15,Config!$B$2:$B$15),_xlfn.XLOOKUP(G195,Config!$C$2:$C$7,Config!$D$2:$D$7),_xlfn.XLOOKUP(H195,Config!$E$2:$E$5,Config!$F$2:$F$5),_xlfn.XLOOKUP(I195,Config!$G$2:$G$3,Config!$H$2:$H$3),_xlfn.XLOOKUP(J195,Config!$I$2:$I$3,Config!$J$2:$J$3),_xlfn.XLOOKUP(K195,Config!$K$2:$K$3,Config!$L$2:$L$3),_xlfn.XLOOKUP(L195,Config!$M$2:$M$3,Config!$N$2:$N$3),_xlfn.XLOOKUP(M195,Config!$O$2:$O$6,Config!$P$2:$P$6))</f>
        <v>2.64498696E-5</v>
      </c>
      <c r="Q195" s="22">
        <v>1</v>
      </c>
      <c r="R195" s="16">
        <f>P195*Q195*Config!$B$19</f>
        <v>1.943844338119281E-5</v>
      </c>
    </row>
    <row r="196" spans="1:18" x14ac:dyDescent="0.45">
      <c r="A196" s="3">
        <v>195</v>
      </c>
      <c r="B196" s="3" t="s">
        <v>659</v>
      </c>
      <c r="C196" s="3" t="s">
        <v>1098</v>
      </c>
      <c r="D196" s="3" t="s">
        <v>693</v>
      </c>
      <c r="F196" t="s">
        <v>986</v>
      </c>
      <c r="G196" t="s">
        <v>832</v>
      </c>
      <c r="H196" t="s">
        <v>808</v>
      </c>
      <c r="I196" s="12" t="s">
        <v>1107</v>
      </c>
      <c r="J196" t="s">
        <v>784</v>
      </c>
      <c r="K196" s="12" t="s">
        <v>1062</v>
      </c>
      <c r="L196" t="s">
        <v>1111</v>
      </c>
      <c r="M196" s="12" t="s">
        <v>972</v>
      </c>
      <c r="N196" s="12" t="s">
        <v>1190</v>
      </c>
      <c r="O196" t="s">
        <v>657</v>
      </c>
      <c r="P196" s="16">
        <f>PRODUCT(_xlfn.XLOOKUP(F196,Config!$A$2:$A$15,Config!$B$2:$B$15),_xlfn.XLOOKUP(G196,Config!$C$2:$C$7,Config!$D$2:$D$7),_xlfn.XLOOKUP(H196,Config!$E$2:$E$5,Config!$F$2:$F$5),_xlfn.XLOOKUP(I196,Config!$G$2:$G$3,Config!$H$2:$H$3),_xlfn.XLOOKUP(J196,Config!$I$2:$I$3,Config!$J$2:$J$3),_xlfn.XLOOKUP(K196,Config!$K$2:$K$3,Config!$L$2:$L$3),_xlfn.XLOOKUP(L196,Config!$M$2:$M$3,Config!$N$2:$N$3),_xlfn.XLOOKUP(M196,Config!$O$2:$O$6,Config!$P$2:$P$6))</f>
        <v>1.4878051650000002E-5</v>
      </c>
      <c r="Q196" s="22">
        <v>1</v>
      </c>
      <c r="R196" s="16">
        <f>P196*Q196*Config!$B$19</f>
        <v>1.0934124401920957E-5</v>
      </c>
    </row>
    <row r="197" spans="1:18" x14ac:dyDescent="0.45">
      <c r="A197" s="3">
        <v>196</v>
      </c>
      <c r="B197" s="3" t="s">
        <v>1586</v>
      </c>
      <c r="C197" s="3" t="s">
        <v>1084</v>
      </c>
      <c r="D197" s="3" t="s">
        <v>1091</v>
      </c>
      <c r="E197" t="s">
        <v>875</v>
      </c>
      <c r="F197" t="s">
        <v>984</v>
      </c>
      <c r="G197" t="s">
        <v>832</v>
      </c>
      <c r="H197" t="s">
        <v>808</v>
      </c>
      <c r="I197" t="s">
        <v>806</v>
      </c>
      <c r="K197" s="12" t="s">
        <v>1062</v>
      </c>
      <c r="L197" s="12" t="s">
        <v>1110</v>
      </c>
      <c r="M197" s="12" t="s">
        <v>838</v>
      </c>
      <c r="N197" s="12" t="s">
        <v>1190</v>
      </c>
      <c r="P197" s="16">
        <f>PRODUCT(_xlfn.XLOOKUP(F197,Config!$A$2:$A$15,Config!$B$2:$B$15),_xlfn.XLOOKUP(G197,Config!$C$2:$C$7,Config!$D$2:$D$7),_xlfn.XLOOKUP(H197,Config!$E$2:$E$5,Config!$F$2:$F$5),_xlfn.XLOOKUP(I197,Config!$G$2:$G$3,Config!$H$2:$H$3),_xlfn.XLOOKUP(J197,Config!$I$2:$I$3,Config!$J$2:$J$3),_xlfn.XLOOKUP(K197,Config!$K$2:$K$3,Config!$L$2:$L$3),_xlfn.XLOOKUP(L197,Config!$M$2:$M$3,Config!$N$2:$N$3),_xlfn.XLOOKUP(M197,Config!$O$2:$O$6,Config!$P$2:$P$6))</f>
        <v>2.6776018368000008E-3</v>
      </c>
      <c r="Q197" s="22">
        <v>1</v>
      </c>
      <c r="R197" s="16">
        <f>P197*Q197*Config!$B$19</f>
        <v>1.9678135464990983E-3</v>
      </c>
    </row>
    <row r="198" spans="1:18" x14ac:dyDescent="0.45">
      <c r="A198" s="3">
        <v>197</v>
      </c>
      <c r="B198" s="3" t="s">
        <v>1586</v>
      </c>
      <c r="C198" s="3" t="s">
        <v>1084</v>
      </c>
      <c r="D198" s="3" t="s">
        <v>1091</v>
      </c>
      <c r="E198" t="s">
        <v>875</v>
      </c>
      <c r="F198" t="s">
        <v>971</v>
      </c>
      <c r="G198" t="s">
        <v>832</v>
      </c>
      <c r="H198" t="s">
        <v>808</v>
      </c>
      <c r="I198" t="s">
        <v>806</v>
      </c>
      <c r="K198" s="12" t="s">
        <v>1062</v>
      </c>
      <c r="L198" s="12" t="s">
        <v>1110</v>
      </c>
      <c r="M198" s="12" t="s">
        <v>838</v>
      </c>
      <c r="N198" s="12" t="s">
        <v>1190</v>
      </c>
      <c r="P198" s="16">
        <f>PRODUCT(_xlfn.XLOOKUP(F198,Config!$A$2:$A$15,Config!$B$2:$B$15),_xlfn.XLOOKUP(G198,Config!$C$2:$C$7,Config!$D$2:$D$7),_xlfn.XLOOKUP(H198,Config!$E$2:$E$5,Config!$F$2:$F$5),_xlfn.XLOOKUP(I198,Config!$G$2:$G$3,Config!$H$2:$H$3),_xlfn.XLOOKUP(J198,Config!$I$2:$I$3,Config!$J$2:$J$3),_xlfn.XLOOKUP(K198,Config!$K$2:$K$3,Config!$L$2:$L$3),_xlfn.XLOOKUP(L198,Config!$M$2:$M$3,Config!$N$2:$N$3),_xlfn.XLOOKUP(M198,Config!$O$2:$O$6,Config!$P$2:$P$6))</f>
        <v>1.5061510332000001E-3</v>
      </c>
      <c r="Q198" s="22">
        <v>1</v>
      </c>
      <c r="R198" s="16">
        <f>P198*Q198*Config!$B$19</f>
        <v>1.1068951199057426E-3</v>
      </c>
    </row>
    <row r="199" spans="1:18" x14ac:dyDescent="0.45">
      <c r="A199" s="3">
        <v>198</v>
      </c>
      <c r="B199" s="3" t="s">
        <v>1586</v>
      </c>
      <c r="C199" s="3" t="s">
        <v>1084</v>
      </c>
      <c r="D199" s="3" t="s">
        <v>1091</v>
      </c>
      <c r="E199" t="s">
        <v>875</v>
      </c>
      <c r="F199" t="s">
        <v>985</v>
      </c>
      <c r="G199" t="s">
        <v>832</v>
      </c>
      <c r="H199" t="s">
        <v>808</v>
      </c>
      <c r="I199" t="s">
        <v>806</v>
      </c>
      <c r="K199" s="12" t="s">
        <v>1062</v>
      </c>
      <c r="L199" s="12" t="s">
        <v>1110</v>
      </c>
      <c r="M199" s="12" t="s">
        <v>838</v>
      </c>
      <c r="N199" s="12" t="s">
        <v>1190</v>
      </c>
      <c r="P199" s="16">
        <f>PRODUCT(_xlfn.XLOOKUP(F199,Config!$A$2:$A$15,Config!$B$2:$B$15),_xlfn.XLOOKUP(G199,Config!$C$2:$C$7,Config!$D$2:$D$7),_xlfn.XLOOKUP(H199,Config!$E$2:$E$5,Config!$F$2:$F$5),_xlfn.XLOOKUP(I199,Config!$G$2:$G$3,Config!$H$2:$H$3),_xlfn.XLOOKUP(J199,Config!$I$2:$I$3,Config!$J$2:$J$3),_xlfn.XLOOKUP(K199,Config!$K$2:$K$3,Config!$L$2:$L$3),_xlfn.XLOOKUP(L199,Config!$M$2:$M$3,Config!$N$2:$N$3),_xlfn.XLOOKUP(M199,Config!$O$2:$O$6,Config!$P$2:$P$6))</f>
        <v>2.3124743135999998E-3</v>
      </c>
      <c r="Q199" s="22">
        <v>1</v>
      </c>
      <c r="R199" s="16">
        <f>P199*Q199*Config!$B$19</f>
        <v>1.6994753356128569E-3</v>
      </c>
    </row>
    <row r="200" spans="1:18" x14ac:dyDescent="0.45">
      <c r="A200" s="3">
        <v>199</v>
      </c>
      <c r="B200" s="3" t="s">
        <v>1586</v>
      </c>
      <c r="C200" s="3" t="s">
        <v>1084</v>
      </c>
      <c r="D200" s="3" t="s">
        <v>1091</v>
      </c>
      <c r="E200" t="s">
        <v>875</v>
      </c>
      <c r="F200" t="s">
        <v>986</v>
      </c>
      <c r="G200" t="s">
        <v>832</v>
      </c>
      <c r="H200" t="s">
        <v>808</v>
      </c>
      <c r="I200" t="s">
        <v>806</v>
      </c>
      <c r="K200" s="12" t="s">
        <v>1062</v>
      </c>
      <c r="L200" s="12" t="s">
        <v>1110</v>
      </c>
      <c r="M200" s="12" t="s">
        <v>838</v>
      </c>
      <c r="N200" s="12" t="s">
        <v>1190</v>
      </c>
      <c r="P200" s="16">
        <f>PRODUCT(_xlfn.XLOOKUP(F200,Config!$A$2:$A$15,Config!$B$2:$B$15),_xlfn.XLOOKUP(G200,Config!$C$2:$C$7,Config!$D$2:$D$7),_xlfn.XLOOKUP(H200,Config!$E$2:$E$5,Config!$F$2:$F$5),_xlfn.XLOOKUP(I200,Config!$G$2:$G$3,Config!$H$2:$H$3),_xlfn.XLOOKUP(J200,Config!$I$2:$I$3,Config!$J$2:$J$3),_xlfn.XLOOKUP(K200,Config!$K$2:$K$3,Config!$L$2:$L$3),_xlfn.XLOOKUP(L200,Config!$M$2:$M$3,Config!$N$2:$N$3),_xlfn.XLOOKUP(M200,Config!$O$2:$O$6,Config!$P$2:$P$6))</f>
        <v>1.3007668014000005E-3</v>
      </c>
      <c r="Q200" s="22">
        <v>1</v>
      </c>
      <c r="R200" s="16">
        <f>P200*Q200*Config!$B$19</f>
        <v>9.559548762822325E-4</v>
      </c>
    </row>
    <row r="201" spans="1:18" x14ac:dyDescent="0.45">
      <c r="A201" s="3">
        <v>200</v>
      </c>
      <c r="B201" s="3" t="s">
        <v>1586</v>
      </c>
      <c r="C201" s="3" t="s">
        <v>1084</v>
      </c>
      <c r="D201" s="3" t="s">
        <v>1091</v>
      </c>
      <c r="E201" t="s">
        <v>875</v>
      </c>
      <c r="F201" t="s">
        <v>1010</v>
      </c>
      <c r="G201" t="s">
        <v>832</v>
      </c>
      <c r="H201" t="s">
        <v>808</v>
      </c>
      <c r="I201" t="s">
        <v>806</v>
      </c>
      <c r="K201" s="12" t="s">
        <v>1062</v>
      </c>
      <c r="L201" s="12" t="s">
        <v>1110</v>
      </c>
      <c r="M201" s="12" t="s">
        <v>838</v>
      </c>
      <c r="N201" s="12" t="s">
        <v>1190</v>
      </c>
      <c r="O201" t="s">
        <v>876</v>
      </c>
      <c r="P201" s="16">
        <f>PRODUCT(_xlfn.XLOOKUP(F201,Config!$A$2:$A$15,Config!$B$2:$B$15),_xlfn.XLOOKUP(G201,Config!$C$2:$C$7,Config!$D$2:$D$7),_xlfn.XLOOKUP(H201,Config!$E$2:$E$5,Config!$F$2:$F$5),_xlfn.XLOOKUP(I201,Config!$G$2:$G$3,Config!$H$2:$H$3),_xlfn.XLOOKUP(J201,Config!$I$2:$I$3,Config!$J$2:$J$3),_xlfn.XLOOKUP(K201,Config!$K$2:$K$3,Config!$L$2:$L$3),_xlfn.XLOOKUP(L201,Config!$M$2:$M$3,Config!$N$2:$N$3),_xlfn.XLOOKUP(M201,Config!$O$2:$O$6,Config!$P$2:$P$6))</f>
        <v>1.7952103224000006E-3</v>
      </c>
      <c r="Q201" s="22">
        <v>1</v>
      </c>
      <c r="R201" s="16">
        <f>P201*Q201*Config!$B$19</f>
        <v>1.31932953685735E-3</v>
      </c>
    </row>
    <row r="202" spans="1:18" x14ac:dyDescent="0.45">
      <c r="A202" s="3">
        <v>201</v>
      </c>
      <c r="B202" s="3" t="s">
        <v>678</v>
      </c>
      <c r="C202" s="3" t="s">
        <v>703</v>
      </c>
      <c r="D202" s="3" t="s">
        <v>679</v>
      </c>
      <c r="E202" t="s">
        <v>529</v>
      </c>
      <c r="F202" t="s">
        <v>988</v>
      </c>
      <c r="G202" t="s">
        <v>832</v>
      </c>
      <c r="H202" t="s">
        <v>808</v>
      </c>
      <c r="I202" t="s">
        <v>806</v>
      </c>
      <c r="K202" s="12" t="s">
        <v>1062</v>
      </c>
      <c r="L202" s="12" t="s">
        <v>1110</v>
      </c>
      <c r="M202" s="12" t="s">
        <v>838</v>
      </c>
      <c r="N202" s="14" t="s">
        <v>997</v>
      </c>
      <c r="O202" t="s">
        <v>530</v>
      </c>
      <c r="P202" s="16">
        <f>PRODUCT(_xlfn.XLOOKUP(F202,Config!$A$2:$A$15,Config!$B$2:$B$15),_xlfn.XLOOKUP(G202,Config!$C$2:$C$7,Config!$D$2:$D$7),_xlfn.XLOOKUP(H202,Config!$E$2:$E$5,Config!$F$2:$F$5),_xlfn.XLOOKUP(I202,Config!$G$2:$G$3,Config!$H$2:$H$3),_xlfn.XLOOKUP(J202,Config!$I$2:$I$3,Config!$J$2:$J$3),_xlfn.XLOOKUP(K202,Config!$K$2:$K$3,Config!$L$2:$L$3),_xlfn.XLOOKUP(L202,Config!$M$2:$M$3,Config!$N$2:$N$3),_xlfn.XLOOKUP(M202,Config!$O$2:$O$6,Config!$P$2:$P$6))</f>
        <v>1.7952103224000006E-3</v>
      </c>
      <c r="Q202" s="22">
        <v>1</v>
      </c>
      <c r="R202" s="16">
        <f>P202*Q202*Config!$B$19</f>
        <v>1.31932953685735E-3</v>
      </c>
    </row>
    <row r="203" spans="1:18" x14ac:dyDescent="0.45">
      <c r="A203" s="3">
        <v>202</v>
      </c>
      <c r="B203" s="3" t="s">
        <v>676</v>
      </c>
      <c r="C203" s="3" t="s">
        <v>702</v>
      </c>
      <c r="D203" s="3" t="s">
        <v>677</v>
      </c>
      <c r="E203" t="s">
        <v>527</v>
      </c>
      <c r="F203" t="s">
        <v>988</v>
      </c>
      <c r="G203" t="s">
        <v>832</v>
      </c>
      <c r="H203" t="s">
        <v>808</v>
      </c>
      <c r="I203" t="s">
        <v>806</v>
      </c>
      <c r="K203" s="12" t="s">
        <v>1062</v>
      </c>
      <c r="L203" s="12" t="s">
        <v>1110</v>
      </c>
      <c r="M203" s="12" t="s">
        <v>838</v>
      </c>
      <c r="N203" s="12" t="s">
        <v>1190</v>
      </c>
      <c r="O203" t="s">
        <v>528</v>
      </c>
      <c r="P203" s="16">
        <f>PRODUCT(_xlfn.XLOOKUP(F203,Config!$A$2:$A$15,Config!$B$2:$B$15),_xlfn.XLOOKUP(G203,Config!$C$2:$C$7,Config!$D$2:$D$7),_xlfn.XLOOKUP(H203,Config!$E$2:$E$5,Config!$F$2:$F$5),_xlfn.XLOOKUP(I203,Config!$G$2:$G$3,Config!$H$2:$H$3),_xlfn.XLOOKUP(J203,Config!$I$2:$I$3,Config!$J$2:$J$3),_xlfn.XLOOKUP(K203,Config!$K$2:$K$3,Config!$L$2:$L$3),_xlfn.XLOOKUP(L203,Config!$M$2:$M$3,Config!$N$2:$N$3),_xlfn.XLOOKUP(M203,Config!$O$2:$O$6,Config!$P$2:$P$6))</f>
        <v>1.7952103224000006E-3</v>
      </c>
      <c r="Q203" s="22">
        <v>1</v>
      </c>
      <c r="R203" s="16">
        <f>P203*Q203*Config!$B$19</f>
        <v>1.31932953685735E-3</v>
      </c>
    </row>
    <row r="204" spans="1:18" x14ac:dyDescent="0.45">
      <c r="A204" s="3">
        <v>203</v>
      </c>
      <c r="B204" s="3" t="s">
        <v>1586</v>
      </c>
      <c r="C204" s="3" t="s">
        <v>1084</v>
      </c>
      <c r="D204" s="3" t="s">
        <v>1091</v>
      </c>
      <c r="E204" t="s">
        <v>875</v>
      </c>
      <c r="F204" t="s">
        <v>987</v>
      </c>
      <c r="G204" t="s">
        <v>832</v>
      </c>
      <c r="H204" t="s">
        <v>808</v>
      </c>
      <c r="I204" t="s">
        <v>806</v>
      </c>
      <c r="K204" s="12" t="s">
        <v>1062</v>
      </c>
      <c r="L204" s="12" t="s">
        <v>1110</v>
      </c>
      <c r="M204" s="12" t="s">
        <v>838</v>
      </c>
      <c r="N204" s="12" t="s">
        <v>1190</v>
      </c>
      <c r="P204" s="16">
        <f>PRODUCT(_xlfn.XLOOKUP(F204,Config!$A$2:$A$15,Config!$B$2:$B$15),_xlfn.XLOOKUP(G204,Config!$C$2:$C$7,Config!$D$2:$D$7),_xlfn.XLOOKUP(H204,Config!$E$2:$E$5,Config!$F$2:$F$5),_xlfn.XLOOKUP(I204,Config!$G$2:$G$3,Config!$H$2:$H$3),_xlfn.XLOOKUP(J204,Config!$I$2:$I$3,Config!$J$2:$J$3),_xlfn.XLOOKUP(K204,Config!$K$2:$K$3,Config!$L$2:$L$3),_xlfn.XLOOKUP(L204,Config!$M$2:$M$3,Config!$N$2:$N$3),_xlfn.XLOOKUP(M204,Config!$O$2:$O$6,Config!$P$2:$P$6))</f>
        <v>6.7320387090000005E-4</v>
      </c>
      <c r="Q204" s="22">
        <v>1</v>
      </c>
      <c r="R204" s="16">
        <f>P204*Q204*Config!$B$19</f>
        <v>4.9474857632150618E-4</v>
      </c>
    </row>
    <row r="205" spans="1:18" x14ac:dyDescent="0.45">
      <c r="A205" s="3">
        <v>204</v>
      </c>
      <c r="B205" s="3" t="s">
        <v>685</v>
      </c>
      <c r="C205" s="3" t="s">
        <v>1618</v>
      </c>
      <c r="D205" s="3" t="s">
        <v>1619</v>
      </c>
      <c r="E205" t="s">
        <v>546</v>
      </c>
      <c r="F205" t="s">
        <v>990</v>
      </c>
      <c r="G205" t="s">
        <v>832</v>
      </c>
      <c r="H205" t="s">
        <v>808</v>
      </c>
      <c r="I205" t="s">
        <v>806</v>
      </c>
      <c r="K205" s="12" t="s">
        <v>1062</v>
      </c>
      <c r="L205" s="12" t="s">
        <v>1110</v>
      </c>
      <c r="M205" t="s">
        <v>836</v>
      </c>
      <c r="N205" s="12" t="s">
        <v>1190</v>
      </c>
      <c r="O205" t="s">
        <v>547</v>
      </c>
      <c r="P205" s="16">
        <f>PRODUCT(_xlfn.XLOOKUP(F205,Config!$A$2:$A$15,Config!$B$2:$B$15),_xlfn.XLOOKUP(G205,Config!$C$2:$C$7,Config!$D$2:$D$7),_xlfn.XLOOKUP(H205,Config!$E$2:$E$5,Config!$F$2:$F$5),_xlfn.XLOOKUP(I205,Config!$G$2:$G$3,Config!$H$2:$H$3),_xlfn.XLOOKUP(J205,Config!$I$2:$I$3,Config!$J$2:$J$3),_xlfn.XLOOKUP(K205,Config!$K$2:$K$3,Config!$L$2:$L$3),_xlfn.XLOOKUP(L205,Config!$M$2:$M$3,Config!$N$2:$N$3),_xlfn.XLOOKUP(M205,Config!$O$2:$O$6,Config!$P$2:$P$6))</f>
        <v>4.4880258060000014E-4</v>
      </c>
      <c r="Q205" s="22">
        <v>1</v>
      </c>
      <c r="R205" s="16">
        <f>P205*Q205*Config!$B$19</f>
        <v>3.2983238421433749E-4</v>
      </c>
    </row>
    <row r="206" spans="1:18" x14ac:dyDescent="0.45">
      <c r="A206" s="3">
        <v>205</v>
      </c>
      <c r="B206" s="3" t="s">
        <v>674</v>
      </c>
      <c r="C206" s="3" t="s">
        <v>715</v>
      </c>
      <c r="D206" s="3" t="s">
        <v>675</v>
      </c>
      <c r="E206" t="s">
        <v>525</v>
      </c>
      <c r="F206" t="s">
        <v>988</v>
      </c>
      <c r="G206" t="s">
        <v>832</v>
      </c>
      <c r="H206" t="s">
        <v>808</v>
      </c>
      <c r="I206" t="s">
        <v>806</v>
      </c>
      <c r="K206" s="12" t="s">
        <v>1062</v>
      </c>
      <c r="L206" s="12" t="s">
        <v>1110</v>
      </c>
      <c r="M206" t="s">
        <v>836</v>
      </c>
      <c r="N206" s="12" t="s">
        <v>1190</v>
      </c>
      <c r="O206" t="s">
        <v>526</v>
      </c>
      <c r="P206" s="16">
        <f>PRODUCT(_xlfn.XLOOKUP(F206,Config!$A$2:$A$15,Config!$B$2:$B$15),_xlfn.XLOOKUP(G206,Config!$C$2:$C$7,Config!$D$2:$D$7),_xlfn.XLOOKUP(H206,Config!$E$2:$E$5,Config!$F$2:$F$5),_xlfn.XLOOKUP(I206,Config!$G$2:$G$3,Config!$H$2:$H$3),_xlfn.XLOOKUP(J206,Config!$I$2:$I$3,Config!$J$2:$J$3),_xlfn.XLOOKUP(K206,Config!$K$2:$K$3,Config!$L$2:$L$3),_xlfn.XLOOKUP(L206,Config!$M$2:$M$3,Config!$N$2:$N$3),_xlfn.XLOOKUP(M206,Config!$O$2:$O$6,Config!$P$2:$P$6))</f>
        <v>4.4880258060000014E-4</v>
      </c>
      <c r="Q206" s="22">
        <v>1</v>
      </c>
      <c r="R206" s="16">
        <f>P206*Q206*Config!$B$19</f>
        <v>3.2983238421433749E-4</v>
      </c>
    </row>
    <row r="207" spans="1:18" x14ac:dyDescent="0.45">
      <c r="A207" s="3">
        <v>206</v>
      </c>
      <c r="B207" s="3" t="s">
        <v>682</v>
      </c>
      <c r="C207" s="3" t="s">
        <v>800</v>
      </c>
      <c r="D207" s="3" t="s">
        <v>683</v>
      </c>
      <c r="E207" t="s">
        <v>533</v>
      </c>
      <c r="F207" t="s">
        <v>988</v>
      </c>
      <c r="G207" t="s">
        <v>832</v>
      </c>
      <c r="H207" t="s">
        <v>808</v>
      </c>
      <c r="I207" t="s">
        <v>806</v>
      </c>
      <c r="K207" s="12" t="s">
        <v>1062</v>
      </c>
      <c r="L207" s="12" t="s">
        <v>1110</v>
      </c>
      <c r="M207" t="s">
        <v>836</v>
      </c>
      <c r="N207" s="12" t="s">
        <v>1190</v>
      </c>
      <c r="O207" t="s">
        <v>534</v>
      </c>
      <c r="P207" s="16">
        <f>PRODUCT(_xlfn.XLOOKUP(F207,Config!$A$2:$A$15,Config!$B$2:$B$15),_xlfn.XLOOKUP(G207,Config!$C$2:$C$7,Config!$D$2:$D$7),_xlfn.XLOOKUP(H207,Config!$E$2:$E$5,Config!$F$2:$F$5),_xlfn.XLOOKUP(I207,Config!$G$2:$G$3,Config!$H$2:$H$3),_xlfn.XLOOKUP(J207,Config!$I$2:$I$3,Config!$J$2:$J$3),_xlfn.XLOOKUP(K207,Config!$K$2:$K$3,Config!$L$2:$L$3),_xlfn.XLOOKUP(L207,Config!$M$2:$M$3,Config!$N$2:$N$3),_xlfn.XLOOKUP(M207,Config!$O$2:$O$6,Config!$P$2:$P$6))</f>
        <v>4.4880258060000014E-4</v>
      </c>
      <c r="Q207" s="22">
        <v>1</v>
      </c>
      <c r="R207" s="16">
        <f>P207*Q207*Config!$B$19</f>
        <v>3.2983238421433749E-4</v>
      </c>
    </row>
    <row r="208" spans="1:18" x14ac:dyDescent="0.45">
      <c r="A208" s="7">
        <v>207</v>
      </c>
      <c r="B208" s="3" t="s">
        <v>488</v>
      </c>
      <c r="C208" s="7" t="s">
        <v>1620</v>
      </c>
      <c r="D208" s="7" t="s">
        <v>1141</v>
      </c>
      <c r="E208" t="s">
        <v>176</v>
      </c>
      <c r="F208" t="s">
        <v>988</v>
      </c>
      <c r="G208" t="s">
        <v>832</v>
      </c>
      <c r="H208" t="s">
        <v>768</v>
      </c>
      <c r="I208" s="12" t="s">
        <v>1107</v>
      </c>
      <c r="K208" s="12" t="s">
        <v>1062</v>
      </c>
      <c r="L208" s="12" t="s">
        <v>1110</v>
      </c>
      <c r="M208" s="12" t="s">
        <v>838</v>
      </c>
      <c r="N208" s="14" t="s">
        <v>997</v>
      </c>
      <c r="O208" t="s">
        <v>175</v>
      </c>
      <c r="P208" s="16">
        <f>PRODUCT(_xlfn.XLOOKUP(F208,Config!$A$2:$A$15,Config!$B$2:$B$15),_xlfn.XLOOKUP(G208,Config!$C$2:$C$7,Config!$D$2:$D$7),_xlfn.XLOOKUP(H208,Config!$E$2:$E$5,Config!$F$2:$F$5),_xlfn.XLOOKUP(I208,Config!$G$2:$G$3,Config!$H$2:$H$3),_xlfn.XLOOKUP(J208,Config!$I$2:$I$3,Config!$J$2:$J$3),_xlfn.XLOOKUP(K208,Config!$K$2:$K$3,Config!$L$2:$L$3),_xlfn.XLOOKUP(L208,Config!$M$2:$M$3,Config!$N$2:$N$3),_xlfn.XLOOKUP(M208,Config!$O$2:$O$6,Config!$P$2:$P$6))</f>
        <v>1.5232087584000002E-3</v>
      </c>
      <c r="Q208" s="22">
        <v>1</v>
      </c>
      <c r="R208" s="16">
        <f>P208*Q208*Config!$B$19</f>
        <v>1.1194311221819938E-3</v>
      </c>
    </row>
    <row r="209" spans="1:19" x14ac:dyDescent="0.45">
      <c r="A209" s="3">
        <v>208</v>
      </c>
      <c r="B209" s="3" t="s">
        <v>475</v>
      </c>
      <c r="C209" s="3" t="s">
        <v>744</v>
      </c>
      <c r="D209" s="3" t="s">
        <v>285</v>
      </c>
      <c r="E209" t="s">
        <v>476</v>
      </c>
      <c r="F209" t="s">
        <v>988</v>
      </c>
      <c r="G209" t="s">
        <v>832</v>
      </c>
      <c r="H209" t="s">
        <v>768</v>
      </c>
      <c r="I209" s="12" t="s">
        <v>1107</v>
      </c>
      <c r="K209" s="12" t="s">
        <v>1062</v>
      </c>
      <c r="L209" s="12" t="s">
        <v>1110</v>
      </c>
      <c r="M209" s="12" t="s">
        <v>838</v>
      </c>
      <c r="N209" s="12" t="s">
        <v>1190</v>
      </c>
      <c r="O209" t="s">
        <v>58</v>
      </c>
      <c r="P209" s="16">
        <f>PRODUCT(_xlfn.XLOOKUP(F209,Config!$A$2:$A$15,Config!$B$2:$B$15),_xlfn.XLOOKUP(G209,Config!$C$2:$C$7,Config!$D$2:$D$7),_xlfn.XLOOKUP(H209,Config!$E$2:$E$5,Config!$F$2:$F$5),_xlfn.XLOOKUP(I209,Config!$G$2:$G$3,Config!$H$2:$H$3),_xlfn.XLOOKUP(J209,Config!$I$2:$I$3,Config!$J$2:$J$3),_xlfn.XLOOKUP(K209,Config!$K$2:$K$3,Config!$L$2:$L$3),_xlfn.XLOOKUP(L209,Config!$M$2:$M$3,Config!$N$2:$N$3),_xlfn.XLOOKUP(M209,Config!$O$2:$O$6,Config!$P$2:$P$6))</f>
        <v>1.5232087584000002E-3</v>
      </c>
      <c r="Q209" s="22">
        <v>1</v>
      </c>
      <c r="R209" s="16">
        <f>P209*Q209*Config!$B$19</f>
        <v>1.1194311221819938E-3</v>
      </c>
    </row>
    <row r="210" spans="1:19" x14ac:dyDescent="0.45">
      <c r="A210" s="3">
        <v>209</v>
      </c>
      <c r="B210" s="3" t="s">
        <v>194</v>
      </c>
      <c r="C210" s="3" t="s">
        <v>755</v>
      </c>
      <c r="D210" s="3" t="s">
        <v>564</v>
      </c>
      <c r="E210" t="s">
        <v>178</v>
      </c>
      <c r="F210" t="s">
        <v>988</v>
      </c>
      <c r="G210" t="s">
        <v>832</v>
      </c>
      <c r="H210" t="s">
        <v>768</v>
      </c>
      <c r="I210" s="12" t="s">
        <v>1107</v>
      </c>
      <c r="K210" s="12" t="s">
        <v>1062</v>
      </c>
      <c r="L210" s="12" t="s">
        <v>1110</v>
      </c>
      <c r="M210" s="12" t="s">
        <v>838</v>
      </c>
      <c r="N210" s="12" t="s">
        <v>1190</v>
      </c>
      <c r="O210" t="s">
        <v>177</v>
      </c>
      <c r="P210" s="16">
        <f>PRODUCT(_xlfn.XLOOKUP(F210,Config!$A$2:$A$15,Config!$B$2:$B$15),_xlfn.XLOOKUP(G210,Config!$C$2:$C$7,Config!$D$2:$D$7),_xlfn.XLOOKUP(H210,Config!$E$2:$E$5,Config!$F$2:$F$5),_xlfn.XLOOKUP(I210,Config!$G$2:$G$3,Config!$H$2:$H$3),_xlfn.XLOOKUP(J210,Config!$I$2:$I$3,Config!$J$2:$J$3),_xlfn.XLOOKUP(K210,Config!$K$2:$K$3,Config!$L$2:$L$3),_xlfn.XLOOKUP(L210,Config!$M$2:$M$3,Config!$N$2:$N$3),_xlfn.XLOOKUP(M210,Config!$O$2:$O$6,Config!$P$2:$P$6))</f>
        <v>1.5232087584000002E-3</v>
      </c>
      <c r="Q210" s="22">
        <v>1</v>
      </c>
      <c r="R210" s="16">
        <f>P210*Q210*Config!$B$19</f>
        <v>1.1194311221819938E-3</v>
      </c>
    </row>
    <row r="211" spans="1:19" x14ac:dyDescent="0.45">
      <c r="A211" s="9">
        <v>210</v>
      </c>
      <c r="B211" s="9" t="s">
        <v>1052</v>
      </c>
      <c r="C211" s="3" t="s">
        <v>1053</v>
      </c>
      <c r="D211" s="3" t="s">
        <v>1054</v>
      </c>
      <c r="E211" t="s">
        <v>1055</v>
      </c>
      <c r="F211" t="s">
        <v>993</v>
      </c>
      <c r="G211" t="s">
        <v>832</v>
      </c>
      <c r="H211" t="s">
        <v>768</v>
      </c>
      <c r="I211" s="12" t="s">
        <v>1107</v>
      </c>
      <c r="K211" s="14" t="s">
        <v>1082</v>
      </c>
      <c r="L211" s="12" t="s">
        <v>1110</v>
      </c>
      <c r="M211" s="12" t="s">
        <v>838</v>
      </c>
      <c r="N211" s="12" t="s">
        <v>1190</v>
      </c>
      <c r="P211" s="16">
        <f>PRODUCT(_xlfn.XLOOKUP(F211,Config!$A$2:$A$15,Config!$B$2:$B$15),_xlfn.XLOOKUP(G211,Config!$C$2:$C$7,Config!$D$2:$D$7),_xlfn.XLOOKUP(H211,Config!$E$2:$E$5,Config!$F$2:$F$5),_xlfn.XLOOKUP(I211,Config!$G$2:$G$3,Config!$H$2:$H$3),_xlfn.XLOOKUP(J211,Config!$I$2:$I$3,Config!$J$2:$J$3),_xlfn.XLOOKUP(K211,Config!$K$2:$K$3,Config!$L$2:$L$3),_xlfn.XLOOKUP(L211,Config!$M$2:$M$3,Config!$N$2:$N$3),_xlfn.XLOOKUP(M211,Config!$O$2:$O$6,Config!$P$2:$P$6))</f>
        <v>4.2993795600000004E-5</v>
      </c>
      <c r="Q211" s="22">
        <v>1</v>
      </c>
      <c r="R211" s="16">
        <f>P211*Q211*Config!$B$19</f>
        <v>3.1596846190620788E-5</v>
      </c>
      <c r="S211" t="s">
        <v>1056</v>
      </c>
    </row>
    <row r="212" spans="1:19" x14ac:dyDescent="0.45">
      <c r="A212" s="9">
        <v>211</v>
      </c>
      <c r="B212" s="9" t="s">
        <v>1069</v>
      </c>
      <c r="C212" s="3" t="s">
        <v>1075</v>
      </c>
      <c r="D212" s="3" t="s">
        <v>1081</v>
      </c>
      <c r="E212" t="s">
        <v>1059</v>
      </c>
      <c r="F212" t="s">
        <v>993</v>
      </c>
      <c r="G212" t="s">
        <v>832</v>
      </c>
      <c r="H212" t="s">
        <v>768</v>
      </c>
      <c r="I212" s="12" t="s">
        <v>1107</v>
      </c>
      <c r="K212" s="14" t="s">
        <v>1082</v>
      </c>
      <c r="L212" s="12" t="s">
        <v>1110</v>
      </c>
      <c r="M212" s="12" t="s">
        <v>838</v>
      </c>
      <c r="N212" s="12" t="s">
        <v>1190</v>
      </c>
      <c r="P212" s="16">
        <f>PRODUCT(_xlfn.XLOOKUP(F212,Config!$A$2:$A$15,Config!$B$2:$B$15),_xlfn.XLOOKUP(G212,Config!$C$2:$C$7,Config!$D$2:$D$7),_xlfn.XLOOKUP(H212,Config!$E$2:$E$5,Config!$F$2:$F$5),_xlfn.XLOOKUP(I212,Config!$G$2:$G$3,Config!$H$2:$H$3),_xlfn.XLOOKUP(J212,Config!$I$2:$I$3,Config!$J$2:$J$3),_xlfn.XLOOKUP(K212,Config!$K$2:$K$3,Config!$L$2:$L$3),_xlfn.XLOOKUP(L212,Config!$M$2:$M$3,Config!$N$2:$N$3),_xlfn.XLOOKUP(M212,Config!$O$2:$O$6,Config!$P$2:$P$6))</f>
        <v>4.2993795600000004E-5</v>
      </c>
      <c r="Q212" s="22">
        <v>1</v>
      </c>
      <c r="R212" s="16">
        <f>P212*Q212*Config!$B$19</f>
        <v>3.1596846190620788E-5</v>
      </c>
      <c r="S212" t="s">
        <v>1060</v>
      </c>
    </row>
    <row r="213" spans="1:19" x14ac:dyDescent="0.45">
      <c r="A213" s="9">
        <v>212</v>
      </c>
      <c r="B213" s="9" t="s">
        <v>1047</v>
      </c>
      <c r="C213" s="3" t="s">
        <v>1048</v>
      </c>
      <c r="D213" s="3" t="s">
        <v>1049</v>
      </c>
      <c r="E213" t="s">
        <v>1050</v>
      </c>
      <c r="F213" t="s">
        <v>988</v>
      </c>
      <c r="G213" t="s">
        <v>832</v>
      </c>
      <c r="H213" t="s">
        <v>768</v>
      </c>
      <c r="I213" s="12" t="s">
        <v>1107</v>
      </c>
      <c r="K213" s="14" t="s">
        <v>1082</v>
      </c>
      <c r="L213" s="12" t="s">
        <v>1110</v>
      </c>
      <c r="M213" s="12" t="s">
        <v>838</v>
      </c>
      <c r="N213" s="12" t="s">
        <v>1190</v>
      </c>
      <c r="P213" s="16">
        <f>PRODUCT(_xlfn.XLOOKUP(F213,Config!$A$2:$A$15,Config!$B$2:$B$15),_xlfn.XLOOKUP(G213,Config!$C$2:$C$7,Config!$D$2:$D$7),_xlfn.XLOOKUP(H213,Config!$E$2:$E$5,Config!$F$2:$F$5),_xlfn.XLOOKUP(I213,Config!$G$2:$G$3,Config!$H$2:$H$3),_xlfn.XLOOKUP(J213,Config!$I$2:$I$3,Config!$J$2:$J$3),_xlfn.XLOOKUP(K213,Config!$K$2:$K$3,Config!$L$2:$L$3),_xlfn.XLOOKUP(L213,Config!$M$2:$M$3,Config!$N$2:$N$3),_xlfn.XLOOKUP(M213,Config!$O$2:$O$6,Config!$P$2:$P$6))</f>
        <v>1.146501216E-4</v>
      </c>
      <c r="Q213" s="22">
        <v>1</v>
      </c>
      <c r="R213" s="16">
        <f>P213*Q213*Config!$B$19</f>
        <v>8.4258256508322102E-5</v>
      </c>
      <c r="S213" t="s">
        <v>1051</v>
      </c>
    </row>
    <row r="214" spans="1:19" x14ac:dyDescent="0.45">
      <c r="A214" s="9">
        <v>213</v>
      </c>
      <c r="B214" s="9" t="s">
        <v>1068</v>
      </c>
      <c r="C214" s="3" t="s">
        <v>1074</v>
      </c>
      <c r="D214" s="3" t="s">
        <v>1080</v>
      </c>
      <c r="E214" t="s">
        <v>1057</v>
      </c>
      <c r="F214" t="s">
        <v>988</v>
      </c>
      <c r="G214" t="s">
        <v>832</v>
      </c>
      <c r="H214" t="s">
        <v>768</v>
      </c>
      <c r="I214" s="12" t="s">
        <v>1107</v>
      </c>
      <c r="K214" s="14" t="s">
        <v>1082</v>
      </c>
      <c r="L214" s="12" t="s">
        <v>1110</v>
      </c>
      <c r="M214" s="12" t="s">
        <v>838</v>
      </c>
      <c r="N214" s="12" t="s">
        <v>1190</v>
      </c>
      <c r="P214" s="16">
        <f>PRODUCT(_xlfn.XLOOKUP(F214,Config!$A$2:$A$15,Config!$B$2:$B$15),_xlfn.XLOOKUP(G214,Config!$C$2:$C$7,Config!$D$2:$D$7),_xlfn.XLOOKUP(H214,Config!$E$2:$E$5,Config!$F$2:$F$5),_xlfn.XLOOKUP(I214,Config!$G$2:$G$3,Config!$H$2:$H$3),_xlfn.XLOOKUP(J214,Config!$I$2:$I$3,Config!$J$2:$J$3),_xlfn.XLOOKUP(K214,Config!$K$2:$K$3,Config!$L$2:$L$3),_xlfn.XLOOKUP(L214,Config!$M$2:$M$3,Config!$N$2:$N$3),_xlfn.XLOOKUP(M214,Config!$O$2:$O$6,Config!$P$2:$P$6))</f>
        <v>1.146501216E-4</v>
      </c>
      <c r="Q214" s="22">
        <v>1</v>
      </c>
      <c r="R214" s="16">
        <f>P214*Q214*Config!$B$19</f>
        <v>8.4258256508322102E-5</v>
      </c>
      <c r="S214" t="s">
        <v>1058</v>
      </c>
    </row>
    <row r="215" spans="1:19" x14ac:dyDescent="0.45">
      <c r="A215" s="3">
        <v>214</v>
      </c>
      <c r="B215" s="3" t="s">
        <v>487</v>
      </c>
      <c r="C215" s="3" t="s">
        <v>765</v>
      </c>
      <c r="D215" s="3" t="s">
        <v>776</v>
      </c>
      <c r="F215" t="s">
        <v>988</v>
      </c>
      <c r="G215" t="s">
        <v>832</v>
      </c>
      <c r="H215" t="s">
        <v>768</v>
      </c>
      <c r="I215" s="12" t="s">
        <v>1107</v>
      </c>
      <c r="K215" s="12" t="s">
        <v>1062</v>
      </c>
      <c r="L215" s="12" t="s">
        <v>1110</v>
      </c>
      <c r="M215" t="s">
        <v>837</v>
      </c>
      <c r="N215" s="12" t="s">
        <v>1190</v>
      </c>
      <c r="O215" t="s">
        <v>248</v>
      </c>
      <c r="P215" s="16">
        <f>PRODUCT(_xlfn.XLOOKUP(F215,Config!$A$2:$A$15,Config!$B$2:$B$15),_xlfn.XLOOKUP(G215,Config!$C$2:$C$7,Config!$D$2:$D$7),_xlfn.XLOOKUP(H215,Config!$E$2:$E$5,Config!$F$2:$F$5),_xlfn.XLOOKUP(I215,Config!$G$2:$G$3,Config!$H$2:$H$3),_xlfn.XLOOKUP(J215,Config!$I$2:$I$3,Config!$J$2:$J$3),_xlfn.XLOOKUP(K215,Config!$K$2:$K$3,Config!$L$2:$L$3),_xlfn.XLOOKUP(L215,Config!$M$2:$M$3,Config!$N$2:$N$3),_xlfn.XLOOKUP(M215,Config!$O$2:$O$6,Config!$P$2:$P$6))</f>
        <v>1.2693406320000002E-4</v>
      </c>
      <c r="Q215" s="22">
        <v>1</v>
      </c>
      <c r="R215" s="16">
        <f>P215*Q215*Config!$B$19</f>
        <v>9.3285926848499478E-5</v>
      </c>
    </row>
    <row r="216" spans="1:19" x14ac:dyDescent="0.45">
      <c r="A216" s="3">
        <v>215</v>
      </c>
      <c r="B216" s="3" t="s">
        <v>483</v>
      </c>
      <c r="C216" s="3" t="s">
        <v>753</v>
      </c>
      <c r="D216" s="3" t="s">
        <v>482</v>
      </c>
      <c r="E216" s="2" t="s">
        <v>122</v>
      </c>
      <c r="F216" t="s">
        <v>988</v>
      </c>
      <c r="G216" t="s">
        <v>832</v>
      </c>
      <c r="H216" t="s">
        <v>768</v>
      </c>
      <c r="I216" s="12" t="s">
        <v>1107</v>
      </c>
      <c r="K216" s="12" t="s">
        <v>1062</v>
      </c>
      <c r="L216" s="12" t="s">
        <v>1110</v>
      </c>
      <c r="M216" t="s">
        <v>836</v>
      </c>
      <c r="N216" s="12" t="s">
        <v>1190</v>
      </c>
      <c r="O216" s="2" t="s">
        <v>125</v>
      </c>
      <c r="P216" s="16">
        <f>PRODUCT(_xlfn.XLOOKUP(F216,Config!$A$2:$A$15,Config!$B$2:$B$15),_xlfn.XLOOKUP(G216,Config!$C$2:$C$7,Config!$D$2:$D$7),_xlfn.XLOOKUP(H216,Config!$E$2:$E$5,Config!$F$2:$F$5),_xlfn.XLOOKUP(I216,Config!$G$2:$G$3,Config!$H$2:$H$3),_xlfn.XLOOKUP(J216,Config!$I$2:$I$3,Config!$J$2:$J$3),_xlfn.XLOOKUP(K216,Config!$K$2:$K$3,Config!$L$2:$L$3),_xlfn.XLOOKUP(L216,Config!$M$2:$M$3,Config!$N$2:$N$3),_xlfn.XLOOKUP(M216,Config!$O$2:$O$6,Config!$P$2:$P$6))</f>
        <v>3.8080218960000005E-4</v>
      </c>
      <c r="Q216" s="22">
        <v>1</v>
      </c>
      <c r="R216" s="16">
        <f>P216*Q216*Config!$B$19</f>
        <v>2.7985778054549846E-4</v>
      </c>
    </row>
    <row r="217" spans="1:19" x14ac:dyDescent="0.45">
      <c r="A217" s="3">
        <v>216</v>
      </c>
      <c r="B217" s="3" t="s">
        <v>479</v>
      </c>
      <c r="C217" s="3" t="s">
        <v>749</v>
      </c>
      <c r="D217" s="3" t="s">
        <v>480</v>
      </c>
      <c r="E217" t="s">
        <v>141</v>
      </c>
      <c r="F217" t="s">
        <v>988</v>
      </c>
      <c r="G217" t="s">
        <v>832</v>
      </c>
      <c r="H217" t="s">
        <v>768</v>
      </c>
      <c r="I217" s="12" t="s">
        <v>1107</v>
      </c>
      <c r="K217" s="12" t="s">
        <v>1062</v>
      </c>
      <c r="L217" t="s">
        <v>1111</v>
      </c>
      <c r="M217" s="12" t="s">
        <v>838</v>
      </c>
      <c r="N217" s="12" t="s">
        <v>1190</v>
      </c>
      <c r="O217" t="s">
        <v>142</v>
      </c>
      <c r="P217" s="16">
        <f>PRODUCT(_xlfn.XLOOKUP(F217,Config!$A$2:$A$15,Config!$B$2:$B$15),_xlfn.XLOOKUP(G217,Config!$C$2:$C$7,Config!$D$2:$D$7),_xlfn.XLOOKUP(H217,Config!$E$2:$E$5,Config!$F$2:$F$5),_xlfn.XLOOKUP(I217,Config!$G$2:$G$3,Config!$H$2:$H$3),_xlfn.XLOOKUP(J217,Config!$I$2:$I$3,Config!$J$2:$J$3),_xlfn.XLOOKUP(K217,Config!$K$2:$K$3,Config!$L$2:$L$3),_xlfn.XLOOKUP(L217,Config!$M$2:$M$3,Config!$N$2:$N$3),_xlfn.XLOOKUP(M217,Config!$O$2:$O$6,Config!$P$2:$P$6))</f>
        <v>2.6880154560000001E-4</v>
      </c>
      <c r="Q217" s="22">
        <v>1</v>
      </c>
      <c r="R217" s="16">
        <f>P217*Q217*Config!$B$19</f>
        <v>1.9754666862035182E-4</v>
      </c>
    </row>
    <row r="218" spans="1:19" x14ac:dyDescent="0.45">
      <c r="A218" s="9">
        <v>217</v>
      </c>
      <c r="B218" s="9" t="s">
        <v>1508</v>
      </c>
      <c r="C218" s="9" t="s">
        <v>1085</v>
      </c>
      <c r="D218" s="9" t="s">
        <v>1092</v>
      </c>
      <c r="E218" t="s">
        <v>944</v>
      </c>
      <c r="F218" t="s">
        <v>984</v>
      </c>
      <c r="G218" t="s">
        <v>832</v>
      </c>
      <c r="H218" t="s">
        <v>808</v>
      </c>
      <c r="I218" s="12" t="s">
        <v>1107</v>
      </c>
      <c r="K218" s="12" t="s">
        <v>1062</v>
      </c>
      <c r="L218" s="12" t="s">
        <v>1110</v>
      </c>
      <c r="M218" s="12" t="s">
        <v>838</v>
      </c>
      <c r="N218" s="12" t="s">
        <v>1190</v>
      </c>
      <c r="P218" s="16">
        <f>PRODUCT(_xlfn.XLOOKUP(F218,Config!$A$2:$A$15,Config!$B$2:$B$15),_xlfn.XLOOKUP(G218,Config!$C$2:$C$7,Config!$D$2:$D$7),_xlfn.XLOOKUP(H218,Config!$E$2:$E$5,Config!$F$2:$F$5),_xlfn.XLOOKUP(I218,Config!$G$2:$G$3,Config!$H$2:$H$3),_xlfn.XLOOKUP(J218,Config!$I$2:$I$3,Config!$J$2:$J$3),_xlfn.XLOOKUP(K218,Config!$K$2:$K$3,Config!$L$2:$L$3),_xlfn.XLOOKUP(L218,Config!$M$2:$M$3,Config!$N$2:$N$3),_xlfn.XLOOKUP(M218,Config!$O$2:$O$6,Config!$P$2:$P$6))</f>
        <v>6.2477376192000018E-3</v>
      </c>
      <c r="Q218" s="22">
        <v>1</v>
      </c>
      <c r="R218" s="16">
        <f>P218*Q218*Config!$B$19</f>
        <v>4.5915649418312296E-3</v>
      </c>
    </row>
    <row r="219" spans="1:19" x14ac:dyDescent="0.45">
      <c r="A219" s="7">
        <v>218</v>
      </c>
      <c r="B219" s="7" t="s">
        <v>999</v>
      </c>
      <c r="C219" s="7" t="s">
        <v>1086</v>
      </c>
      <c r="D219" s="7" t="s">
        <v>1093</v>
      </c>
      <c r="E219" t="s">
        <v>859</v>
      </c>
      <c r="F219" t="s">
        <v>984</v>
      </c>
      <c r="G219" t="s">
        <v>832</v>
      </c>
      <c r="H219" t="s">
        <v>808</v>
      </c>
      <c r="I219" s="12" t="s">
        <v>1107</v>
      </c>
      <c r="K219" s="12" t="s">
        <v>1062</v>
      </c>
      <c r="L219" s="12" t="s">
        <v>1110</v>
      </c>
      <c r="M219" s="12" t="s">
        <v>838</v>
      </c>
      <c r="N219" s="12" t="s">
        <v>1190</v>
      </c>
      <c r="P219" s="16">
        <f>PRODUCT(_xlfn.XLOOKUP(F219,Config!$A$2:$A$15,Config!$B$2:$B$15),_xlfn.XLOOKUP(G219,Config!$C$2:$C$7,Config!$D$2:$D$7),_xlfn.XLOOKUP(H219,Config!$E$2:$E$5,Config!$F$2:$F$5),_xlfn.XLOOKUP(I219,Config!$G$2:$G$3,Config!$H$2:$H$3),_xlfn.XLOOKUP(J219,Config!$I$2:$I$3,Config!$J$2:$J$3),_xlfn.XLOOKUP(K219,Config!$K$2:$K$3,Config!$L$2:$L$3),_xlfn.XLOOKUP(L219,Config!$M$2:$M$3,Config!$N$2:$N$3),_xlfn.XLOOKUP(M219,Config!$O$2:$O$6,Config!$P$2:$P$6))</f>
        <v>6.2477376192000018E-3</v>
      </c>
      <c r="Q219" s="22">
        <v>1</v>
      </c>
      <c r="R219" s="16">
        <f>P219*Q219*Config!$B$19</f>
        <v>4.5915649418312296E-3</v>
      </c>
    </row>
    <row r="220" spans="1:19" x14ac:dyDescent="0.45">
      <c r="A220" s="9">
        <v>219</v>
      </c>
      <c r="B220" s="9" t="s">
        <v>1508</v>
      </c>
      <c r="C220" s="9" t="s">
        <v>1085</v>
      </c>
      <c r="D220" s="9" t="s">
        <v>1092</v>
      </c>
      <c r="E220" t="s">
        <v>944</v>
      </c>
      <c r="F220" t="s">
        <v>971</v>
      </c>
      <c r="G220" t="s">
        <v>832</v>
      </c>
      <c r="H220" t="s">
        <v>808</v>
      </c>
      <c r="I220" s="12" t="s">
        <v>1107</v>
      </c>
      <c r="K220" s="12" t="s">
        <v>1062</v>
      </c>
      <c r="L220" s="12" t="s">
        <v>1110</v>
      </c>
      <c r="M220" s="12" t="s">
        <v>838</v>
      </c>
      <c r="N220" s="12" t="s">
        <v>1190</v>
      </c>
      <c r="P220" s="16">
        <f>PRODUCT(_xlfn.XLOOKUP(F220,Config!$A$2:$A$15,Config!$B$2:$B$15),_xlfn.XLOOKUP(G220,Config!$C$2:$C$7,Config!$D$2:$D$7),_xlfn.XLOOKUP(H220,Config!$E$2:$E$5,Config!$F$2:$F$5),_xlfn.XLOOKUP(I220,Config!$G$2:$G$3,Config!$H$2:$H$3),_xlfn.XLOOKUP(J220,Config!$I$2:$I$3,Config!$J$2:$J$3),_xlfn.XLOOKUP(K220,Config!$K$2:$K$3,Config!$L$2:$L$3),_xlfn.XLOOKUP(L220,Config!$M$2:$M$3,Config!$N$2:$N$3),_xlfn.XLOOKUP(M220,Config!$O$2:$O$6,Config!$P$2:$P$6))</f>
        <v>3.5143524108E-3</v>
      </c>
      <c r="Q220" s="22">
        <v>1</v>
      </c>
      <c r="R220" s="16">
        <f>P220*Q220*Config!$B$19</f>
        <v>2.5827552797800658E-3</v>
      </c>
    </row>
    <row r="221" spans="1:19" x14ac:dyDescent="0.45">
      <c r="A221" s="9">
        <v>220</v>
      </c>
      <c r="B221" s="9" t="s">
        <v>999</v>
      </c>
      <c r="C221" s="7" t="s">
        <v>1086</v>
      </c>
      <c r="D221" s="7" t="s">
        <v>1093</v>
      </c>
      <c r="E221" t="s">
        <v>859</v>
      </c>
      <c r="F221" t="s">
        <v>971</v>
      </c>
      <c r="G221" t="s">
        <v>832</v>
      </c>
      <c r="H221" t="s">
        <v>808</v>
      </c>
      <c r="I221" s="12" t="s">
        <v>1107</v>
      </c>
      <c r="K221" s="12" t="s">
        <v>1062</v>
      </c>
      <c r="L221" s="12" t="s">
        <v>1110</v>
      </c>
      <c r="M221" s="12" t="s">
        <v>838</v>
      </c>
      <c r="N221" s="12" t="s">
        <v>1190</v>
      </c>
      <c r="P221" s="16">
        <f>PRODUCT(_xlfn.XLOOKUP(F221,Config!$A$2:$A$15,Config!$B$2:$B$15),_xlfn.XLOOKUP(G221,Config!$C$2:$C$7,Config!$D$2:$D$7),_xlfn.XLOOKUP(H221,Config!$E$2:$E$5,Config!$F$2:$F$5),_xlfn.XLOOKUP(I221,Config!$G$2:$G$3,Config!$H$2:$H$3),_xlfn.XLOOKUP(J221,Config!$I$2:$I$3,Config!$J$2:$J$3),_xlfn.XLOOKUP(K221,Config!$K$2:$K$3,Config!$L$2:$L$3),_xlfn.XLOOKUP(L221,Config!$M$2:$M$3,Config!$N$2:$N$3),_xlfn.XLOOKUP(M221,Config!$O$2:$O$6,Config!$P$2:$P$6))</f>
        <v>3.5143524108E-3</v>
      </c>
      <c r="Q221" s="22">
        <v>1</v>
      </c>
      <c r="R221" s="16">
        <f>P221*Q221*Config!$B$19</f>
        <v>2.5827552797800658E-3</v>
      </c>
    </row>
    <row r="222" spans="1:19" x14ac:dyDescent="0.45">
      <c r="A222" s="9">
        <v>221</v>
      </c>
      <c r="B222" s="9" t="s">
        <v>1508</v>
      </c>
      <c r="C222" s="9" t="s">
        <v>1085</v>
      </c>
      <c r="D222" s="9" t="s">
        <v>1092</v>
      </c>
      <c r="E222" t="s">
        <v>944</v>
      </c>
      <c r="F222" t="s">
        <v>985</v>
      </c>
      <c r="G222" t="s">
        <v>832</v>
      </c>
      <c r="H222" t="s">
        <v>808</v>
      </c>
      <c r="I222" s="12" t="s">
        <v>1107</v>
      </c>
      <c r="K222" s="12" t="s">
        <v>1062</v>
      </c>
      <c r="L222" s="12" t="s">
        <v>1110</v>
      </c>
      <c r="M222" s="12" t="s">
        <v>838</v>
      </c>
      <c r="N222" s="12" t="s">
        <v>1190</v>
      </c>
      <c r="P222" s="16">
        <f>PRODUCT(_xlfn.XLOOKUP(F222,Config!$A$2:$A$15,Config!$B$2:$B$15),_xlfn.XLOOKUP(G222,Config!$C$2:$C$7,Config!$D$2:$D$7),_xlfn.XLOOKUP(H222,Config!$E$2:$E$5,Config!$F$2:$F$5),_xlfn.XLOOKUP(I222,Config!$G$2:$G$3,Config!$H$2:$H$3),_xlfn.XLOOKUP(J222,Config!$I$2:$I$3,Config!$J$2:$J$3),_xlfn.XLOOKUP(K222,Config!$K$2:$K$3,Config!$L$2:$L$3),_xlfn.XLOOKUP(L222,Config!$M$2:$M$3,Config!$N$2:$N$3),_xlfn.XLOOKUP(M222,Config!$O$2:$O$6,Config!$P$2:$P$6))</f>
        <v>5.3957733984000009E-3</v>
      </c>
      <c r="Q222" s="22">
        <v>1</v>
      </c>
      <c r="R222" s="16">
        <f>P222*Q222*Config!$B$19</f>
        <v>3.9654424497633338E-3</v>
      </c>
    </row>
    <row r="223" spans="1:19" x14ac:dyDescent="0.45">
      <c r="A223" s="7">
        <v>222</v>
      </c>
      <c r="B223" s="7" t="s">
        <v>999</v>
      </c>
      <c r="C223" s="7" t="s">
        <v>1086</v>
      </c>
      <c r="D223" s="7" t="s">
        <v>1093</v>
      </c>
      <c r="E223" t="s">
        <v>859</v>
      </c>
      <c r="F223" t="s">
        <v>985</v>
      </c>
      <c r="G223" t="s">
        <v>832</v>
      </c>
      <c r="H223" t="s">
        <v>808</v>
      </c>
      <c r="I223" s="12" t="s">
        <v>1107</v>
      </c>
      <c r="K223" s="12" t="s">
        <v>1062</v>
      </c>
      <c r="L223" s="12" t="s">
        <v>1110</v>
      </c>
      <c r="M223" s="12" t="s">
        <v>838</v>
      </c>
      <c r="N223" s="12" t="s">
        <v>1190</v>
      </c>
      <c r="P223" s="16">
        <f>PRODUCT(_xlfn.XLOOKUP(F223,Config!$A$2:$A$15,Config!$B$2:$B$15),_xlfn.XLOOKUP(G223,Config!$C$2:$C$7,Config!$D$2:$D$7),_xlfn.XLOOKUP(H223,Config!$E$2:$E$5,Config!$F$2:$F$5),_xlfn.XLOOKUP(I223,Config!$G$2:$G$3,Config!$H$2:$H$3),_xlfn.XLOOKUP(J223,Config!$I$2:$I$3,Config!$J$2:$J$3),_xlfn.XLOOKUP(K223,Config!$K$2:$K$3,Config!$L$2:$L$3),_xlfn.XLOOKUP(L223,Config!$M$2:$M$3,Config!$N$2:$N$3),_xlfn.XLOOKUP(M223,Config!$O$2:$O$6,Config!$P$2:$P$6))</f>
        <v>5.3957733984000009E-3</v>
      </c>
      <c r="Q223" s="22">
        <v>1</v>
      </c>
      <c r="R223" s="16">
        <f>P223*Q223*Config!$B$19</f>
        <v>3.9654424497633338E-3</v>
      </c>
    </row>
    <row r="224" spans="1:19" x14ac:dyDescent="0.45">
      <c r="A224" s="9">
        <v>223</v>
      </c>
      <c r="B224" s="9" t="s">
        <v>1508</v>
      </c>
      <c r="C224" s="9" t="s">
        <v>1085</v>
      </c>
      <c r="D224" s="9" t="s">
        <v>1092</v>
      </c>
      <c r="E224" t="s">
        <v>944</v>
      </c>
      <c r="F224" t="s">
        <v>986</v>
      </c>
      <c r="G224" t="s">
        <v>832</v>
      </c>
      <c r="H224" t="s">
        <v>808</v>
      </c>
      <c r="I224" s="12" t="s">
        <v>1107</v>
      </c>
      <c r="K224" s="12" t="s">
        <v>1062</v>
      </c>
      <c r="L224" s="12" t="s">
        <v>1110</v>
      </c>
      <c r="M224" s="12" t="s">
        <v>838</v>
      </c>
      <c r="N224" s="12" t="s">
        <v>1190</v>
      </c>
      <c r="P224" s="16">
        <f>PRODUCT(_xlfn.XLOOKUP(F224,Config!$A$2:$A$15,Config!$B$2:$B$15),_xlfn.XLOOKUP(G224,Config!$C$2:$C$7,Config!$D$2:$D$7),_xlfn.XLOOKUP(H224,Config!$E$2:$E$5,Config!$F$2:$F$5),_xlfn.XLOOKUP(I224,Config!$G$2:$G$3,Config!$H$2:$H$3),_xlfn.XLOOKUP(J224,Config!$I$2:$I$3,Config!$J$2:$J$3),_xlfn.XLOOKUP(K224,Config!$K$2:$K$3,Config!$L$2:$L$3),_xlfn.XLOOKUP(L224,Config!$M$2:$M$3,Config!$N$2:$N$3),_xlfn.XLOOKUP(M224,Config!$O$2:$O$6,Config!$P$2:$P$6))</f>
        <v>3.0351225366000005E-3</v>
      </c>
      <c r="Q224" s="22">
        <v>1</v>
      </c>
      <c r="R224" s="16">
        <f>P224*Q224*Config!$B$19</f>
        <v>2.2305613779918755E-3</v>
      </c>
    </row>
    <row r="225" spans="1:19" x14ac:dyDescent="0.45">
      <c r="A225" s="9">
        <v>224</v>
      </c>
      <c r="B225" s="9" t="s">
        <v>999</v>
      </c>
      <c r="C225" s="7" t="s">
        <v>1086</v>
      </c>
      <c r="D225" s="7" t="s">
        <v>1093</v>
      </c>
      <c r="E225" t="s">
        <v>859</v>
      </c>
      <c r="F225" t="s">
        <v>986</v>
      </c>
      <c r="G225" t="s">
        <v>832</v>
      </c>
      <c r="H225" t="s">
        <v>808</v>
      </c>
      <c r="I225" s="12" t="s">
        <v>1107</v>
      </c>
      <c r="K225" s="12" t="s">
        <v>1062</v>
      </c>
      <c r="L225" s="12" t="s">
        <v>1110</v>
      </c>
      <c r="M225" s="12" t="s">
        <v>838</v>
      </c>
      <c r="N225" s="12" t="s">
        <v>1190</v>
      </c>
      <c r="P225" s="16">
        <f>PRODUCT(_xlfn.XLOOKUP(F225,Config!$A$2:$A$15,Config!$B$2:$B$15),_xlfn.XLOOKUP(G225,Config!$C$2:$C$7,Config!$D$2:$D$7),_xlfn.XLOOKUP(H225,Config!$E$2:$E$5,Config!$F$2:$F$5),_xlfn.XLOOKUP(I225,Config!$G$2:$G$3,Config!$H$2:$H$3),_xlfn.XLOOKUP(J225,Config!$I$2:$I$3,Config!$J$2:$J$3),_xlfn.XLOOKUP(K225,Config!$K$2:$K$3,Config!$L$2:$L$3),_xlfn.XLOOKUP(L225,Config!$M$2:$M$3,Config!$N$2:$N$3),_xlfn.XLOOKUP(M225,Config!$O$2:$O$6,Config!$P$2:$P$6))</f>
        <v>3.0351225366000005E-3</v>
      </c>
      <c r="Q225" s="22">
        <v>1</v>
      </c>
      <c r="R225" s="16">
        <f>P225*Q225*Config!$B$19</f>
        <v>2.2305613779918755E-3</v>
      </c>
    </row>
    <row r="226" spans="1:19" x14ac:dyDescent="0.45">
      <c r="A226" s="9">
        <v>225</v>
      </c>
      <c r="B226" s="9" t="s">
        <v>1509</v>
      </c>
      <c r="C226" s="9" t="s">
        <v>1087</v>
      </c>
      <c r="D226" s="9" t="s">
        <v>1094</v>
      </c>
      <c r="E226" t="s">
        <v>944</v>
      </c>
      <c r="F226" t="s">
        <v>1010</v>
      </c>
      <c r="G226" t="s">
        <v>832</v>
      </c>
      <c r="H226" t="s">
        <v>808</v>
      </c>
      <c r="I226" s="12" t="s">
        <v>1107</v>
      </c>
      <c r="K226" s="12" t="s">
        <v>1062</v>
      </c>
      <c r="L226" s="12" t="s">
        <v>1110</v>
      </c>
      <c r="M226" s="12" t="s">
        <v>838</v>
      </c>
      <c r="N226" s="12" t="s">
        <v>1190</v>
      </c>
      <c r="O226" t="s">
        <v>945</v>
      </c>
      <c r="P226" s="16">
        <f>PRODUCT(_xlfn.XLOOKUP(F226,Config!$A$2:$A$15,Config!$B$2:$B$15),_xlfn.XLOOKUP(G226,Config!$C$2:$C$7,Config!$D$2:$D$7),_xlfn.XLOOKUP(H226,Config!$E$2:$E$5,Config!$F$2:$F$5),_xlfn.XLOOKUP(I226,Config!$G$2:$G$3,Config!$H$2:$H$3),_xlfn.XLOOKUP(J226,Config!$I$2:$I$3,Config!$J$2:$J$3),_xlfn.XLOOKUP(K226,Config!$K$2:$K$3,Config!$L$2:$L$3),_xlfn.XLOOKUP(L226,Config!$M$2:$M$3,Config!$N$2:$N$3),_xlfn.XLOOKUP(M226,Config!$O$2:$O$6,Config!$P$2:$P$6))</f>
        <v>4.1888240856E-3</v>
      </c>
      <c r="Q226" s="22">
        <v>1</v>
      </c>
      <c r="R226" s="16">
        <f>P226*Q226*Config!$B$19</f>
        <v>3.0784355860004825E-3</v>
      </c>
    </row>
    <row r="227" spans="1:19" x14ac:dyDescent="0.45">
      <c r="A227" s="7">
        <v>226</v>
      </c>
      <c r="B227" s="7" t="s">
        <v>1083</v>
      </c>
      <c r="C227" s="7" t="s">
        <v>1086</v>
      </c>
      <c r="D227" s="7" t="s">
        <v>1093</v>
      </c>
      <c r="E227" t="s">
        <v>859</v>
      </c>
      <c r="F227" t="s">
        <v>1010</v>
      </c>
      <c r="G227" t="s">
        <v>832</v>
      </c>
      <c r="H227" t="s">
        <v>808</v>
      </c>
      <c r="I227" s="12" t="s">
        <v>1107</v>
      </c>
      <c r="K227" s="12" t="s">
        <v>1062</v>
      </c>
      <c r="L227" s="12" t="s">
        <v>1110</v>
      </c>
      <c r="M227" s="12" t="s">
        <v>838</v>
      </c>
      <c r="N227" s="12" t="s">
        <v>1190</v>
      </c>
      <c r="O227" t="s">
        <v>860</v>
      </c>
      <c r="P227" s="16">
        <f>PRODUCT(_xlfn.XLOOKUP(F227,Config!$A$2:$A$15,Config!$B$2:$B$15),_xlfn.XLOOKUP(G227,Config!$C$2:$C$7,Config!$D$2:$D$7),_xlfn.XLOOKUP(H227,Config!$E$2:$E$5,Config!$F$2:$F$5),_xlfn.XLOOKUP(I227,Config!$G$2:$G$3,Config!$H$2:$H$3),_xlfn.XLOOKUP(J227,Config!$I$2:$I$3,Config!$J$2:$J$3),_xlfn.XLOOKUP(K227,Config!$K$2:$K$3,Config!$L$2:$L$3),_xlfn.XLOOKUP(L227,Config!$M$2:$M$3,Config!$N$2:$N$3),_xlfn.XLOOKUP(M227,Config!$O$2:$O$6,Config!$P$2:$P$6))</f>
        <v>4.1888240856E-3</v>
      </c>
      <c r="Q227" s="22">
        <v>1</v>
      </c>
      <c r="R227" s="16">
        <f>P227*Q227*Config!$B$19</f>
        <v>3.0784355860004825E-3</v>
      </c>
    </row>
    <row r="228" spans="1:19" x14ac:dyDescent="0.45">
      <c r="A228" s="7">
        <v>227</v>
      </c>
      <c r="B228" s="8" t="s">
        <v>511</v>
      </c>
      <c r="C228" s="10" t="s">
        <v>574</v>
      </c>
      <c r="D228" s="10" t="s">
        <v>577</v>
      </c>
      <c r="E228" s="2" t="s">
        <v>512</v>
      </c>
      <c r="F228" t="s">
        <v>990</v>
      </c>
      <c r="G228" t="s">
        <v>832</v>
      </c>
      <c r="H228" s="2" t="s">
        <v>808</v>
      </c>
      <c r="I228" s="12" t="s">
        <v>1107</v>
      </c>
      <c r="J228" s="2"/>
      <c r="K228" s="12" t="s">
        <v>1062</v>
      </c>
      <c r="L228" s="12" t="s">
        <v>1110</v>
      </c>
      <c r="M228" s="12" t="s">
        <v>838</v>
      </c>
      <c r="N228" s="14" t="s">
        <v>997</v>
      </c>
      <c r="O228" s="2" t="s">
        <v>513</v>
      </c>
      <c r="P228" s="16">
        <f>PRODUCT(_xlfn.XLOOKUP(F228,Config!$A$2:$A$15,Config!$B$2:$B$15),_xlfn.XLOOKUP(G228,Config!$C$2:$C$7,Config!$D$2:$D$7),_xlfn.XLOOKUP(H228,Config!$E$2:$E$5,Config!$F$2:$F$5),_xlfn.XLOOKUP(I228,Config!$G$2:$G$3,Config!$H$2:$H$3),_xlfn.XLOOKUP(J228,Config!$I$2:$I$3,Config!$J$2:$J$3),_xlfn.XLOOKUP(K228,Config!$K$2:$K$3,Config!$L$2:$L$3),_xlfn.XLOOKUP(L228,Config!$M$2:$M$3,Config!$N$2:$N$3),_xlfn.XLOOKUP(M228,Config!$O$2:$O$6,Config!$P$2:$P$6))</f>
        <v>4.1888240856E-3</v>
      </c>
      <c r="Q228" s="22">
        <v>1</v>
      </c>
      <c r="R228" s="16">
        <f>P228*Q228*Config!$B$19</f>
        <v>3.0784355860004825E-3</v>
      </c>
    </row>
    <row r="229" spans="1:19" x14ac:dyDescent="0.45">
      <c r="A229" s="7">
        <v>228</v>
      </c>
      <c r="B229" s="8" t="s">
        <v>505</v>
      </c>
      <c r="C229" s="11" t="s">
        <v>573</v>
      </c>
      <c r="D229" s="11" t="s">
        <v>575</v>
      </c>
      <c r="E229" s="2" t="s">
        <v>506</v>
      </c>
      <c r="F229" t="s">
        <v>990</v>
      </c>
      <c r="G229" t="s">
        <v>832</v>
      </c>
      <c r="H229" s="2" t="s">
        <v>808</v>
      </c>
      <c r="I229" s="12" t="s">
        <v>1107</v>
      </c>
      <c r="J229" s="2"/>
      <c r="K229" s="12" t="s">
        <v>1062</v>
      </c>
      <c r="L229" s="12" t="s">
        <v>1110</v>
      </c>
      <c r="M229" s="12" t="s">
        <v>838</v>
      </c>
      <c r="N229" s="12" t="s">
        <v>1190</v>
      </c>
      <c r="O229" s="2" t="s">
        <v>507</v>
      </c>
      <c r="P229" s="16">
        <f>PRODUCT(_xlfn.XLOOKUP(F229,Config!$A$2:$A$15,Config!$B$2:$B$15),_xlfn.XLOOKUP(G229,Config!$C$2:$C$7,Config!$D$2:$D$7),_xlfn.XLOOKUP(H229,Config!$E$2:$E$5,Config!$F$2:$F$5),_xlfn.XLOOKUP(I229,Config!$G$2:$G$3,Config!$H$2:$H$3),_xlfn.XLOOKUP(J229,Config!$I$2:$I$3,Config!$J$2:$J$3),_xlfn.XLOOKUP(K229,Config!$K$2:$K$3,Config!$L$2:$L$3),_xlfn.XLOOKUP(L229,Config!$M$2:$M$3,Config!$N$2:$N$3),_xlfn.XLOOKUP(M229,Config!$O$2:$O$6,Config!$P$2:$P$6))</f>
        <v>4.1888240856E-3</v>
      </c>
      <c r="Q229" s="22">
        <v>1</v>
      </c>
      <c r="R229" s="16">
        <f>P229*Q229*Config!$B$19</f>
        <v>3.0784355860004825E-3</v>
      </c>
    </row>
    <row r="230" spans="1:19" x14ac:dyDescent="0.45">
      <c r="A230" s="7">
        <v>229</v>
      </c>
      <c r="B230" s="7" t="s">
        <v>885</v>
      </c>
      <c r="C230" s="7" t="s">
        <v>886</v>
      </c>
      <c r="D230" s="7" t="s">
        <v>887</v>
      </c>
      <c r="E230" t="s">
        <v>888</v>
      </c>
      <c r="F230" t="s">
        <v>990</v>
      </c>
      <c r="G230" t="s">
        <v>832</v>
      </c>
      <c r="H230" t="s">
        <v>808</v>
      </c>
      <c r="I230" s="12" t="s">
        <v>1107</v>
      </c>
      <c r="K230" s="12" t="s">
        <v>1062</v>
      </c>
      <c r="L230" s="12" t="s">
        <v>1110</v>
      </c>
      <c r="M230" s="12" t="s">
        <v>838</v>
      </c>
      <c r="N230" s="12" t="s">
        <v>1190</v>
      </c>
      <c r="O230" t="s">
        <v>889</v>
      </c>
      <c r="P230" s="16">
        <f>PRODUCT(_xlfn.XLOOKUP(F230,Config!$A$2:$A$15,Config!$B$2:$B$15),_xlfn.XLOOKUP(G230,Config!$C$2:$C$7,Config!$D$2:$D$7),_xlfn.XLOOKUP(H230,Config!$E$2:$E$5,Config!$F$2:$F$5),_xlfn.XLOOKUP(I230,Config!$G$2:$G$3,Config!$H$2:$H$3),_xlfn.XLOOKUP(J230,Config!$I$2:$I$3,Config!$J$2:$J$3),_xlfn.XLOOKUP(K230,Config!$K$2:$K$3,Config!$L$2:$L$3),_xlfn.XLOOKUP(L230,Config!$M$2:$M$3,Config!$N$2:$N$3),_xlfn.XLOOKUP(M230,Config!$O$2:$O$6,Config!$P$2:$P$6))</f>
        <v>4.1888240856E-3</v>
      </c>
      <c r="Q230" s="22">
        <v>1</v>
      </c>
      <c r="R230" s="16">
        <f>P230*Q230*Config!$B$19</f>
        <v>3.0784355860004825E-3</v>
      </c>
    </row>
    <row r="231" spans="1:19" x14ac:dyDescent="0.45">
      <c r="A231" s="7">
        <v>230</v>
      </c>
      <c r="B231" s="7" t="s">
        <v>1489</v>
      </c>
      <c r="C231" s="7" t="s">
        <v>467</v>
      </c>
      <c r="D231" s="7" t="s">
        <v>468</v>
      </c>
      <c r="E231" t="s">
        <v>71</v>
      </c>
      <c r="F231" t="s">
        <v>988</v>
      </c>
      <c r="G231" t="s">
        <v>832</v>
      </c>
      <c r="H231" t="s">
        <v>808</v>
      </c>
      <c r="I231" s="12" t="s">
        <v>1107</v>
      </c>
      <c r="K231" s="12" t="s">
        <v>1062</v>
      </c>
      <c r="L231" s="12" t="s">
        <v>1110</v>
      </c>
      <c r="M231" s="12" t="s">
        <v>838</v>
      </c>
      <c r="N231" s="12" t="s">
        <v>1190</v>
      </c>
      <c r="O231" t="s">
        <v>44</v>
      </c>
      <c r="P231" s="16">
        <f>PRODUCT(_xlfn.XLOOKUP(F231,Config!$A$2:$A$15,Config!$B$2:$B$15),_xlfn.XLOOKUP(G231,Config!$C$2:$C$7,Config!$D$2:$D$7),_xlfn.XLOOKUP(H231,Config!$E$2:$E$5,Config!$F$2:$F$5),_xlfn.XLOOKUP(I231,Config!$G$2:$G$3,Config!$H$2:$H$3),_xlfn.XLOOKUP(J231,Config!$I$2:$I$3,Config!$J$2:$J$3),_xlfn.XLOOKUP(K231,Config!$K$2:$K$3,Config!$L$2:$L$3),_xlfn.XLOOKUP(L231,Config!$M$2:$M$3,Config!$N$2:$N$3),_xlfn.XLOOKUP(M231,Config!$O$2:$O$6,Config!$P$2:$P$6))</f>
        <v>4.1888240856E-3</v>
      </c>
      <c r="Q231" s="22">
        <v>1</v>
      </c>
      <c r="R231" s="16">
        <f>P231*Q231*Config!$B$19</f>
        <v>3.0784355860004825E-3</v>
      </c>
    </row>
    <row r="232" spans="1:19" x14ac:dyDescent="0.45">
      <c r="A232" s="7">
        <v>231</v>
      </c>
      <c r="B232" s="7" t="s">
        <v>21</v>
      </c>
      <c r="C232" s="7" t="s">
        <v>22</v>
      </c>
      <c r="D232" s="7" t="s">
        <v>254</v>
      </c>
      <c r="E232" t="s">
        <v>23</v>
      </c>
      <c r="F232" t="s">
        <v>988</v>
      </c>
      <c r="G232" t="s">
        <v>832</v>
      </c>
      <c r="H232" t="s">
        <v>808</v>
      </c>
      <c r="I232" s="12" t="s">
        <v>1107</v>
      </c>
      <c r="K232" s="12" t="s">
        <v>1062</v>
      </c>
      <c r="L232" s="12" t="s">
        <v>1110</v>
      </c>
      <c r="M232" s="12" t="s">
        <v>838</v>
      </c>
      <c r="N232" s="12" t="s">
        <v>1190</v>
      </c>
      <c r="O232" t="s">
        <v>60</v>
      </c>
      <c r="P232" s="16">
        <f>PRODUCT(_xlfn.XLOOKUP(F232,Config!$A$2:$A$15,Config!$B$2:$B$15),_xlfn.XLOOKUP(G232,Config!$C$2:$C$7,Config!$D$2:$D$7),_xlfn.XLOOKUP(H232,Config!$E$2:$E$5,Config!$F$2:$F$5),_xlfn.XLOOKUP(I232,Config!$G$2:$G$3,Config!$H$2:$H$3),_xlfn.XLOOKUP(J232,Config!$I$2:$I$3,Config!$J$2:$J$3),_xlfn.XLOOKUP(K232,Config!$K$2:$K$3,Config!$L$2:$L$3),_xlfn.XLOOKUP(L232,Config!$M$2:$M$3,Config!$N$2:$N$3),_xlfn.XLOOKUP(M232,Config!$O$2:$O$6,Config!$P$2:$P$6))</f>
        <v>4.1888240856E-3</v>
      </c>
      <c r="Q232" s="22">
        <v>1</v>
      </c>
      <c r="R232" s="16">
        <f>P232*Q232*Config!$B$19</f>
        <v>3.0784355860004825E-3</v>
      </c>
    </row>
    <row r="233" spans="1:19" s="5" customFormat="1" x14ac:dyDescent="0.45">
      <c r="A233" s="7">
        <v>232</v>
      </c>
      <c r="B233" s="7" t="s">
        <v>815</v>
      </c>
      <c r="C233" s="4" t="s">
        <v>817</v>
      </c>
      <c r="D233" s="4" t="s">
        <v>818</v>
      </c>
      <c r="E233" t="s">
        <v>786</v>
      </c>
      <c r="F233" t="s">
        <v>988</v>
      </c>
      <c r="G233" t="s">
        <v>832</v>
      </c>
      <c r="H233" t="s">
        <v>808</v>
      </c>
      <c r="I233" s="12" t="s">
        <v>1107</v>
      </c>
      <c r="J233"/>
      <c r="K233" s="12" t="s">
        <v>1062</v>
      </c>
      <c r="L233" s="12" t="s">
        <v>1110</v>
      </c>
      <c r="M233" s="12" t="s">
        <v>838</v>
      </c>
      <c r="N233" s="12" t="s">
        <v>1190</v>
      </c>
      <c r="O233" t="s">
        <v>249</v>
      </c>
      <c r="P233" s="16">
        <f>PRODUCT(_xlfn.XLOOKUP(F233,Config!$A$2:$A$15,Config!$B$2:$B$15),_xlfn.XLOOKUP(G233,Config!$C$2:$C$7,Config!$D$2:$D$7),_xlfn.XLOOKUP(H233,Config!$E$2:$E$5,Config!$F$2:$F$5),_xlfn.XLOOKUP(I233,Config!$G$2:$G$3,Config!$H$2:$H$3),_xlfn.XLOOKUP(J233,Config!$I$2:$I$3,Config!$J$2:$J$3),_xlfn.XLOOKUP(K233,Config!$K$2:$K$3,Config!$L$2:$L$3),_xlfn.XLOOKUP(L233,Config!$M$2:$M$3,Config!$N$2:$N$3),_xlfn.XLOOKUP(M233,Config!$O$2:$O$6,Config!$P$2:$P$6))</f>
        <v>4.1888240856E-3</v>
      </c>
      <c r="Q233" s="22">
        <v>1</v>
      </c>
      <c r="R233" s="16">
        <f>P233*Q233*Config!$B$19</f>
        <v>3.0784355860004825E-3</v>
      </c>
      <c r="S233"/>
    </row>
    <row r="234" spans="1:19" x14ac:dyDescent="0.45">
      <c r="A234" s="7">
        <v>233</v>
      </c>
      <c r="B234" s="7" t="s">
        <v>816</v>
      </c>
      <c r="C234" s="4" t="s">
        <v>817</v>
      </c>
      <c r="D234" s="4" t="s">
        <v>818</v>
      </c>
      <c r="E234" t="s">
        <v>787</v>
      </c>
      <c r="F234" t="s">
        <v>988</v>
      </c>
      <c r="G234" t="s">
        <v>832</v>
      </c>
      <c r="H234" t="s">
        <v>808</v>
      </c>
      <c r="I234" s="12" t="s">
        <v>1107</v>
      </c>
      <c r="K234" s="12" t="s">
        <v>1062</v>
      </c>
      <c r="L234" s="12" t="s">
        <v>1110</v>
      </c>
      <c r="M234" s="12" t="s">
        <v>838</v>
      </c>
      <c r="N234" s="12" t="s">
        <v>1190</v>
      </c>
      <c r="O234" t="s">
        <v>249</v>
      </c>
      <c r="P234" s="16">
        <f>PRODUCT(_xlfn.XLOOKUP(F234,Config!$A$2:$A$15,Config!$B$2:$B$15),_xlfn.XLOOKUP(G234,Config!$C$2:$C$7,Config!$D$2:$D$7),_xlfn.XLOOKUP(H234,Config!$E$2:$E$5,Config!$F$2:$F$5),_xlfn.XLOOKUP(I234,Config!$G$2:$G$3,Config!$H$2:$H$3),_xlfn.XLOOKUP(J234,Config!$I$2:$I$3,Config!$J$2:$J$3),_xlfn.XLOOKUP(K234,Config!$K$2:$K$3,Config!$L$2:$L$3),_xlfn.XLOOKUP(L234,Config!$M$2:$M$3,Config!$N$2:$N$3),_xlfn.XLOOKUP(M234,Config!$O$2:$O$6,Config!$P$2:$P$6))</f>
        <v>4.1888240856E-3</v>
      </c>
      <c r="Q234" s="22">
        <v>1</v>
      </c>
      <c r="R234" s="16">
        <f>P234*Q234*Config!$B$19</f>
        <v>3.0784355860004825E-3</v>
      </c>
    </row>
    <row r="235" spans="1:19" x14ac:dyDescent="0.45">
      <c r="A235" s="7">
        <v>234</v>
      </c>
      <c r="B235" s="7" t="s">
        <v>727</v>
      </c>
      <c r="C235" s="7" t="s">
        <v>1519</v>
      </c>
      <c r="D235" s="7" t="s">
        <v>616</v>
      </c>
      <c r="E235" t="s">
        <v>615</v>
      </c>
      <c r="F235" t="s">
        <v>988</v>
      </c>
      <c r="G235" t="s">
        <v>832</v>
      </c>
      <c r="H235" t="s">
        <v>808</v>
      </c>
      <c r="I235" s="12" t="s">
        <v>1107</v>
      </c>
      <c r="K235" s="12" t="s">
        <v>1062</v>
      </c>
      <c r="L235" s="12" t="s">
        <v>1110</v>
      </c>
      <c r="M235" s="12" t="s">
        <v>838</v>
      </c>
      <c r="N235" s="12" t="s">
        <v>1190</v>
      </c>
      <c r="O235" t="s">
        <v>614</v>
      </c>
      <c r="P235" s="16">
        <f>PRODUCT(_xlfn.XLOOKUP(F235,Config!$A$2:$A$15,Config!$B$2:$B$15),_xlfn.XLOOKUP(G235,Config!$C$2:$C$7,Config!$D$2:$D$7),_xlfn.XLOOKUP(H235,Config!$E$2:$E$5,Config!$F$2:$F$5),_xlfn.XLOOKUP(I235,Config!$G$2:$G$3,Config!$H$2:$H$3),_xlfn.XLOOKUP(J235,Config!$I$2:$I$3,Config!$J$2:$J$3),_xlfn.XLOOKUP(K235,Config!$K$2:$K$3,Config!$L$2:$L$3),_xlfn.XLOOKUP(L235,Config!$M$2:$M$3,Config!$N$2:$N$3),_xlfn.XLOOKUP(M235,Config!$O$2:$O$6,Config!$P$2:$P$6))</f>
        <v>4.1888240856E-3</v>
      </c>
      <c r="Q235" s="22">
        <v>1</v>
      </c>
      <c r="R235" s="16">
        <f>P235*Q235*Config!$B$19</f>
        <v>3.0784355860004825E-3</v>
      </c>
    </row>
    <row r="236" spans="1:19" x14ac:dyDescent="0.45">
      <c r="A236" s="7">
        <v>235</v>
      </c>
      <c r="B236" s="7" t="s">
        <v>925</v>
      </c>
      <c r="C236" s="7" t="s">
        <v>861</v>
      </c>
      <c r="D236" s="7" t="s">
        <v>862</v>
      </c>
      <c r="E236" t="s">
        <v>863</v>
      </c>
      <c r="F236" t="s">
        <v>988</v>
      </c>
      <c r="G236" t="s">
        <v>832</v>
      </c>
      <c r="H236" t="s">
        <v>808</v>
      </c>
      <c r="I236" s="12" t="s">
        <v>1107</v>
      </c>
      <c r="K236" s="12" t="s">
        <v>1062</v>
      </c>
      <c r="L236" s="12" t="s">
        <v>1110</v>
      </c>
      <c r="M236" s="12" t="s">
        <v>838</v>
      </c>
      <c r="N236" s="12" t="s">
        <v>1190</v>
      </c>
      <c r="O236" t="s">
        <v>864</v>
      </c>
      <c r="P236" s="16">
        <f>PRODUCT(_xlfn.XLOOKUP(F236,Config!$A$2:$A$15,Config!$B$2:$B$15),_xlfn.XLOOKUP(G236,Config!$C$2:$C$7,Config!$D$2:$D$7),_xlfn.XLOOKUP(H236,Config!$E$2:$E$5,Config!$F$2:$F$5),_xlfn.XLOOKUP(I236,Config!$G$2:$G$3,Config!$H$2:$H$3),_xlfn.XLOOKUP(J236,Config!$I$2:$I$3,Config!$J$2:$J$3),_xlfn.XLOOKUP(K236,Config!$K$2:$K$3,Config!$L$2:$L$3),_xlfn.XLOOKUP(L236,Config!$M$2:$M$3,Config!$N$2:$N$3),_xlfn.XLOOKUP(M236,Config!$O$2:$O$6,Config!$P$2:$P$6))</f>
        <v>4.1888240856E-3</v>
      </c>
      <c r="Q236" s="22">
        <v>1</v>
      </c>
      <c r="R236" s="16">
        <f>P236*Q236*Config!$B$19</f>
        <v>3.0784355860004825E-3</v>
      </c>
    </row>
    <row r="237" spans="1:19" x14ac:dyDescent="0.45">
      <c r="A237" s="9">
        <v>236</v>
      </c>
      <c r="B237" s="9" t="s">
        <v>1528</v>
      </c>
      <c r="C237" s="9" t="s">
        <v>1087</v>
      </c>
      <c r="D237" s="9" t="s">
        <v>1094</v>
      </c>
      <c r="E237" t="s">
        <v>944</v>
      </c>
      <c r="F237" t="s">
        <v>987</v>
      </c>
      <c r="G237" t="s">
        <v>832</v>
      </c>
      <c r="H237" t="s">
        <v>808</v>
      </c>
      <c r="I237" s="12" t="s">
        <v>1107</v>
      </c>
      <c r="K237" s="12" t="s">
        <v>1062</v>
      </c>
      <c r="L237" s="12" t="s">
        <v>1110</v>
      </c>
      <c r="M237" s="12" t="s">
        <v>838</v>
      </c>
      <c r="N237" s="12" t="s">
        <v>1190</v>
      </c>
      <c r="P237" s="16">
        <f>PRODUCT(_xlfn.XLOOKUP(F237,Config!$A$2:$A$15,Config!$B$2:$B$15),_xlfn.XLOOKUP(G237,Config!$C$2:$C$7,Config!$D$2:$D$7),_xlfn.XLOOKUP(H237,Config!$E$2:$E$5,Config!$F$2:$F$5),_xlfn.XLOOKUP(I237,Config!$G$2:$G$3,Config!$H$2:$H$3),_xlfn.XLOOKUP(J237,Config!$I$2:$I$3,Config!$J$2:$J$3),_xlfn.XLOOKUP(K237,Config!$K$2:$K$3,Config!$L$2:$L$3),_xlfn.XLOOKUP(L237,Config!$M$2:$M$3,Config!$N$2:$N$3),_xlfn.XLOOKUP(M237,Config!$O$2:$O$6,Config!$P$2:$P$6))</f>
        <v>1.5708090320999998E-3</v>
      </c>
      <c r="Q237" s="22">
        <v>1</v>
      </c>
      <c r="R237" s="16">
        <f>P237*Q237*Config!$B$19</f>
        <v>1.1544133447501808E-3</v>
      </c>
    </row>
    <row r="238" spans="1:19" x14ac:dyDescent="0.45">
      <c r="A238" s="9">
        <v>237</v>
      </c>
      <c r="B238" s="9" t="s">
        <v>1529</v>
      </c>
      <c r="C238" s="7" t="s">
        <v>1086</v>
      </c>
      <c r="D238" s="7" t="s">
        <v>1093</v>
      </c>
      <c r="E238" t="s">
        <v>859</v>
      </c>
      <c r="F238" t="s">
        <v>987</v>
      </c>
      <c r="G238" t="s">
        <v>832</v>
      </c>
      <c r="H238" t="s">
        <v>808</v>
      </c>
      <c r="I238" s="12" t="s">
        <v>1107</v>
      </c>
      <c r="K238" s="12" t="s">
        <v>1062</v>
      </c>
      <c r="L238" s="12" t="s">
        <v>1110</v>
      </c>
      <c r="M238" s="12" t="s">
        <v>838</v>
      </c>
      <c r="N238" s="12" t="s">
        <v>1190</v>
      </c>
      <c r="P238" s="16">
        <f>PRODUCT(_xlfn.XLOOKUP(F238,Config!$A$2:$A$15,Config!$B$2:$B$15),_xlfn.XLOOKUP(G238,Config!$C$2:$C$7,Config!$D$2:$D$7),_xlfn.XLOOKUP(H238,Config!$E$2:$E$5,Config!$F$2:$F$5),_xlfn.XLOOKUP(I238,Config!$G$2:$G$3,Config!$H$2:$H$3),_xlfn.XLOOKUP(J238,Config!$I$2:$I$3,Config!$J$2:$J$3),_xlfn.XLOOKUP(K238,Config!$K$2:$K$3,Config!$L$2:$L$3),_xlfn.XLOOKUP(L238,Config!$M$2:$M$3,Config!$N$2:$N$3),_xlfn.XLOOKUP(M238,Config!$O$2:$O$6,Config!$P$2:$P$6))</f>
        <v>1.5708090320999998E-3</v>
      </c>
      <c r="Q238" s="22">
        <v>1</v>
      </c>
      <c r="R238" s="16">
        <f>P238*Q238*Config!$B$19</f>
        <v>1.1544133447501808E-3</v>
      </c>
    </row>
    <row r="239" spans="1:19" x14ac:dyDescent="0.45">
      <c r="A239" s="7">
        <v>238</v>
      </c>
      <c r="B239" s="7" t="s">
        <v>924</v>
      </c>
      <c r="C239" s="7" t="s">
        <v>855</v>
      </c>
      <c r="D239" s="7" t="s">
        <v>856</v>
      </c>
      <c r="E239" t="s">
        <v>857</v>
      </c>
      <c r="F239" t="s">
        <v>995</v>
      </c>
      <c r="G239" t="s">
        <v>832</v>
      </c>
      <c r="H239" t="s">
        <v>808</v>
      </c>
      <c r="I239" s="12" t="s">
        <v>1107</v>
      </c>
      <c r="K239" s="12" t="s">
        <v>1062</v>
      </c>
      <c r="L239" s="12" t="s">
        <v>1110</v>
      </c>
      <c r="M239" s="12" t="s">
        <v>838</v>
      </c>
      <c r="N239" s="12" t="s">
        <v>1190</v>
      </c>
      <c r="O239" t="s">
        <v>858</v>
      </c>
      <c r="P239" s="16">
        <f>PRODUCT(_xlfn.XLOOKUP(F239,Config!$A$2:$A$15,Config!$B$2:$B$15),_xlfn.XLOOKUP(G239,Config!$C$2:$C$7,Config!$D$2:$D$7),_xlfn.XLOOKUP(H239,Config!$E$2:$E$5,Config!$F$2:$F$5),_xlfn.XLOOKUP(I239,Config!$G$2:$G$3,Config!$H$2:$H$3),_xlfn.XLOOKUP(J239,Config!$I$2:$I$3,Config!$J$2:$J$3),_xlfn.XLOOKUP(K239,Config!$K$2:$K$3,Config!$L$2:$L$3),_xlfn.XLOOKUP(L239,Config!$M$2:$M$3,Config!$N$2:$N$3),_xlfn.XLOOKUP(M239,Config!$O$2:$O$6,Config!$P$2:$P$6))</f>
        <v>1.5708090320999998E-3</v>
      </c>
      <c r="Q239" s="22">
        <v>1</v>
      </c>
      <c r="R239" s="16">
        <f>P239*Q239*Config!$B$19</f>
        <v>1.1544133447501808E-3</v>
      </c>
    </row>
    <row r="240" spans="1:19" x14ac:dyDescent="0.45">
      <c r="A240" s="7">
        <v>239</v>
      </c>
      <c r="B240" s="7" t="s">
        <v>917</v>
      </c>
      <c r="C240" s="7" t="s">
        <v>918</v>
      </c>
      <c r="D240" s="7" t="s">
        <v>919</v>
      </c>
      <c r="E240" t="s">
        <v>920</v>
      </c>
      <c r="F240" t="s">
        <v>995</v>
      </c>
      <c r="G240" t="s">
        <v>832</v>
      </c>
      <c r="H240" t="s">
        <v>808</v>
      </c>
      <c r="I240" s="12" t="s">
        <v>1107</v>
      </c>
      <c r="K240" s="12" t="s">
        <v>1062</v>
      </c>
      <c r="L240" s="12" t="s">
        <v>1110</v>
      </c>
      <c r="M240" s="12" t="s">
        <v>838</v>
      </c>
      <c r="N240" s="12" t="s">
        <v>1190</v>
      </c>
      <c r="O240" t="s">
        <v>921</v>
      </c>
      <c r="P240" s="16">
        <f>PRODUCT(_xlfn.XLOOKUP(F240,Config!$A$2:$A$15,Config!$B$2:$B$15),_xlfn.XLOOKUP(G240,Config!$C$2:$C$7,Config!$D$2:$D$7),_xlfn.XLOOKUP(H240,Config!$E$2:$E$5,Config!$F$2:$F$5),_xlfn.XLOOKUP(I240,Config!$G$2:$G$3,Config!$H$2:$H$3),_xlfn.XLOOKUP(J240,Config!$I$2:$I$3,Config!$J$2:$J$3),_xlfn.XLOOKUP(K240,Config!$K$2:$K$3,Config!$L$2:$L$3),_xlfn.XLOOKUP(L240,Config!$M$2:$M$3,Config!$N$2:$N$3),_xlfn.XLOOKUP(M240,Config!$O$2:$O$6,Config!$P$2:$P$6))</f>
        <v>1.5708090320999998E-3</v>
      </c>
      <c r="Q240" s="22">
        <v>1</v>
      </c>
      <c r="R240" s="16">
        <f>P240*Q240*Config!$B$19</f>
        <v>1.1544133447501808E-3</v>
      </c>
    </row>
    <row r="241" spans="1:19" x14ac:dyDescent="0.45">
      <c r="A241" s="7">
        <v>240</v>
      </c>
      <c r="B241" s="7" t="s">
        <v>917</v>
      </c>
      <c r="C241" s="7" t="s">
        <v>918</v>
      </c>
      <c r="D241" s="7" t="s">
        <v>919</v>
      </c>
      <c r="E241" t="s">
        <v>938</v>
      </c>
      <c r="F241" t="s">
        <v>995</v>
      </c>
      <c r="G241" t="s">
        <v>832</v>
      </c>
      <c r="H241" t="s">
        <v>808</v>
      </c>
      <c r="I241" s="12" t="s">
        <v>1107</v>
      </c>
      <c r="K241" s="12" t="s">
        <v>1062</v>
      </c>
      <c r="L241" s="12" t="s">
        <v>1110</v>
      </c>
      <c r="M241" s="12" t="s">
        <v>838</v>
      </c>
      <c r="N241" s="12" t="s">
        <v>1190</v>
      </c>
      <c r="O241" t="s">
        <v>939</v>
      </c>
      <c r="P241" s="16">
        <f>PRODUCT(_xlfn.XLOOKUP(F241,Config!$A$2:$A$15,Config!$B$2:$B$15),_xlfn.XLOOKUP(G241,Config!$C$2:$C$7,Config!$D$2:$D$7),_xlfn.XLOOKUP(H241,Config!$E$2:$E$5,Config!$F$2:$F$5),_xlfn.XLOOKUP(I241,Config!$G$2:$G$3,Config!$H$2:$H$3),_xlfn.XLOOKUP(J241,Config!$I$2:$I$3,Config!$J$2:$J$3),_xlfn.XLOOKUP(K241,Config!$K$2:$K$3,Config!$L$2:$L$3),_xlfn.XLOOKUP(L241,Config!$M$2:$M$3,Config!$N$2:$N$3),_xlfn.XLOOKUP(M241,Config!$O$2:$O$6,Config!$P$2:$P$6))</f>
        <v>1.5708090320999998E-3</v>
      </c>
      <c r="Q241" s="22">
        <v>1</v>
      </c>
      <c r="R241" s="16">
        <f>P241*Q241*Config!$B$19</f>
        <v>1.1544133447501808E-3</v>
      </c>
    </row>
    <row r="242" spans="1:19" x14ac:dyDescent="0.45">
      <c r="A242" s="7">
        <v>241</v>
      </c>
      <c r="B242" s="7" t="s">
        <v>957</v>
      </c>
      <c r="C242" s="7" t="s">
        <v>958</v>
      </c>
      <c r="D242" s="7" t="s">
        <v>959</v>
      </c>
      <c r="E242" t="s">
        <v>960</v>
      </c>
      <c r="F242" t="s">
        <v>995</v>
      </c>
      <c r="G242" t="s">
        <v>832</v>
      </c>
      <c r="H242" t="s">
        <v>808</v>
      </c>
      <c r="I242" s="12" t="s">
        <v>1107</v>
      </c>
      <c r="K242" s="12" t="s">
        <v>1062</v>
      </c>
      <c r="L242" s="12" t="s">
        <v>1110</v>
      </c>
      <c r="M242" s="12" t="s">
        <v>838</v>
      </c>
      <c r="N242" s="12" t="s">
        <v>1190</v>
      </c>
      <c r="O242" t="s">
        <v>961</v>
      </c>
      <c r="P242" s="16">
        <f>PRODUCT(_xlfn.XLOOKUP(F242,Config!$A$2:$A$15,Config!$B$2:$B$15),_xlfn.XLOOKUP(G242,Config!$C$2:$C$7,Config!$D$2:$D$7),_xlfn.XLOOKUP(H242,Config!$E$2:$E$5,Config!$F$2:$F$5),_xlfn.XLOOKUP(I242,Config!$G$2:$G$3,Config!$H$2:$H$3),_xlfn.XLOOKUP(J242,Config!$I$2:$I$3,Config!$J$2:$J$3),_xlfn.XLOOKUP(K242,Config!$K$2:$K$3,Config!$L$2:$L$3),_xlfn.XLOOKUP(L242,Config!$M$2:$M$3,Config!$N$2:$N$3),_xlfn.XLOOKUP(M242,Config!$O$2:$O$6,Config!$P$2:$P$6))</f>
        <v>1.5708090320999998E-3</v>
      </c>
      <c r="Q242" s="22">
        <v>1</v>
      </c>
      <c r="R242" s="16">
        <f>P242*Q242*Config!$B$19</f>
        <v>1.1544133447501808E-3</v>
      </c>
    </row>
    <row r="243" spans="1:19" x14ac:dyDescent="0.45">
      <c r="A243" s="3">
        <v>242</v>
      </c>
      <c r="B243" s="3" t="s">
        <v>1024</v>
      </c>
      <c r="C243" s="3" t="s">
        <v>1025</v>
      </c>
      <c r="D243" s="3" t="s">
        <v>1026</v>
      </c>
      <c r="E243" t="s">
        <v>1027</v>
      </c>
      <c r="F243" t="s">
        <v>993</v>
      </c>
      <c r="G243" t="s">
        <v>832</v>
      </c>
      <c r="H243" t="s">
        <v>808</v>
      </c>
      <c r="I243" s="12" t="s">
        <v>1107</v>
      </c>
      <c r="K243" s="14" t="s">
        <v>1082</v>
      </c>
      <c r="L243" s="12" t="s">
        <v>1110</v>
      </c>
      <c r="M243" s="12" t="s">
        <v>838</v>
      </c>
      <c r="N243" s="12" t="s">
        <v>1190</v>
      </c>
      <c r="P243" s="16">
        <f>PRODUCT(_xlfn.XLOOKUP(F243,Config!$A$2:$A$15,Config!$B$2:$B$15),_xlfn.XLOOKUP(G243,Config!$C$2:$C$7,Config!$D$2:$D$7),_xlfn.XLOOKUP(H243,Config!$E$2:$E$5,Config!$F$2:$F$5),_xlfn.XLOOKUP(I243,Config!$G$2:$G$3,Config!$H$2:$H$3),_xlfn.XLOOKUP(J243,Config!$I$2:$I$3,Config!$J$2:$J$3),_xlfn.XLOOKUP(K243,Config!$K$2:$K$3,Config!$L$2:$L$3),_xlfn.XLOOKUP(L243,Config!$M$2:$M$3,Config!$N$2:$N$3),_xlfn.XLOOKUP(M243,Config!$O$2:$O$6,Config!$P$2:$P$6))</f>
        <v>1.1823293789999999E-4</v>
      </c>
      <c r="Q243" s="22">
        <v>1</v>
      </c>
      <c r="R243" s="16">
        <f>P243*Q243*Config!$B$19</f>
        <v>8.6891327024207158E-5</v>
      </c>
      <c r="S243" t="s">
        <v>1028</v>
      </c>
    </row>
    <row r="244" spans="1:19" x14ac:dyDescent="0.45">
      <c r="A244" s="3">
        <v>243</v>
      </c>
      <c r="B244" s="3" t="s">
        <v>1065</v>
      </c>
      <c r="C244" s="3" t="s">
        <v>1071</v>
      </c>
      <c r="D244" s="3" t="s">
        <v>1077</v>
      </c>
      <c r="E244" t="s">
        <v>1031</v>
      </c>
      <c r="F244" t="s">
        <v>993</v>
      </c>
      <c r="G244" t="s">
        <v>832</v>
      </c>
      <c r="H244" t="s">
        <v>808</v>
      </c>
      <c r="I244" s="12" t="s">
        <v>1107</v>
      </c>
      <c r="K244" s="14" t="s">
        <v>1082</v>
      </c>
      <c r="L244" s="12" t="s">
        <v>1110</v>
      </c>
      <c r="M244" s="12" t="s">
        <v>838</v>
      </c>
      <c r="N244" s="12" t="s">
        <v>1190</v>
      </c>
      <c r="P244" s="16">
        <f>PRODUCT(_xlfn.XLOOKUP(F244,Config!$A$2:$A$15,Config!$B$2:$B$15),_xlfn.XLOOKUP(G244,Config!$C$2:$C$7,Config!$D$2:$D$7),_xlfn.XLOOKUP(H244,Config!$E$2:$E$5,Config!$F$2:$F$5),_xlfn.XLOOKUP(I244,Config!$G$2:$G$3,Config!$H$2:$H$3),_xlfn.XLOOKUP(J244,Config!$I$2:$I$3,Config!$J$2:$J$3),_xlfn.XLOOKUP(K244,Config!$K$2:$K$3,Config!$L$2:$L$3),_xlfn.XLOOKUP(L244,Config!$M$2:$M$3,Config!$N$2:$N$3),_xlfn.XLOOKUP(M244,Config!$O$2:$O$6,Config!$P$2:$P$6))</f>
        <v>1.1823293789999999E-4</v>
      </c>
      <c r="Q244" s="22">
        <v>1</v>
      </c>
      <c r="R244" s="16">
        <f>P244*Q244*Config!$B$19</f>
        <v>8.6891327024207158E-5</v>
      </c>
      <c r="S244" t="s">
        <v>1032</v>
      </c>
    </row>
    <row r="245" spans="1:19" x14ac:dyDescent="0.45">
      <c r="A245" s="3">
        <v>244</v>
      </c>
      <c r="B245" s="3" t="s">
        <v>1019</v>
      </c>
      <c r="C245" s="3" t="s">
        <v>1020</v>
      </c>
      <c r="D245" s="3" t="s">
        <v>1021</v>
      </c>
      <c r="E245" t="s">
        <v>1022</v>
      </c>
      <c r="F245" t="s">
        <v>988</v>
      </c>
      <c r="G245" t="s">
        <v>832</v>
      </c>
      <c r="H245" t="s">
        <v>808</v>
      </c>
      <c r="I245" s="12" t="s">
        <v>1107</v>
      </c>
      <c r="K245" s="14" t="s">
        <v>1082</v>
      </c>
      <c r="L245" s="12" t="s">
        <v>1110</v>
      </c>
      <c r="M245" s="12" t="s">
        <v>838</v>
      </c>
      <c r="N245" s="12" t="s">
        <v>1190</v>
      </c>
      <c r="P245" s="16">
        <f>PRODUCT(_xlfn.XLOOKUP(F245,Config!$A$2:$A$15,Config!$B$2:$B$15),_xlfn.XLOOKUP(G245,Config!$C$2:$C$7,Config!$D$2:$D$7),_xlfn.XLOOKUP(H245,Config!$E$2:$E$5,Config!$F$2:$F$5),_xlfn.XLOOKUP(I245,Config!$G$2:$G$3,Config!$H$2:$H$3),_xlfn.XLOOKUP(J245,Config!$I$2:$I$3,Config!$J$2:$J$3),_xlfn.XLOOKUP(K245,Config!$K$2:$K$3,Config!$L$2:$L$3),_xlfn.XLOOKUP(L245,Config!$M$2:$M$3,Config!$N$2:$N$3),_xlfn.XLOOKUP(M245,Config!$O$2:$O$6,Config!$P$2:$P$6))</f>
        <v>3.1528783440000003E-4</v>
      </c>
      <c r="Q245" s="22">
        <v>1</v>
      </c>
      <c r="R245" s="16">
        <f>P245*Q245*Config!$B$19</f>
        <v>2.3171020539788578E-4</v>
      </c>
      <c r="S245" t="s">
        <v>1023</v>
      </c>
    </row>
    <row r="246" spans="1:19" x14ac:dyDescent="0.45">
      <c r="A246" s="3">
        <v>245</v>
      </c>
      <c r="B246" s="3" t="s">
        <v>1064</v>
      </c>
      <c r="C246" s="3" t="s">
        <v>1070</v>
      </c>
      <c r="D246" s="3" t="s">
        <v>1076</v>
      </c>
      <c r="E246" t="s">
        <v>1029</v>
      </c>
      <c r="F246" t="s">
        <v>988</v>
      </c>
      <c r="G246" t="s">
        <v>832</v>
      </c>
      <c r="H246" t="s">
        <v>808</v>
      </c>
      <c r="I246" s="12" t="s">
        <v>1107</v>
      </c>
      <c r="K246" s="14" t="s">
        <v>1082</v>
      </c>
      <c r="L246" s="12" t="s">
        <v>1110</v>
      </c>
      <c r="M246" s="12" t="s">
        <v>838</v>
      </c>
      <c r="N246" s="12" t="s">
        <v>1190</v>
      </c>
      <c r="P246" s="16">
        <f>PRODUCT(_xlfn.XLOOKUP(F246,Config!$A$2:$A$15,Config!$B$2:$B$15),_xlfn.XLOOKUP(G246,Config!$C$2:$C$7,Config!$D$2:$D$7),_xlfn.XLOOKUP(H246,Config!$E$2:$E$5,Config!$F$2:$F$5),_xlfn.XLOOKUP(I246,Config!$G$2:$G$3,Config!$H$2:$H$3),_xlfn.XLOOKUP(J246,Config!$I$2:$I$3,Config!$J$2:$J$3),_xlfn.XLOOKUP(K246,Config!$K$2:$K$3,Config!$L$2:$L$3),_xlfn.XLOOKUP(L246,Config!$M$2:$M$3,Config!$N$2:$N$3),_xlfn.XLOOKUP(M246,Config!$O$2:$O$6,Config!$P$2:$P$6))</f>
        <v>3.1528783440000003E-4</v>
      </c>
      <c r="Q246" s="22">
        <v>1</v>
      </c>
      <c r="R246" s="16">
        <f>P246*Q246*Config!$B$19</f>
        <v>2.3171020539788578E-4</v>
      </c>
      <c r="S246" t="s">
        <v>1030</v>
      </c>
    </row>
    <row r="247" spans="1:19" x14ac:dyDescent="0.45">
      <c r="A247" s="7">
        <v>246</v>
      </c>
      <c r="B247" s="8" t="s">
        <v>514</v>
      </c>
      <c r="C247" s="11" t="s">
        <v>634</v>
      </c>
      <c r="D247" s="11" t="s">
        <v>578</v>
      </c>
      <c r="E247" s="2" t="s">
        <v>515</v>
      </c>
      <c r="F247" t="s">
        <v>990</v>
      </c>
      <c r="G247" t="s">
        <v>832</v>
      </c>
      <c r="H247" s="2" t="s">
        <v>808</v>
      </c>
      <c r="I247" s="12" t="s">
        <v>1107</v>
      </c>
      <c r="J247" s="2"/>
      <c r="K247" s="12" t="s">
        <v>1062</v>
      </c>
      <c r="L247" s="12" t="s">
        <v>1110</v>
      </c>
      <c r="M247" t="s">
        <v>836</v>
      </c>
      <c r="N247" s="12" t="s">
        <v>1190</v>
      </c>
      <c r="O247" s="2" t="s">
        <v>516</v>
      </c>
      <c r="P247" s="16">
        <f>PRODUCT(_xlfn.XLOOKUP(F247,Config!$A$2:$A$15,Config!$B$2:$B$15),_xlfn.XLOOKUP(G247,Config!$C$2:$C$7,Config!$D$2:$D$7),_xlfn.XLOOKUP(H247,Config!$E$2:$E$5,Config!$F$2:$F$5),_xlfn.XLOOKUP(I247,Config!$G$2:$G$3,Config!$H$2:$H$3),_xlfn.XLOOKUP(J247,Config!$I$2:$I$3,Config!$J$2:$J$3),_xlfn.XLOOKUP(K247,Config!$K$2:$K$3,Config!$L$2:$L$3),_xlfn.XLOOKUP(L247,Config!$M$2:$M$3,Config!$N$2:$N$3),_xlfn.XLOOKUP(M247,Config!$O$2:$O$6,Config!$P$2:$P$6))</f>
        <v>1.0472060214E-3</v>
      </c>
      <c r="Q247" s="22">
        <v>1</v>
      </c>
      <c r="R247" s="16">
        <f>P247*Q247*Config!$B$19</f>
        <v>7.6960889650012063E-4</v>
      </c>
    </row>
    <row r="248" spans="1:19" x14ac:dyDescent="0.45">
      <c r="A248" s="7">
        <v>247</v>
      </c>
      <c r="B248" s="7" t="s">
        <v>473</v>
      </c>
      <c r="C248" s="3" t="s">
        <v>631</v>
      </c>
      <c r="D248" s="3" t="s">
        <v>729</v>
      </c>
      <c r="E248" t="s">
        <v>72</v>
      </c>
      <c r="F248" t="s">
        <v>988</v>
      </c>
      <c r="G248" t="s">
        <v>832</v>
      </c>
      <c r="H248" t="s">
        <v>808</v>
      </c>
      <c r="I248" s="12" t="s">
        <v>1107</v>
      </c>
      <c r="K248" s="12" t="s">
        <v>1062</v>
      </c>
      <c r="L248" s="12" t="s">
        <v>1110</v>
      </c>
      <c r="M248" t="s">
        <v>836</v>
      </c>
      <c r="N248" s="12" t="s">
        <v>1190</v>
      </c>
      <c r="O248" t="s">
        <v>73</v>
      </c>
      <c r="P248" s="16">
        <f>PRODUCT(_xlfn.XLOOKUP(F248,Config!$A$2:$A$15,Config!$B$2:$B$15),_xlfn.XLOOKUP(G248,Config!$C$2:$C$7,Config!$D$2:$D$7),_xlfn.XLOOKUP(H248,Config!$E$2:$E$5,Config!$F$2:$F$5),_xlfn.XLOOKUP(I248,Config!$G$2:$G$3,Config!$H$2:$H$3),_xlfn.XLOOKUP(J248,Config!$I$2:$I$3,Config!$J$2:$J$3),_xlfn.XLOOKUP(K248,Config!$K$2:$K$3,Config!$L$2:$L$3),_xlfn.XLOOKUP(L248,Config!$M$2:$M$3,Config!$N$2:$N$3),_xlfn.XLOOKUP(M248,Config!$O$2:$O$6,Config!$P$2:$P$6))</f>
        <v>1.0472060214E-3</v>
      </c>
      <c r="Q248" s="22">
        <v>1</v>
      </c>
      <c r="R248" s="16">
        <f>P248*Q248*Config!$B$19</f>
        <v>7.6960889650012063E-4</v>
      </c>
    </row>
    <row r="249" spans="1:19" x14ac:dyDescent="0.45">
      <c r="A249" s="7">
        <v>248</v>
      </c>
      <c r="B249" s="7" t="s">
        <v>785</v>
      </c>
      <c r="C249" s="3" t="s">
        <v>632</v>
      </c>
      <c r="D249" s="3" t="s">
        <v>728</v>
      </c>
      <c r="E249" t="s">
        <v>26</v>
      </c>
      <c r="F249" t="s">
        <v>988</v>
      </c>
      <c r="G249" t="s">
        <v>832</v>
      </c>
      <c r="H249" t="s">
        <v>808</v>
      </c>
      <c r="I249" s="12" t="s">
        <v>1107</v>
      </c>
      <c r="K249" s="12" t="s">
        <v>1062</v>
      </c>
      <c r="L249" s="12" t="s">
        <v>1110</v>
      </c>
      <c r="M249" t="s">
        <v>836</v>
      </c>
      <c r="N249" s="12" t="s">
        <v>1190</v>
      </c>
      <c r="O249" t="s">
        <v>62</v>
      </c>
      <c r="P249" s="16">
        <f>PRODUCT(_xlfn.XLOOKUP(F249,Config!$A$2:$A$15,Config!$B$2:$B$15),_xlfn.XLOOKUP(G249,Config!$C$2:$C$7,Config!$D$2:$D$7),_xlfn.XLOOKUP(H249,Config!$E$2:$E$5,Config!$F$2:$F$5),_xlfn.XLOOKUP(I249,Config!$G$2:$G$3,Config!$H$2:$H$3),_xlfn.XLOOKUP(J249,Config!$I$2:$I$3,Config!$J$2:$J$3),_xlfn.XLOOKUP(K249,Config!$K$2:$K$3,Config!$L$2:$L$3),_xlfn.XLOOKUP(L249,Config!$M$2:$M$3,Config!$N$2:$N$3),_xlfn.XLOOKUP(M249,Config!$O$2:$O$6,Config!$P$2:$P$6))</f>
        <v>1.0472060214E-3</v>
      </c>
      <c r="Q249" s="22">
        <v>1</v>
      </c>
      <c r="R249" s="16">
        <f>P249*Q249*Config!$B$19</f>
        <v>7.6960889650012063E-4</v>
      </c>
    </row>
    <row r="250" spans="1:19" x14ac:dyDescent="0.45">
      <c r="A250" s="7">
        <v>249</v>
      </c>
      <c r="B250" s="8" t="s">
        <v>508</v>
      </c>
      <c r="C250" s="11" t="s">
        <v>633</v>
      </c>
      <c r="D250" s="11" t="s">
        <v>576</v>
      </c>
      <c r="E250" s="2" t="s">
        <v>509</v>
      </c>
      <c r="F250" t="s">
        <v>990</v>
      </c>
      <c r="G250" t="s">
        <v>832</v>
      </c>
      <c r="H250" s="2" t="s">
        <v>808</v>
      </c>
      <c r="I250" s="12" t="s">
        <v>1107</v>
      </c>
      <c r="J250" s="2"/>
      <c r="K250" s="12" t="s">
        <v>1062</v>
      </c>
      <c r="L250" t="s">
        <v>1111</v>
      </c>
      <c r="M250" s="12" t="s">
        <v>838</v>
      </c>
      <c r="N250" s="12" t="s">
        <v>1190</v>
      </c>
      <c r="O250" s="2" t="s">
        <v>510</v>
      </c>
      <c r="P250" s="16">
        <f>PRODUCT(_xlfn.XLOOKUP(F250,Config!$A$2:$A$15,Config!$B$2:$B$15),_xlfn.XLOOKUP(G250,Config!$C$2:$C$7,Config!$D$2:$D$7),_xlfn.XLOOKUP(H250,Config!$E$2:$E$5,Config!$F$2:$F$5),_xlfn.XLOOKUP(I250,Config!$G$2:$G$3,Config!$H$2:$H$3),_xlfn.XLOOKUP(J250,Config!$I$2:$I$3,Config!$J$2:$J$3),_xlfn.XLOOKUP(K250,Config!$K$2:$K$3,Config!$L$2:$L$3),_xlfn.XLOOKUP(L250,Config!$M$2:$M$3,Config!$N$2:$N$3),_xlfn.XLOOKUP(M250,Config!$O$2:$O$6,Config!$P$2:$P$6))</f>
        <v>7.3920425040000003E-4</v>
      </c>
      <c r="Q250" s="22">
        <v>1</v>
      </c>
      <c r="R250" s="16">
        <f>P250*Q250*Config!$B$19</f>
        <v>5.4325333870596751E-4</v>
      </c>
    </row>
    <row r="251" spans="1:19" x14ac:dyDescent="0.45">
      <c r="A251" s="7">
        <v>250</v>
      </c>
      <c r="B251" s="7" t="s">
        <v>469</v>
      </c>
      <c r="C251" s="7" t="s">
        <v>627</v>
      </c>
      <c r="D251" s="7" t="s">
        <v>731</v>
      </c>
      <c r="E251" t="s">
        <v>45</v>
      </c>
      <c r="F251" t="s">
        <v>988</v>
      </c>
      <c r="G251" t="s">
        <v>832</v>
      </c>
      <c r="H251" t="s">
        <v>808</v>
      </c>
      <c r="I251" s="12" t="s">
        <v>1107</v>
      </c>
      <c r="K251" s="12" t="s">
        <v>1062</v>
      </c>
      <c r="L251" t="s">
        <v>1111</v>
      </c>
      <c r="M251" s="12" t="s">
        <v>838</v>
      </c>
      <c r="N251" s="12" t="s">
        <v>1190</v>
      </c>
      <c r="O251" t="s">
        <v>46</v>
      </c>
      <c r="P251" s="16">
        <f>PRODUCT(_xlfn.XLOOKUP(F251,Config!$A$2:$A$15,Config!$B$2:$B$15),_xlfn.XLOOKUP(G251,Config!$C$2:$C$7,Config!$D$2:$D$7),_xlfn.XLOOKUP(H251,Config!$E$2:$E$5,Config!$F$2:$F$5),_xlfn.XLOOKUP(I251,Config!$G$2:$G$3,Config!$H$2:$H$3),_xlfn.XLOOKUP(J251,Config!$I$2:$I$3,Config!$J$2:$J$3),_xlfn.XLOOKUP(K251,Config!$K$2:$K$3,Config!$L$2:$L$3),_xlfn.XLOOKUP(L251,Config!$M$2:$M$3,Config!$N$2:$N$3),_xlfn.XLOOKUP(M251,Config!$O$2:$O$6,Config!$P$2:$P$6))</f>
        <v>7.3920425040000003E-4</v>
      </c>
      <c r="Q251" s="22">
        <v>1</v>
      </c>
      <c r="R251" s="16">
        <f>P251*Q251*Config!$B$19</f>
        <v>5.4325333870596751E-4</v>
      </c>
    </row>
    <row r="252" spans="1:19" x14ac:dyDescent="0.45">
      <c r="A252" s="7">
        <v>251</v>
      </c>
      <c r="B252" s="7" t="s">
        <v>24</v>
      </c>
      <c r="C252" s="3" t="s">
        <v>628</v>
      </c>
      <c r="D252" s="3" t="s">
        <v>730</v>
      </c>
      <c r="E252" t="s">
        <v>25</v>
      </c>
      <c r="F252" t="s">
        <v>988</v>
      </c>
      <c r="G252" t="s">
        <v>832</v>
      </c>
      <c r="H252" t="s">
        <v>808</v>
      </c>
      <c r="I252" s="12" t="s">
        <v>1107</v>
      </c>
      <c r="K252" s="12" t="s">
        <v>1062</v>
      </c>
      <c r="L252" t="s">
        <v>1111</v>
      </c>
      <c r="M252" s="12" t="s">
        <v>838</v>
      </c>
      <c r="N252" s="12" t="s">
        <v>1190</v>
      </c>
      <c r="O252" t="s">
        <v>61</v>
      </c>
      <c r="P252" s="16">
        <f>PRODUCT(_xlfn.XLOOKUP(F252,Config!$A$2:$A$15,Config!$B$2:$B$15),_xlfn.XLOOKUP(G252,Config!$C$2:$C$7,Config!$D$2:$D$7),_xlfn.XLOOKUP(H252,Config!$E$2:$E$5,Config!$F$2:$F$5),_xlfn.XLOOKUP(I252,Config!$G$2:$G$3,Config!$H$2:$H$3),_xlfn.XLOOKUP(J252,Config!$I$2:$I$3,Config!$J$2:$J$3),_xlfn.XLOOKUP(K252,Config!$K$2:$K$3,Config!$L$2:$L$3),_xlfn.XLOOKUP(L252,Config!$M$2:$M$3,Config!$N$2:$N$3),_xlfn.XLOOKUP(M252,Config!$O$2:$O$6,Config!$P$2:$P$6))</f>
        <v>7.3920425040000003E-4</v>
      </c>
      <c r="Q252" s="22">
        <v>1</v>
      </c>
      <c r="R252" s="16">
        <f>P252*Q252*Config!$B$19</f>
        <v>5.4325333870596751E-4</v>
      </c>
    </row>
    <row r="253" spans="1:19" x14ac:dyDescent="0.45">
      <c r="A253" s="7">
        <v>252</v>
      </c>
      <c r="B253" s="7" t="s">
        <v>613</v>
      </c>
      <c r="C253" s="7" t="s">
        <v>1520</v>
      </c>
      <c r="D253" s="7" t="s">
        <v>1521</v>
      </c>
      <c r="E253" t="s">
        <v>612</v>
      </c>
      <c r="F253" t="s">
        <v>988</v>
      </c>
      <c r="G253" t="s">
        <v>832</v>
      </c>
      <c r="H253" t="s">
        <v>808</v>
      </c>
      <c r="I253" s="12" t="s">
        <v>1107</v>
      </c>
      <c r="K253" s="12" t="s">
        <v>1062</v>
      </c>
      <c r="L253" t="s">
        <v>1111</v>
      </c>
      <c r="M253" s="12" t="s">
        <v>838</v>
      </c>
      <c r="N253" s="12" t="s">
        <v>1190</v>
      </c>
      <c r="O253" t="s">
        <v>611</v>
      </c>
      <c r="P253" s="16">
        <f>PRODUCT(_xlfn.XLOOKUP(F253,Config!$A$2:$A$15,Config!$B$2:$B$15),_xlfn.XLOOKUP(G253,Config!$C$2:$C$7,Config!$D$2:$D$7),_xlfn.XLOOKUP(H253,Config!$E$2:$E$5,Config!$F$2:$F$5),_xlfn.XLOOKUP(I253,Config!$G$2:$G$3,Config!$H$2:$H$3),_xlfn.XLOOKUP(J253,Config!$I$2:$I$3,Config!$J$2:$J$3),_xlfn.XLOOKUP(K253,Config!$K$2:$K$3,Config!$L$2:$L$3),_xlfn.XLOOKUP(L253,Config!$M$2:$M$3,Config!$N$2:$N$3),_xlfn.XLOOKUP(M253,Config!$O$2:$O$6,Config!$P$2:$P$6))</f>
        <v>7.3920425040000003E-4</v>
      </c>
      <c r="Q253" s="22">
        <v>1</v>
      </c>
      <c r="R253" s="16">
        <f>P253*Q253*Config!$B$19</f>
        <v>5.4325333870596751E-4</v>
      </c>
    </row>
    <row r="254" spans="1:19" x14ac:dyDescent="0.45">
      <c r="A254" s="7">
        <v>253</v>
      </c>
      <c r="B254" s="7" t="s">
        <v>472</v>
      </c>
      <c r="C254" s="3" t="s">
        <v>192</v>
      </c>
      <c r="D254" s="3" t="s">
        <v>260</v>
      </c>
      <c r="E254" t="s">
        <v>471</v>
      </c>
      <c r="F254" t="s">
        <v>988</v>
      </c>
      <c r="G254" t="s">
        <v>832</v>
      </c>
      <c r="H254" t="s">
        <v>783</v>
      </c>
      <c r="I254" s="12" t="s">
        <v>1107</v>
      </c>
      <c r="K254" s="12" t="s">
        <v>1062</v>
      </c>
      <c r="L254" s="12" t="s">
        <v>1110</v>
      </c>
      <c r="M254" s="12" t="s">
        <v>838</v>
      </c>
      <c r="N254" s="14" t="s">
        <v>997</v>
      </c>
      <c r="O254" t="s">
        <v>140</v>
      </c>
      <c r="P254" s="16">
        <f>PRODUCT(_xlfn.XLOOKUP(F254,Config!$A$2:$A$15,Config!$B$2:$B$15),_xlfn.XLOOKUP(G254,Config!$C$2:$C$7,Config!$D$2:$D$7),_xlfn.XLOOKUP(H254,Config!$E$2:$E$5,Config!$F$2:$F$5),_xlfn.XLOOKUP(I254,Config!$G$2:$G$3,Config!$H$2:$H$3),_xlfn.XLOOKUP(J254,Config!$I$2:$I$3,Config!$J$2:$J$3),_xlfn.XLOOKUP(K254,Config!$K$2:$K$3,Config!$L$2:$L$3),_xlfn.XLOOKUP(L254,Config!$M$2:$M$3,Config!$N$2:$N$3),_xlfn.XLOOKUP(M254,Config!$O$2:$O$6,Config!$P$2:$P$6))</f>
        <v>1.5232087584000002E-3</v>
      </c>
      <c r="Q254" s="22">
        <v>1</v>
      </c>
      <c r="R254" s="16">
        <f>P254*Q254*Config!$B$19</f>
        <v>1.1194311221819938E-3</v>
      </c>
    </row>
    <row r="255" spans="1:19" x14ac:dyDescent="0.45">
      <c r="A255" s="7">
        <v>254</v>
      </c>
      <c r="B255" s="7" t="s">
        <v>474</v>
      </c>
      <c r="C255" s="7" t="s">
        <v>153</v>
      </c>
      <c r="D255" s="7" t="s">
        <v>259</v>
      </c>
      <c r="E255" t="s">
        <v>470</v>
      </c>
      <c r="F255" t="s">
        <v>988</v>
      </c>
      <c r="G255" t="s">
        <v>832</v>
      </c>
      <c r="H255" t="s">
        <v>783</v>
      </c>
      <c r="I255" s="12" t="s">
        <v>1107</v>
      </c>
      <c r="K255" s="12" t="s">
        <v>1062</v>
      </c>
      <c r="L255" s="12" t="s">
        <v>1110</v>
      </c>
      <c r="M255" s="12" t="s">
        <v>838</v>
      </c>
      <c r="N255" s="12" t="s">
        <v>1190</v>
      </c>
      <c r="O255" t="s">
        <v>152</v>
      </c>
      <c r="P255" s="16">
        <f>PRODUCT(_xlfn.XLOOKUP(F255,Config!$A$2:$A$15,Config!$B$2:$B$15),_xlfn.XLOOKUP(G255,Config!$C$2:$C$7,Config!$D$2:$D$7),_xlfn.XLOOKUP(H255,Config!$E$2:$E$5,Config!$F$2:$F$5),_xlfn.XLOOKUP(I255,Config!$G$2:$G$3,Config!$H$2:$H$3),_xlfn.XLOOKUP(J255,Config!$I$2:$I$3,Config!$J$2:$J$3),_xlfn.XLOOKUP(K255,Config!$K$2:$K$3,Config!$L$2:$L$3),_xlfn.XLOOKUP(L255,Config!$M$2:$M$3,Config!$N$2:$N$3),_xlfn.XLOOKUP(M255,Config!$O$2:$O$6,Config!$P$2:$P$6))</f>
        <v>1.5232087584000002E-3</v>
      </c>
      <c r="Q255" s="22">
        <v>1</v>
      </c>
      <c r="R255" s="16">
        <f>P255*Q255*Config!$B$19</f>
        <v>1.1194311221819938E-3</v>
      </c>
    </row>
    <row r="256" spans="1:19" x14ac:dyDescent="0.45">
      <c r="A256" s="7">
        <v>255</v>
      </c>
      <c r="B256" s="7" t="s">
        <v>193</v>
      </c>
      <c r="C256" s="7" t="s">
        <v>485</v>
      </c>
      <c r="D256" s="7" t="s">
        <v>486</v>
      </c>
      <c r="E256" t="s">
        <v>180</v>
      </c>
      <c r="F256" t="s">
        <v>988</v>
      </c>
      <c r="G256" t="s">
        <v>832</v>
      </c>
      <c r="H256" t="s">
        <v>783</v>
      </c>
      <c r="I256" s="12" t="s">
        <v>1107</v>
      </c>
      <c r="K256" s="12" t="s">
        <v>1062</v>
      </c>
      <c r="L256" s="12" t="s">
        <v>1110</v>
      </c>
      <c r="M256" s="12" t="s">
        <v>838</v>
      </c>
      <c r="N256" s="12" t="s">
        <v>1190</v>
      </c>
      <c r="O256" t="s">
        <v>179</v>
      </c>
      <c r="P256" s="16">
        <f>PRODUCT(_xlfn.XLOOKUP(F256,Config!$A$2:$A$15,Config!$B$2:$B$15),_xlfn.XLOOKUP(G256,Config!$C$2:$C$7,Config!$D$2:$D$7),_xlfn.XLOOKUP(H256,Config!$E$2:$E$5,Config!$F$2:$F$5),_xlfn.XLOOKUP(I256,Config!$G$2:$G$3,Config!$H$2:$H$3),_xlfn.XLOOKUP(J256,Config!$I$2:$I$3,Config!$J$2:$J$3),_xlfn.XLOOKUP(K256,Config!$K$2:$K$3,Config!$L$2:$L$3),_xlfn.XLOOKUP(L256,Config!$M$2:$M$3,Config!$N$2:$N$3),_xlfn.XLOOKUP(M256,Config!$O$2:$O$6,Config!$P$2:$P$6))</f>
        <v>1.5232087584000002E-3</v>
      </c>
      <c r="Q256" s="22">
        <v>1</v>
      </c>
      <c r="R256" s="16">
        <f>P256*Q256*Config!$B$19</f>
        <v>1.1194311221819938E-3</v>
      </c>
    </row>
    <row r="257" spans="1:19" x14ac:dyDescent="0.45">
      <c r="A257" s="7">
        <v>256</v>
      </c>
      <c r="B257" s="7" t="s">
        <v>952</v>
      </c>
      <c r="C257" s="7" t="s">
        <v>953</v>
      </c>
      <c r="D257" s="7" t="s">
        <v>954</v>
      </c>
      <c r="E257" t="s">
        <v>955</v>
      </c>
      <c r="F257" t="s">
        <v>995</v>
      </c>
      <c r="G257" t="s">
        <v>832</v>
      </c>
      <c r="H257" t="s">
        <v>783</v>
      </c>
      <c r="I257" s="12" t="s">
        <v>1107</v>
      </c>
      <c r="K257" s="12" t="s">
        <v>1062</v>
      </c>
      <c r="L257" s="12" t="s">
        <v>1110</v>
      </c>
      <c r="M257" s="12" t="s">
        <v>838</v>
      </c>
      <c r="N257" s="12" t="s">
        <v>1190</v>
      </c>
      <c r="O257" t="s">
        <v>956</v>
      </c>
      <c r="P257" s="16">
        <f>PRODUCT(_xlfn.XLOOKUP(F257,Config!$A$2:$A$15,Config!$B$2:$B$15),_xlfn.XLOOKUP(G257,Config!$C$2:$C$7,Config!$D$2:$D$7),_xlfn.XLOOKUP(H257,Config!$E$2:$E$5,Config!$F$2:$F$5),_xlfn.XLOOKUP(I257,Config!$G$2:$G$3,Config!$H$2:$H$3),_xlfn.XLOOKUP(J257,Config!$I$2:$I$3,Config!$J$2:$J$3),_xlfn.XLOOKUP(K257,Config!$K$2:$K$3,Config!$L$2:$L$3),_xlfn.XLOOKUP(L257,Config!$M$2:$M$3,Config!$N$2:$N$3),_xlfn.XLOOKUP(M257,Config!$O$2:$O$6,Config!$P$2:$P$6))</f>
        <v>5.7120328439999991E-4</v>
      </c>
      <c r="Q257" s="22">
        <v>1</v>
      </c>
      <c r="R257" s="16">
        <f>P257*Q257*Config!$B$19</f>
        <v>4.1978667081824753E-4</v>
      </c>
    </row>
    <row r="258" spans="1:19" x14ac:dyDescent="0.45">
      <c r="A258" s="7">
        <v>257</v>
      </c>
      <c r="B258" s="7" t="s">
        <v>1038</v>
      </c>
      <c r="C258" s="7" t="s">
        <v>1039</v>
      </c>
      <c r="D258" s="7" t="s">
        <v>1040</v>
      </c>
      <c r="E258" t="s">
        <v>1041</v>
      </c>
      <c r="F258" t="s">
        <v>993</v>
      </c>
      <c r="G258" t="s">
        <v>832</v>
      </c>
      <c r="H258" t="s">
        <v>783</v>
      </c>
      <c r="I258" s="12" t="s">
        <v>1107</v>
      </c>
      <c r="K258" s="14" t="s">
        <v>1082</v>
      </c>
      <c r="L258" s="12" t="s">
        <v>1110</v>
      </c>
      <c r="M258" s="12" t="s">
        <v>838</v>
      </c>
      <c r="N258" s="12" t="s">
        <v>1190</v>
      </c>
      <c r="P258" s="16">
        <f>PRODUCT(_xlfn.XLOOKUP(F258,Config!$A$2:$A$15,Config!$B$2:$B$15),_xlfn.XLOOKUP(G258,Config!$C$2:$C$7,Config!$D$2:$D$7),_xlfn.XLOOKUP(H258,Config!$E$2:$E$5,Config!$F$2:$F$5),_xlfn.XLOOKUP(I258,Config!$G$2:$G$3,Config!$H$2:$H$3),_xlfn.XLOOKUP(J258,Config!$I$2:$I$3,Config!$J$2:$J$3),_xlfn.XLOOKUP(K258,Config!$K$2:$K$3,Config!$L$2:$L$3),_xlfn.XLOOKUP(L258,Config!$M$2:$M$3,Config!$N$2:$N$3),_xlfn.XLOOKUP(M258,Config!$O$2:$O$6,Config!$P$2:$P$6))</f>
        <v>4.2993795600000004E-5</v>
      </c>
      <c r="Q258" s="22">
        <v>1</v>
      </c>
      <c r="R258" s="16">
        <f>P258*Q258*Config!$B$19</f>
        <v>3.1596846190620788E-5</v>
      </c>
      <c r="S258" t="s">
        <v>1042</v>
      </c>
    </row>
    <row r="259" spans="1:19" x14ac:dyDescent="0.45">
      <c r="A259" s="7">
        <v>258</v>
      </c>
      <c r="B259" s="7" t="s">
        <v>1067</v>
      </c>
      <c r="C259" s="7" t="s">
        <v>1073</v>
      </c>
      <c r="D259" s="7" t="s">
        <v>1079</v>
      </c>
      <c r="E259" t="s">
        <v>1045</v>
      </c>
      <c r="F259" t="s">
        <v>993</v>
      </c>
      <c r="G259" t="s">
        <v>832</v>
      </c>
      <c r="H259" t="s">
        <v>783</v>
      </c>
      <c r="I259" s="12" t="s">
        <v>1107</v>
      </c>
      <c r="K259" s="14" t="s">
        <v>1082</v>
      </c>
      <c r="L259" s="12" t="s">
        <v>1110</v>
      </c>
      <c r="M259" s="12" t="s">
        <v>838</v>
      </c>
      <c r="N259" s="12" t="s">
        <v>1190</v>
      </c>
      <c r="P259" s="16">
        <f>PRODUCT(_xlfn.XLOOKUP(F259,Config!$A$2:$A$15,Config!$B$2:$B$15),_xlfn.XLOOKUP(G259,Config!$C$2:$C$7,Config!$D$2:$D$7),_xlfn.XLOOKUP(H259,Config!$E$2:$E$5,Config!$F$2:$F$5),_xlfn.XLOOKUP(I259,Config!$G$2:$G$3,Config!$H$2:$H$3),_xlfn.XLOOKUP(J259,Config!$I$2:$I$3,Config!$J$2:$J$3),_xlfn.XLOOKUP(K259,Config!$K$2:$K$3,Config!$L$2:$L$3),_xlfn.XLOOKUP(L259,Config!$M$2:$M$3,Config!$N$2:$N$3),_xlfn.XLOOKUP(M259,Config!$O$2:$O$6,Config!$P$2:$P$6))</f>
        <v>4.2993795600000004E-5</v>
      </c>
      <c r="Q259" s="22">
        <v>1</v>
      </c>
      <c r="R259" s="16">
        <f>P259*Q259*Config!$B$19</f>
        <v>3.1596846190620788E-5</v>
      </c>
      <c r="S259" t="s">
        <v>1046</v>
      </c>
    </row>
    <row r="260" spans="1:19" x14ac:dyDescent="0.45">
      <c r="A260" s="7">
        <v>259</v>
      </c>
      <c r="B260" s="7" t="s">
        <v>1033</v>
      </c>
      <c r="C260" s="7" t="s">
        <v>1034</v>
      </c>
      <c r="D260" s="7" t="s">
        <v>1035</v>
      </c>
      <c r="E260" t="s">
        <v>1036</v>
      </c>
      <c r="F260" t="s">
        <v>988</v>
      </c>
      <c r="G260" t="s">
        <v>832</v>
      </c>
      <c r="H260" t="s">
        <v>783</v>
      </c>
      <c r="I260" s="12" t="s">
        <v>1107</v>
      </c>
      <c r="K260" s="14" t="s">
        <v>1082</v>
      </c>
      <c r="L260" s="12" t="s">
        <v>1110</v>
      </c>
      <c r="M260" s="12" t="s">
        <v>838</v>
      </c>
      <c r="N260" s="12" t="s">
        <v>1190</v>
      </c>
      <c r="P260" s="16">
        <f>PRODUCT(_xlfn.XLOOKUP(F260,Config!$A$2:$A$15,Config!$B$2:$B$15),_xlfn.XLOOKUP(G260,Config!$C$2:$C$7,Config!$D$2:$D$7),_xlfn.XLOOKUP(H260,Config!$E$2:$E$5,Config!$F$2:$F$5),_xlfn.XLOOKUP(I260,Config!$G$2:$G$3,Config!$H$2:$H$3),_xlfn.XLOOKUP(J260,Config!$I$2:$I$3,Config!$J$2:$J$3),_xlfn.XLOOKUP(K260,Config!$K$2:$K$3,Config!$L$2:$L$3),_xlfn.XLOOKUP(L260,Config!$M$2:$M$3,Config!$N$2:$N$3),_xlfn.XLOOKUP(M260,Config!$O$2:$O$6,Config!$P$2:$P$6))</f>
        <v>1.146501216E-4</v>
      </c>
      <c r="Q260" s="22">
        <v>1</v>
      </c>
      <c r="R260" s="16">
        <f>P260*Q260*Config!$B$19</f>
        <v>8.4258256508322102E-5</v>
      </c>
      <c r="S260" t="s">
        <v>1037</v>
      </c>
    </row>
    <row r="261" spans="1:19" x14ac:dyDescent="0.45">
      <c r="A261" s="7">
        <v>260</v>
      </c>
      <c r="B261" s="7" t="s">
        <v>1066</v>
      </c>
      <c r="C261" s="7" t="s">
        <v>1072</v>
      </c>
      <c r="D261" s="7" t="s">
        <v>1078</v>
      </c>
      <c r="E261" t="s">
        <v>1043</v>
      </c>
      <c r="F261" t="s">
        <v>988</v>
      </c>
      <c r="G261" t="s">
        <v>832</v>
      </c>
      <c r="H261" t="s">
        <v>783</v>
      </c>
      <c r="I261" s="12" t="s">
        <v>1107</v>
      </c>
      <c r="K261" s="14" t="s">
        <v>1082</v>
      </c>
      <c r="L261" s="12" t="s">
        <v>1110</v>
      </c>
      <c r="M261" s="12" t="s">
        <v>838</v>
      </c>
      <c r="N261" s="12" t="s">
        <v>1190</v>
      </c>
      <c r="P261" s="16">
        <f>PRODUCT(_xlfn.XLOOKUP(F261,Config!$A$2:$A$15,Config!$B$2:$B$15),_xlfn.XLOOKUP(G261,Config!$C$2:$C$7,Config!$D$2:$D$7),_xlfn.XLOOKUP(H261,Config!$E$2:$E$5,Config!$F$2:$F$5),_xlfn.XLOOKUP(I261,Config!$G$2:$G$3,Config!$H$2:$H$3),_xlfn.XLOOKUP(J261,Config!$I$2:$I$3,Config!$J$2:$J$3),_xlfn.XLOOKUP(K261,Config!$K$2:$K$3,Config!$L$2:$L$3),_xlfn.XLOOKUP(L261,Config!$M$2:$M$3,Config!$N$2:$N$3),_xlfn.XLOOKUP(M261,Config!$O$2:$O$6,Config!$P$2:$P$6))</f>
        <v>1.146501216E-4</v>
      </c>
      <c r="Q261" s="22">
        <v>1</v>
      </c>
      <c r="R261" s="16">
        <f>P261*Q261*Config!$B$19</f>
        <v>8.4258256508322102E-5</v>
      </c>
      <c r="S261" t="s">
        <v>1044</v>
      </c>
    </row>
    <row r="262" spans="1:19" x14ac:dyDescent="0.45">
      <c r="A262" s="7">
        <v>261</v>
      </c>
      <c r="B262" s="7" t="s">
        <v>812</v>
      </c>
      <c r="C262" s="3" t="s">
        <v>82</v>
      </c>
      <c r="D262" s="3" t="s">
        <v>778</v>
      </c>
      <c r="F262" t="s">
        <v>988</v>
      </c>
      <c r="G262" t="s">
        <v>832</v>
      </c>
      <c r="H262" t="s">
        <v>783</v>
      </c>
      <c r="I262" s="12" t="s">
        <v>1107</v>
      </c>
      <c r="K262" s="12" t="s">
        <v>1062</v>
      </c>
      <c r="L262" s="12" t="s">
        <v>1110</v>
      </c>
      <c r="M262" t="s">
        <v>837</v>
      </c>
      <c r="N262" s="12" t="s">
        <v>1190</v>
      </c>
      <c r="O262" t="s">
        <v>84</v>
      </c>
      <c r="P262" s="16">
        <f>PRODUCT(_xlfn.XLOOKUP(F262,Config!$A$2:$A$15,Config!$B$2:$B$15),_xlfn.XLOOKUP(G262,Config!$C$2:$C$7,Config!$D$2:$D$7),_xlfn.XLOOKUP(H262,Config!$E$2:$E$5,Config!$F$2:$F$5),_xlfn.XLOOKUP(I262,Config!$G$2:$G$3,Config!$H$2:$H$3),_xlfn.XLOOKUP(J262,Config!$I$2:$I$3,Config!$J$2:$J$3),_xlfn.XLOOKUP(K262,Config!$K$2:$K$3,Config!$L$2:$L$3),_xlfn.XLOOKUP(L262,Config!$M$2:$M$3,Config!$N$2:$N$3),_xlfn.XLOOKUP(M262,Config!$O$2:$O$6,Config!$P$2:$P$6))</f>
        <v>1.2693406320000002E-4</v>
      </c>
      <c r="Q262" s="22">
        <v>1</v>
      </c>
      <c r="R262" s="16">
        <f>P262*Q262*Config!$B$19</f>
        <v>9.3285926848499478E-5</v>
      </c>
    </row>
    <row r="263" spans="1:19" x14ac:dyDescent="0.45">
      <c r="A263" s="7">
        <v>262</v>
      </c>
      <c r="B263" s="7" t="s">
        <v>484</v>
      </c>
      <c r="C263" s="7" t="s">
        <v>737</v>
      </c>
      <c r="D263" s="7" t="s">
        <v>481</v>
      </c>
      <c r="E263" s="2" t="s">
        <v>115</v>
      </c>
      <c r="F263" t="s">
        <v>988</v>
      </c>
      <c r="G263" t="s">
        <v>832</v>
      </c>
      <c r="H263" t="s">
        <v>783</v>
      </c>
      <c r="I263" s="12" t="s">
        <v>1107</v>
      </c>
      <c r="J263" s="2"/>
      <c r="K263" s="12" t="s">
        <v>1062</v>
      </c>
      <c r="L263" s="12" t="s">
        <v>1110</v>
      </c>
      <c r="M263" t="s">
        <v>836</v>
      </c>
      <c r="N263" s="12" t="s">
        <v>1190</v>
      </c>
      <c r="O263" s="2" t="s">
        <v>119</v>
      </c>
      <c r="P263" s="16">
        <f>PRODUCT(_xlfn.XLOOKUP(F263,Config!$A$2:$A$15,Config!$B$2:$B$15),_xlfn.XLOOKUP(G263,Config!$C$2:$C$7,Config!$D$2:$D$7),_xlfn.XLOOKUP(H263,Config!$E$2:$E$5,Config!$F$2:$F$5),_xlfn.XLOOKUP(I263,Config!$G$2:$G$3,Config!$H$2:$H$3),_xlfn.XLOOKUP(J263,Config!$I$2:$I$3,Config!$J$2:$J$3),_xlfn.XLOOKUP(K263,Config!$K$2:$K$3,Config!$L$2:$L$3),_xlfn.XLOOKUP(L263,Config!$M$2:$M$3,Config!$N$2:$N$3),_xlfn.XLOOKUP(M263,Config!$O$2:$O$6,Config!$P$2:$P$6))</f>
        <v>3.8080218960000005E-4</v>
      </c>
      <c r="Q263" s="22">
        <v>1</v>
      </c>
      <c r="R263" s="16">
        <f>P263*Q263*Config!$B$19</f>
        <v>2.7985778054549846E-4</v>
      </c>
    </row>
    <row r="264" spans="1:19" x14ac:dyDescent="0.45">
      <c r="A264" s="7">
        <v>263</v>
      </c>
      <c r="B264" s="7" t="s">
        <v>854</v>
      </c>
      <c r="C264" s="7" t="s">
        <v>477</v>
      </c>
      <c r="D264" s="7" t="s">
        <v>478</v>
      </c>
      <c r="E264" t="s">
        <v>138</v>
      </c>
      <c r="F264" t="s">
        <v>988</v>
      </c>
      <c r="G264" t="s">
        <v>832</v>
      </c>
      <c r="H264" t="s">
        <v>783</v>
      </c>
      <c r="I264" s="12" t="s">
        <v>1107</v>
      </c>
      <c r="K264" s="12" t="s">
        <v>1062</v>
      </c>
      <c r="L264" t="s">
        <v>1111</v>
      </c>
      <c r="M264" s="12" t="s">
        <v>838</v>
      </c>
      <c r="N264" s="12" t="s">
        <v>1190</v>
      </c>
      <c r="O264" t="s">
        <v>139</v>
      </c>
      <c r="P264" s="16">
        <f>PRODUCT(_xlfn.XLOOKUP(F264,Config!$A$2:$A$15,Config!$B$2:$B$15),_xlfn.XLOOKUP(G264,Config!$C$2:$C$7,Config!$D$2:$D$7),_xlfn.XLOOKUP(H264,Config!$E$2:$E$5,Config!$F$2:$F$5),_xlfn.XLOOKUP(I264,Config!$G$2:$G$3,Config!$H$2:$H$3),_xlfn.XLOOKUP(J264,Config!$I$2:$I$3,Config!$J$2:$J$3),_xlfn.XLOOKUP(K264,Config!$K$2:$K$3,Config!$L$2:$L$3),_xlfn.XLOOKUP(L264,Config!$M$2:$M$3,Config!$N$2:$N$3),_xlfn.XLOOKUP(M264,Config!$O$2:$O$6,Config!$P$2:$P$6))</f>
        <v>2.6880154560000001E-4</v>
      </c>
      <c r="Q264" s="22">
        <v>1</v>
      </c>
      <c r="R264" s="16">
        <f>P264*Q264*Config!$B$19</f>
        <v>1.9754666862035182E-4</v>
      </c>
    </row>
    <row r="265" spans="1:19" x14ac:dyDescent="0.45">
      <c r="A265" s="7">
        <v>264</v>
      </c>
      <c r="B265" s="7" t="s">
        <v>1546</v>
      </c>
      <c r="C265" s="7" t="s">
        <v>1626</v>
      </c>
      <c r="D265" s="7" t="s">
        <v>1552</v>
      </c>
      <c r="F265" t="s">
        <v>984</v>
      </c>
      <c r="G265" t="s">
        <v>833</v>
      </c>
      <c r="H265" t="s">
        <v>808</v>
      </c>
      <c r="I265" s="12" t="s">
        <v>1107</v>
      </c>
      <c r="K265" s="12" t="s">
        <v>1062</v>
      </c>
      <c r="L265" s="12" t="s">
        <v>1110</v>
      </c>
      <c r="M265" s="12" t="s">
        <v>838</v>
      </c>
      <c r="N265" s="12" t="s">
        <v>1190</v>
      </c>
      <c r="O265" t="s">
        <v>640</v>
      </c>
      <c r="P265" s="16">
        <f>PRODUCT(_xlfn.XLOOKUP(F265,Config!$A$2:$A$15,Config!$B$2:$B$15),_xlfn.XLOOKUP(G265,Config!$C$2:$C$7,Config!$D$2:$D$7),_xlfn.XLOOKUP(H265,Config!$E$2:$E$5,Config!$F$2:$F$5),_xlfn.XLOOKUP(I265,Config!$G$2:$G$3,Config!$H$2:$H$3),_xlfn.XLOOKUP(J265,Config!$I$2:$I$3,Config!$J$2:$J$3),_xlfn.XLOOKUP(K265,Config!$K$2:$K$3,Config!$L$2:$L$3),_xlfn.XLOOKUP(L265,Config!$M$2:$M$3,Config!$N$2:$N$3),_xlfn.XLOOKUP(M265,Config!$O$2:$O$6,Config!$P$2:$P$6))</f>
        <v>1.6197838272000004E-3</v>
      </c>
      <c r="Q265" s="22">
        <v>1</v>
      </c>
      <c r="R265" s="16">
        <f>P265*Q265*Config!$B$19</f>
        <v>1.1904057256599482E-3</v>
      </c>
    </row>
    <row r="266" spans="1:19" x14ac:dyDescent="0.45">
      <c r="A266" s="7">
        <v>265</v>
      </c>
      <c r="B266" s="7" t="s">
        <v>1630</v>
      </c>
      <c r="C266" s="7" t="s">
        <v>1560</v>
      </c>
      <c r="D266" s="7" t="s">
        <v>1562</v>
      </c>
      <c r="F266" t="s">
        <v>984</v>
      </c>
      <c r="G266" t="s">
        <v>833</v>
      </c>
      <c r="H266" t="s">
        <v>808</v>
      </c>
      <c r="I266" s="12" t="s">
        <v>1107</v>
      </c>
      <c r="K266" s="12" t="s">
        <v>1062</v>
      </c>
      <c r="L266" s="12" t="s">
        <v>1110</v>
      </c>
      <c r="M266" s="12" t="s">
        <v>838</v>
      </c>
      <c r="N266" s="12" t="s">
        <v>1190</v>
      </c>
      <c r="P266" s="16">
        <f>PRODUCT(_xlfn.XLOOKUP(F266,Config!$A$2:$A$15,Config!$B$2:$B$15),_xlfn.XLOOKUP(G266,Config!$C$2:$C$7,Config!$D$2:$D$7),_xlfn.XLOOKUP(H266,Config!$E$2:$E$5,Config!$F$2:$F$5),_xlfn.XLOOKUP(I266,Config!$G$2:$G$3,Config!$H$2:$H$3),_xlfn.XLOOKUP(J266,Config!$I$2:$I$3,Config!$J$2:$J$3),_xlfn.XLOOKUP(K266,Config!$K$2:$K$3,Config!$L$2:$L$3),_xlfn.XLOOKUP(L266,Config!$M$2:$M$3,Config!$N$2:$N$3),_xlfn.XLOOKUP(M266,Config!$O$2:$O$6,Config!$P$2:$P$6))</f>
        <v>1.6197838272000004E-3</v>
      </c>
      <c r="Q266" s="22">
        <v>1</v>
      </c>
      <c r="R266" s="16">
        <f>P266*Q266*Config!$B$19</f>
        <v>1.1904057256599482E-3</v>
      </c>
    </row>
    <row r="267" spans="1:19" x14ac:dyDescent="0.45">
      <c r="A267" s="7">
        <v>266</v>
      </c>
      <c r="B267" s="7" t="s">
        <v>1546</v>
      </c>
      <c r="C267" s="7" t="s">
        <v>1626</v>
      </c>
      <c r="D267" s="7" t="s">
        <v>1552</v>
      </c>
      <c r="F267" t="s">
        <v>971</v>
      </c>
      <c r="G267" t="s">
        <v>833</v>
      </c>
      <c r="H267" t="s">
        <v>808</v>
      </c>
      <c r="I267" s="12" t="s">
        <v>1107</v>
      </c>
      <c r="K267" s="12" t="s">
        <v>1062</v>
      </c>
      <c r="L267" s="12" t="s">
        <v>1110</v>
      </c>
      <c r="M267" s="12" t="s">
        <v>838</v>
      </c>
      <c r="N267" s="12" t="s">
        <v>1190</v>
      </c>
      <c r="P267" s="16">
        <f>PRODUCT(_xlfn.XLOOKUP(F267,Config!$A$2:$A$15,Config!$B$2:$B$15),_xlfn.XLOOKUP(G267,Config!$C$2:$C$7,Config!$D$2:$D$7),_xlfn.XLOOKUP(H267,Config!$E$2:$E$5,Config!$F$2:$F$5),_xlfn.XLOOKUP(I267,Config!$G$2:$G$3,Config!$H$2:$H$3),_xlfn.XLOOKUP(J267,Config!$I$2:$I$3,Config!$J$2:$J$3),_xlfn.XLOOKUP(K267,Config!$K$2:$K$3,Config!$L$2:$L$3),_xlfn.XLOOKUP(L267,Config!$M$2:$M$3,Config!$N$2:$N$3),_xlfn.XLOOKUP(M267,Config!$O$2:$O$6,Config!$P$2:$P$6))</f>
        <v>9.1112840280000026E-4</v>
      </c>
      <c r="Q267" s="22">
        <v>1</v>
      </c>
      <c r="R267" s="16">
        <f>P267*Q267*Config!$B$19</f>
        <v>6.6960322068372092E-4</v>
      </c>
    </row>
    <row r="268" spans="1:19" x14ac:dyDescent="0.45">
      <c r="A268" s="7">
        <v>267</v>
      </c>
      <c r="B268" s="7" t="s">
        <v>1630</v>
      </c>
      <c r="C268" s="7" t="s">
        <v>1560</v>
      </c>
      <c r="D268" s="7" t="s">
        <v>1562</v>
      </c>
      <c r="F268" t="s">
        <v>971</v>
      </c>
      <c r="G268" t="s">
        <v>833</v>
      </c>
      <c r="H268" t="s">
        <v>808</v>
      </c>
      <c r="I268" s="12" t="s">
        <v>1107</v>
      </c>
      <c r="K268" s="12" t="s">
        <v>1062</v>
      </c>
      <c r="L268" s="12" t="s">
        <v>1110</v>
      </c>
      <c r="M268" s="12" t="s">
        <v>838</v>
      </c>
      <c r="N268" s="12" t="s">
        <v>1190</v>
      </c>
      <c r="P268" s="16">
        <f>PRODUCT(_xlfn.XLOOKUP(F268,Config!$A$2:$A$15,Config!$B$2:$B$15),_xlfn.XLOOKUP(G268,Config!$C$2:$C$7,Config!$D$2:$D$7),_xlfn.XLOOKUP(H268,Config!$E$2:$E$5,Config!$F$2:$F$5),_xlfn.XLOOKUP(I268,Config!$G$2:$G$3,Config!$H$2:$H$3),_xlfn.XLOOKUP(J268,Config!$I$2:$I$3,Config!$J$2:$J$3),_xlfn.XLOOKUP(K268,Config!$K$2:$K$3,Config!$L$2:$L$3),_xlfn.XLOOKUP(L268,Config!$M$2:$M$3,Config!$N$2:$N$3),_xlfn.XLOOKUP(M268,Config!$O$2:$O$6,Config!$P$2:$P$6))</f>
        <v>9.1112840280000026E-4</v>
      </c>
      <c r="Q268" s="22">
        <v>1</v>
      </c>
      <c r="R268" s="16">
        <f>P268*Q268*Config!$B$19</f>
        <v>6.6960322068372092E-4</v>
      </c>
    </row>
    <row r="269" spans="1:19" x14ac:dyDescent="0.45">
      <c r="A269" s="7">
        <v>268</v>
      </c>
      <c r="B269" s="7" t="s">
        <v>1546</v>
      </c>
      <c r="C269" s="7" t="s">
        <v>1626</v>
      </c>
      <c r="D269" s="7" t="s">
        <v>1552</v>
      </c>
      <c r="F269" t="s">
        <v>985</v>
      </c>
      <c r="G269" t="s">
        <v>833</v>
      </c>
      <c r="H269" t="s">
        <v>808</v>
      </c>
      <c r="I269" s="12" t="s">
        <v>1107</v>
      </c>
      <c r="K269" s="12" t="s">
        <v>1062</v>
      </c>
      <c r="L269" s="12" t="s">
        <v>1110</v>
      </c>
      <c r="M269" s="12" t="s">
        <v>838</v>
      </c>
      <c r="N269" s="12" t="s">
        <v>1190</v>
      </c>
      <c r="P269" s="16">
        <f>PRODUCT(_xlfn.XLOOKUP(F269,Config!$A$2:$A$15,Config!$B$2:$B$15),_xlfn.XLOOKUP(G269,Config!$C$2:$C$7,Config!$D$2:$D$7),_xlfn.XLOOKUP(H269,Config!$E$2:$E$5,Config!$F$2:$F$5),_xlfn.XLOOKUP(I269,Config!$G$2:$G$3,Config!$H$2:$H$3),_xlfn.XLOOKUP(J269,Config!$I$2:$I$3,Config!$J$2:$J$3),_xlfn.XLOOKUP(K269,Config!$K$2:$K$3,Config!$L$2:$L$3),_xlfn.XLOOKUP(L269,Config!$M$2:$M$3,Config!$N$2:$N$3),_xlfn.XLOOKUP(M269,Config!$O$2:$O$6,Config!$P$2:$P$6))</f>
        <v>1.3989042144000002E-3</v>
      </c>
      <c r="Q269" s="22">
        <v>1</v>
      </c>
      <c r="R269" s="16">
        <f>P269*Q269*Config!$B$19</f>
        <v>1.0280776721608644E-3</v>
      </c>
    </row>
    <row r="270" spans="1:19" x14ac:dyDescent="0.45">
      <c r="A270" s="7">
        <v>269</v>
      </c>
      <c r="B270" s="7" t="s">
        <v>1630</v>
      </c>
      <c r="C270" s="7" t="s">
        <v>1560</v>
      </c>
      <c r="D270" s="7" t="s">
        <v>1562</v>
      </c>
      <c r="F270" t="s">
        <v>985</v>
      </c>
      <c r="G270" t="s">
        <v>833</v>
      </c>
      <c r="H270" t="s">
        <v>808</v>
      </c>
      <c r="I270" s="12" t="s">
        <v>1107</v>
      </c>
      <c r="K270" s="12" t="s">
        <v>1062</v>
      </c>
      <c r="L270" s="12" t="s">
        <v>1110</v>
      </c>
      <c r="M270" s="12" t="s">
        <v>838</v>
      </c>
      <c r="N270" s="12" t="s">
        <v>1190</v>
      </c>
      <c r="P270" s="16">
        <f>PRODUCT(_xlfn.XLOOKUP(F270,Config!$A$2:$A$15,Config!$B$2:$B$15),_xlfn.XLOOKUP(G270,Config!$C$2:$C$7,Config!$D$2:$D$7),_xlfn.XLOOKUP(H270,Config!$E$2:$E$5,Config!$F$2:$F$5),_xlfn.XLOOKUP(I270,Config!$G$2:$G$3,Config!$H$2:$H$3),_xlfn.XLOOKUP(J270,Config!$I$2:$I$3,Config!$J$2:$J$3),_xlfn.XLOOKUP(K270,Config!$K$2:$K$3,Config!$L$2:$L$3),_xlfn.XLOOKUP(L270,Config!$M$2:$M$3,Config!$N$2:$N$3),_xlfn.XLOOKUP(M270,Config!$O$2:$O$6,Config!$P$2:$P$6))</f>
        <v>1.3989042144000002E-3</v>
      </c>
      <c r="Q270" s="22">
        <v>1</v>
      </c>
      <c r="R270" s="16">
        <f>P270*Q270*Config!$B$19</f>
        <v>1.0280776721608644E-3</v>
      </c>
    </row>
    <row r="271" spans="1:19" x14ac:dyDescent="0.45">
      <c r="A271" s="7">
        <v>270</v>
      </c>
      <c r="B271" s="7" t="s">
        <v>1546</v>
      </c>
      <c r="C271" s="7" t="s">
        <v>1626</v>
      </c>
      <c r="D271" s="7" t="s">
        <v>1552</v>
      </c>
      <c r="F271" t="s">
        <v>986</v>
      </c>
      <c r="G271" t="s">
        <v>833</v>
      </c>
      <c r="H271" t="s">
        <v>808</v>
      </c>
      <c r="I271" s="12" t="s">
        <v>1107</v>
      </c>
      <c r="K271" s="12" t="s">
        <v>1062</v>
      </c>
      <c r="L271" s="12" t="s">
        <v>1110</v>
      </c>
      <c r="M271" s="12" t="s">
        <v>838</v>
      </c>
      <c r="N271" s="12" t="s">
        <v>1190</v>
      </c>
      <c r="P271" s="16">
        <f>PRODUCT(_xlfn.XLOOKUP(F271,Config!$A$2:$A$15,Config!$B$2:$B$15),_xlfn.XLOOKUP(G271,Config!$C$2:$C$7,Config!$D$2:$D$7),_xlfn.XLOOKUP(H271,Config!$E$2:$E$5,Config!$F$2:$F$5),_xlfn.XLOOKUP(I271,Config!$G$2:$G$3,Config!$H$2:$H$3),_xlfn.XLOOKUP(J271,Config!$I$2:$I$3,Config!$J$2:$J$3),_xlfn.XLOOKUP(K271,Config!$K$2:$K$3,Config!$L$2:$L$3),_xlfn.XLOOKUP(L271,Config!$M$2:$M$3,Config!$N$2:$N$3),_xlfn.XLOOKUP(M271,Config!$O$2:$O$6,Config!$P$2:$P$6))</f>
        <v>7.8688362060000026E-4</v>
      </c>
      <c r="Q271" s="22">
        <v>1</v>
      </c>
      <c r="R271" s="16">
        <f>P271*Q271*Config!$B$19</f>
        <v>5.7829369059048629E-4</v>
      </c>
    </row>
    <row r="272" spans="1:19" x14ac:dyDescent="0.45">
      <c r="A272" s="7">
        <v>271</v>
      </c>
      <c r="B272" s="7" t="s">
        <v>1630</v>
      </c>
      <c r="C272" s="7" t="s">
        <v>1560</v>
      </c>
      <c r="D272" s="7" t="s">
        <v>1562</v>
      </c>
      <c r="F272" t="s">
        <v>986</v>
      </c>
      <c r="G272" t="s">
        <v>833</v>
      </c>
      <c r="H272" t="s">
        <v>808</v>
      </c>
      <c r="I272" s="12" t="s">
        <v>1107</v>
      </c>
      <c r="K272" s="12" t="s">
        <v>1062</v>
      </c>
      <c r="L272" s="12" t="s">
        <v>1110</v>
      </c>
      <c r="M272" s="12" t="s">
        <v>838</v>
      </c>
      <c r="N272" s="12" t="s">
        <v>1190</v>
      </c>
      <c r="P272" s="16">
        <f>PRODUCT(_xlfn.XLOOKUP(F272,Config!$A$2:$A$15,Config!$B$2:$B$15),_xlfn.XLOOKUP(G272,Config!$C$2:$C$7,Config!$D$2:$D$7),_xlfn.XLOOKUP(H272,Config!$E$2:$E$5,Config!$F$2:$F$5),_xlfn.XLOOKUP(I272,Config!$G$2:$G$3,Config!$H$2:$H$3),_xlfn.XLOOKUP(J272,Config!$I$2:$I$3,Config!$J$2:$J$3),_xlfn.XLOOKUP(K272,Config!$K$2:$K$3,Config!$L$2:$L$3),_xlfn.XLOOKUP(L272,Config!$M$2:$M$3,Config!$N$2:$N$3),_xlfn.XLOOKUP(M272,Config!$O$2:$O$6,Config!$P$2:$P$6))</f>
        <v>7.8688362060000026E-4</v>
      </c>
      <c r="Q272" s="22">
        <v>1</v>
      </c>
      <c r="R272" s="16">
        <f>P272*Q272*Config!$B$19</f>
        <v>5.7829369059048629E-4</v>
      </c>
    </row>
    <row r="273" spans="1:18" x14ac:dyDescent="0.45">
      <c r="A273" s="7">
        <v>272</v>
      </c>
      <c r="B273" s="7" t="s">
        <v>1546</v>
      </c>
      <c r="C273" s="7" t="s">
        <v>1626</v>
      </c>
      <c r="D273" s="7" t="s">
        <v>1552</v>
      </c>
      <c r="F273" t="s">
        <v>1010</v>
      </c>
      <c r="G273" t="s">
        <v>833</v>
      </c>
      <c r="H273" t="s">
        <v>808</v>
      </c>
      <c r="I273" s="12" t="s">
        <v>1107</v>
      </c>
      <c r="K273" s="12" t="s">
        <v>1062</v>
      </c>
      <c r="L273" s="12" t="s">
        <v>1110</v>
      </c>
      <c r="M273" s="12" t="s">
        <v>838</v>
      </c>
      <c r="N273" s="12" t="s">
        <v>1190</v>
      </c>
      <c r="P273" s="16">
        <f>PRODUCT(_xlfn.XLOOKUP(F273,Config!$A$2:$A$15,Config!$B$2:$B$15),_xlfn.XLOOKUP(G273,Config!$C$2:$C$7,Config!$D$2:$D$7),_xlfn.XLOOKUP(H273,Config!$E$2:$E$5,Config!$F$2:$F$5),_xlfn.XLOOKUP(I273,Config!$G$2:$G$3,Config!$H$2:$H$3),_xlfn.XLOOKUP(J273,Config!$I$2:$I$3,Config!$J$2:$J$3),_xlfn.XLOOKUP(K273,Config!$K$2:$K$3,Config!$L$2:$L$3),_xlfn.XLOOKUP(L273,Config!$M$2:$M$3,Config!$N$2:$N$3),_xlfn.XLOOKUP(M273,Config!$O$2:$O$6,Config!$P$2:$P$6))</f>
        <v>1.0859914296000002E-3</v>
      </c>
      <c r="Q273" s="22">
        <v>1</v>
      </c>
      <c r="R273" s="16">
        <f>P273*Q273*Config!$B$19</f>
        <v>7.9811292970382891E-4</v>
      </c>
    </row>
    <row r="274" spans="1:18" x14ac:dyDescent="0.45">
      <c r="A274" s="7">
        <v>273</v>
      </c>
      <c r="B274" s="7" t="s">
        <v>1630</v>
      </c>
      <c r="C274" s="7" t="s">
        <v>1560</v>
      </c>
      <c r="D274" s="7" t="s">
        <v>1562</v>
      </c>
      <c r="F274" t="s">
        <v>1010</v>
      </c>
      <c r="G274" t="s">
        <v>833</v>
      </c>
      <c r="H274" t="s">
        <v>808</v>
      </c>
      <c r="I274" s="12" t="s">
        <v>1107</v>
      </c>
      <c r="K274" s="12" t="s">
        <v>1062</v>
      </c>
      <c r="L274" s="12" t="s">
        <v>1110</v>
      </c>
      <c r="M274" s="12" t="s">
        <v>838</v>
      </c>
      <c r="N274" s="12" t="s">
        <v>1190</v>
      </c>
      <c r="P274" s="16">
        <f>PRODUCT(_xlfn.XLOOKUP(F274,Config!$A$2:$A$15,Config!$B$2:$B$15),_xlfn.XLOOKUP(G274,Config!$C$2:$C$7,Config!$D$2:$D$7),_xlfn.XLOOKUP(H274,Config!$E$2:$E$5,Config!$F$2:$F$5),_xlfn.XLOOKUP(I274,Config!$G$2:$G$3,Config!$H$2:$H$3),_xlfn.XLOOKUP(J274,Config!$I$2:$I$3,Config!$J$2:$J$3),_xlfn.XLOOKUP(K274,Config!$K$2:$K$3,Config!$L$2:$L$3),_xlfn.XLOOKUP(L274,Config!$M$2:$M$3,Config!$N$2:$N$3),_xlfn.XLOOKUP(M274,Config!$O$2:$O$6,Config!$P$2:$P$6))</f>
        <v>1.0859914296000002E-3</v>
      </c>
      <c r="Q274" s="22">
        <v>1</v>
      </c>
      <c r="R274" s="16">
        <f>P274*Q274*Config!$B$19</f>
        <v>7.9811292970382891E-4</v>
      </c>
    </row>
    <row r="275" spans="1:18" x14ac:dyDescent="0.45">
      <c r="A275" s="7">
        <v>274</v>
      </c>
      <c r="B275" s="7" t="s">
        <v>1621</v>
      </c>
      <c r="C275" s="7" t="s">
        <v>646</v>
      </c>
      <c r="D275" s="7" t="s">
        <v>1555</v>
      </c>
      <c r="F275" t="s">
        <v>990</v>
      </c>
      <c r="G275" t="s">
        <v>833</v>
      </c>
      <c r="H275" t="s">
        <v>808</v>
      </c>
      <c r="I275" s="12" t="s">
        <v>1107</v>
      </c>
      <c r="K275" s="12" t="s">
        <v>1062</v>
      </c>
      <c r="L275" s="12" t="s">
        <v>1110</v>
      </c>
      <c r="M275" s="12" t="s">
        <v>838</v>
      </c>
      <c r="N275" s="12" t="s">
        <v>1190</v>
      </c>
      <c r="P275" s="16">
        <f>PRODUCT(_xlfn.XLOOKUP(F275,Config!$A$2:$A$15,Config!$B$2:$B$15),_xlfn.XLOOKUP(G275,Config!$C$2:$C$7,Config!$D$2:$D$7),_xlfn.XLOOKUP(H275,Config!$E$2:$E$5,Config!$F$2:$F$5),_xlfn.XLOOKUP(I275,Config!$G$2:$G$3,Config!$H$2:$H$3),_xlfn.XLOOKUP(J275,Config!$I$2:$I$3,Config!$J$2:$J$3),_xlfn.XLOOKUP(K275,Config!$K$2:$K$3,Config!$L$2:$L$3),_xlfn.XLOOKUP(L275,Config!$M$2:$M$3,Config!$N$2:$N$3),_xlfn.XLOOKUP(M275,Config!$O$2:$O$6,Config!$P$2:$P$6))</f>
        <v>1.0859914296000002E-3</v>
      </c>
      <c r="Q275" s="22">
        <v>1</v>
      </c>
      <c r="R275" s="16">
        <f>P275*Q275*Config!$B$19</f>
        <v>7.9811292970382891E-4</v>
      </c>
    </row>
    <row r="276" spans="1:18" x14ac:dyDescent="0.45">
      <c r="A276" s="7">
        <v>275</v>
      </c>
      <c r="B276" s="7" t="s">
        <v>1631</v>
      </c>
      <c r="C276" s="7" t="s">
        <v>648</v>
      </c>
      <c r="D276" s="7" t="s">
        <v>1563</v>
      </c>
      <c r="F276" t="s">
        <v>990</v>
      </c>
      <c r="G276" t="s">
        <v>833</v>
      </c>
      <c r="H276" t="s">
        <v>808</v>
      </c>
      <c r="I276" s="12" t="s">
        <v>1107</v>
      </c>
      <c r="K276" s="12" t="s">
        <v>1062</v>
      </c>
      <c r="L276" s="12" t="s">
        <v>1110</v>
      </c>
      <c r="M276" s="12" t="s">
        <v>838</v>
      </c>
      <c r="N276" s="12" t="s">
        <v>1190</v>
      </c>
      <c r="P276" s="16">
        <f>PRODUCT(_xlfn.XLOOKUP(F276,Config!$A$2:$A$15,Config!$B$2:$B$15),_xlfn.XLOOKUP(G276,Config!$C$2:$C$7,Config!$D$2:$D$7),_xlfn.XLOOKUP(H276,Config!$E$2:$E$5,Config!$F$2:$F$5),_xlfn.XLOOKUP(I276,Config!$G$2:$G$3,Config!$H$2:$H$3),_xlfn.XLOOKUP(J276,Config!$I$2:$I$3,Config!$J$2:$J$3),_xlfn.XLOOKUP(K276,Config!$K$2:$K$3,Config!$L$2:$L$3),_xlfn.XLOOKUP(L276,Config!$M$2:$M$3,Config!$N$2:$N$3),_xlfn.XLOOKUP(M276,Config!$O$2:$O$6,Config!$P$2:$P$6))</f>
        <v>1.0859914296000002E-3</v>
      </c>
      <c r="Q276" s="22">
        <v>1</v>
      </c>
      <c r="R276" s="16">
        <f>P276*Q276*Config!$B$19</f>
        <v>7.9811292970382891E-4</v>
      </c>
    </row>
    <row r="277" spans="1:18" x14ac:dyDescent="0.45">
      <c r="A277" s="7">
        <v>276</v>
      </c>
      <c r="B277" s="7" t="s">
        <v>1546</v>
      </c>
      <c r="C277" s="7" t="s">
        <v>1626</v>
      </c>
      <c r="D277" s="7" t="s">
        <v>1552</v>
      </c>
      <c r="F277" t="s">
        <v>987</v>
      </c>
      <c r="G277" t="s">
        <v>833</v>
      </c>
      <c r="H277" t="s">
        <v>808</v>
      </c>
      <c r="I277" s="12" t="s">
        <v>1107</v>
      </c>
      <c r="K277" s="12" t="s">
        <v>1062</v>
      </c>
      <c r="L277" s="12" t="s">
        <v>1110</v>
      </c>
      <c r="M277" s="12" t="s">
        <v>838</v>
      </c>
      <c r="N277" s="12" t="s">
        <v>1190</v>
      </c>
      <c r="P277" s="16">
        <f>PRODUCT(_xlfn.XLOOKUP(F277,Config!$A$2:$A$15,Config!$B$2:$B$15),_xlfn.XLOOKUP(G277,Config!$C$2:$C$7,Config!$D$2:$D$7),_xlfn.XLOOKUP(H277,Config!$E$2:$E$5,Config!$F$2:$F$5),_xlfn.XLOOKUP(I277,Config!$G$2:$G$3,Config!$H$2:$H$3),_xlfn.XLOOKUP(J277,Config!$I$2:$I$3,Config!$J$2:$J$3),_xlfn.XLOOKUP(K277,Config!$K$2:$K$3,Config!$L$2:$L$3),_xlfn.XLOOKUP(L277,Config!$M$2:$M$3,Config!$N$2:$N$3),_xlfn.XLOOKUP(M277,Config!$O$2:$O$6,Config!$P$2:$P$6))</f>
        <v>4.0724678609999992E-4</v>
      </c>
      <c r="Q277" s="22">
        <v>1</v>
      </c>
      <c r="R277" s="16">
        <f>P277*Q277*Config!$B$19</f>
        <v>2.9929234863893575E-4</v>
      </c>
    </row>
    <row r="278" spans="1:18" x14ac:dyDescent="0.45">
      <c r="A278" s="7">
        <v>277</v>
      </c>
      <c r="B278" s="7" t="s">
        <v>1630</v>
      </c>
      <c r="C278" s="7" t="s">
        <v>1560</v>
      </c>
      <c r="D278" s="7" t="s">
        <v>1562</v>
      </c>
      <c r="F278" t="s">
        <v>987</v>
      </c>
      <c r="G278" t="s">
        <v>833</v>
      </c>
      <c r="H278" t="s">
        <v>808</v>
      </c>
      <c r="I278" s="12" t="s">
        <v>1107</v>
      </c>
      <c r="K278" s="12" t="s">
        <v>1062</v>
      </c>
      <c r="L278" s="12" t="s">
        <v>1110</v>
      </c>
      <c r="M278" s="12" t="s">
        <v>838</v>
      </c>
      <c r="N278" s="12" t="s">
        <v>1190</v>
      </c>
      <c r="P278" s="16">
        <f>PRODUCT(_xlfn.XLOOKUP(F278,Config!$A$2:$A$15,Config!$B$2:$B$15),_xlfn.XLOOKUP(G278,Config!$C$2:$C$7,Config!$D$2:$D$7),_xlfn.XLOOKUP(H278,Config!$E$2:$E$5,Config!$F$2:$F$5),_xlfn.XLOOKUP(I278,Config!$G$2:$G$3,Config!$H$2:$H$3),_xlfn.XLOOKUP(J278,Config!$I$2:$I$3,Config!$J$2:$J$3),_xlfn.XLOOKUP(K278,Config!$K$2:$K$3,Config!$L$2:$L$3),_xlfn.XLOOKUP(L278,Config!$M$2:$M$3,Config!$N$2:$N$3),_xlfn.XLOOKUP(M278,Config!$O$2:$O$6,Config!$P$2:$P$6))</f>
        <v>4.0724678609999992E-4</v>
      </c>
      <c r="Q278" s="22">
        <v>1</v>
      </c>
      <c r="R278" s="16">
        <f>P278*Q278*Config!$B$19</f>
        <v>2.9929234863893575E-4</v>
      </c>
    </row>
    <row r="279" spans="1:18" x14ac:dyDescent="0.45">
      <c r="A279" s="7">
        <v>278</v>
      </c>
      <c r="B279" s="7" t="s">
        <v>1622</v>
      </c>
      <c r="C279" s="7" t="s">
        <v>881</v>
      </c>
      <c r="D279" s="7" t="s">
        <v>882</v>
      </c>
      <c r="E279" t="s">
        <v>883</v>
      </c>
      <c r="F279" t="s">
        <v>989</v>
      </c>
      <c r="G279" t="s">
        <v>833</v>
      </c>
      <c r="H279" t="s">
        <v>808</v>
      </c>
      <c r="I279" s="12" t="s">
        <v>1107</v>
      </c>
      <c r="K279" s="12" t="s">
        <v>1062</v>
      </c>
      <c r="L279" s="12" t="s">
        <v>1110</v>
      </c>
      <c r="M279" s="12" t="s">
        <v>838</v>
      </c>
      <c r="N279" s="12" t="s">
        <v>1190</v>
      </c>
      <c r="O279" t="s">
        <v>884</v>
      </c>
      <c r="P279" s="16">
        <f>PRODUCT(_xlfn.XLOOKUP(F279,Config!$A$2:$A$15,Config!$B$2:$B$15),_xlfn.XLOOKUP(G279,Config!$C$2:$C$7,Config!$D$2:$D$7),_xlfn.XLOOKUP(H279,Config!$E$2:$E$5,Config!$F$2:$F$5),_xlfn.XLOOKUP(I279,Config!$G$2:$G$3,Config!$H$2:$H$3),_xlfn.XLOOKUP(J279,Config!$I$2:$I$3,Config!$J$2:$J$3),_xlfn.XLOOKUP(K279,Config!$K$2:$K$3,Config!$L$2:$L$3),_xlfn.XLOOKUP(L279,Config!$M$2:$M$3,Config!$N$2:$N$3),_xlfn.XLOOKUP(M279,Config!$O$2:$O$6,Config!$P$2:$P$6))</f>
        <v>1.0859914296000002E-3</v>
      </c>
      <c r="Q279" s="22">
        <v>1</v>
      </c>
      <c r="R279" s="16">
        <f>P279*Q279*Config!$B$19</f>
        <v>7.9811292970382891E-4</v>
      </c>
    </row>
    <row r="280" spans="1:18" x14ac:dyDescent="0.45">
      <c r="A280" s="7">
        <v>279</v>
      </c>
      <c r="B280" s="7" t="s">
        <v>1625</v>
      </c>
      <c r="C280" s="7" t="s">
        <v>645</v>
      </c>
      <c r="D280" s="7" t="s">
        <v>1556</v>
      </c>
      <c r="F280" t="s">
        <v>984</v>
      </c>
      <c r="G280" t="s">
        <v>833</v>
      </c>
      <c r="H280" t="s">
        <v>808</v>
      </c>
      <c r="I280" s="12" t="s">
        <v>1107</v>
      </c>
      <c r="K280" s="12" t="s">
        <v>1062</v>
      </c>
      <c r="L280" s="12" t="s">
        <v>1110</v>
      </c>
      <c r="M280" t="s">
        <v>836</v>
      </c>
      <c r="N280" s="12" t="s">
        <v>1190</v>
      </c>
      <c r="P280" s="16">
        <f>PRODUCT(_xlfn.XLOOKUP(F280,Config!$A$2:$A$15,Config!$B$2:$B$15),_xlfn.XLOOKUP(G280,Config!$C$2:$C$7,Config!$D$2:$D$7),_xlfn.XLOOKUP(H280,Config!$E$2:$E$5,Config!$F$2:$F$5),_xlfn.XLOOKUP(I280,Config!$G$2:$G$3,Config!$H$2:$H$3),_xlfn.XLOOKUP(J280,Config!$I$2:$I$3,Config!$J$2:$J$3),_xlfn.XLOOKUP(K280,Config!$K$2:$K$3,Config!$L$2:$L$3),_xlfn.XLOOKUP(L280,Config!$M$2:$M$3,Config!$N$2:$N$3),_xlfn.XLOOKUP(M280,Config!$O$2:$O$6,Config!$P$2:$P$6))</f>
        <v>4.049459568000001E-4</v>
      </c>
      <c r="Q280" s="22">
        <v>1</v>
      </c>
      <c r="R280" s="16">
        <f>P280*Q280*Config!$B$19</f>
        <v>2.9760143141498705E-4</v>
      </c>
    </row>
    <row r="281" spans="1:18" x14ac:dyDescent="0.45">
      <c r="A281" s="7">
        <v>280</v>
      </c>
      <c r="B281" s="7" t="s">
        <v>1632</v>
      </c>
      <c r="C281" s="7" t="s">
        <v>647</v>
      </c>
      <c r="D281" s="7" t="s">
        <v>1564</v>
      </c>
      <c r="F281" t="s">
        <v>984</v>
      </c>
      <c r="G281" t="s">
        <v>833</v>
      </c>
      <c r="H281" t="s">
        <v>808</v>
      </c>
      <c r="I281" s="12" t="s">
        <v>1107</v>
      </c>
      <c r="K281" s="12" t="s">
        <v>1062</v>
      </c>
      <c r="L281" s="12" t="s">
        <v>1110</v>
      </c>
      <c r="M281" t="s">
        <v>836</v>
      </c>
      <c r="N281" s="12" t="s">
        <v>1190</v>
      </c>
      <c r="P281" s="16">
        <f>PRODUCT(_xlfn.XLOOKUP(F281,Config!$A$2:$A$15,Config!$B$2:$B$15),_xlfn.XLOOKUP(G281,Config!$C$2:$C$7,Config!$D$2:$D$7),_xlfn.XLOOKUP(H281,Config!$E$2:$E$5,Config!$F$2:$F$5),_xlfn.XLOOKUP(I281,Config!$G$2:$G$3,Config!$H$2:$H$3),_xlfn.XLOOKUP(J281,Config!$I$2:$I$3,Config!$J$2:$J$3),_xlfn.XLOOKUP(K281,Config!$K$2:$K$3,Config!$L$2:$L$3),_xlfn.XLOOKUP(L281,Config!$M$2:$M$3,Config!$N$2:$N$3),_xlfn.XLOOKUP(M281,Config!$O$2:$O$6,Config!$P$2:$P$6))</f>
        <v>4.049459568000001E-4</v>
      </c>
      <c r="Q281" s="22">
        <v>1</v>
      </c>
      <c r="R281" s="16">
        <f>P281*Q281*Config!$B$19</f>
        <v>2.9760143141498705E-4</v>
      </c>
    </row>
    <row r="282" spans="1:18" x14ac:dyDescent="0.45">
      <c r="A282" s="7">
        <v>281</v>
      </c>
      <c r="B282" s="7" t="s">
        <v>1625</v>
      </c>
      <c r="C282" s="7" t="s">
        <v>645</v>
      </c>
      <c r="D282" s="7" t="s">
        <v>1556</v>
      </c>
      <c r="F282" t="s">
        <v>971</v>
      </c>
      <c r="G282" t="s">
        <v>833</v>
      </c>
      <c r="H282" t="s">
        <v>808</v>
      </c>
      <c r="I282" s="12" t="s">
        <v>1107</v>
      </c>
      <c r="K282" s="12" t="s">
        <v>1062</v>
      </c>
      <c r="L282" s="12" t="s">
        <v>1110</v>
      </c>
      <c r="M282" t="s">
        <v>836</v>
      </c>
      <c r="N282" s="12" t="s">
        <v>1190</v>
      </c>
      <c r="P282" s="16">
        <f>PRODUCT(_xlfn.XLOOKUP(F282,Config!$A$2:$A$15,Config!$B$2:$B$15),_xlfn.XLOOKUP(G282,Config!$C$2:$C$7,Config!$D$2:$D$7),_xlfn.XLOOKUP(H282,Config!$E$2:$E$5,Config!$F$2:$F$5),_xlfn.XLOOKUP(I282,Config!$G$2:$G$3,Config!$H$2:$H$3),_xlfn.XLOOKUP(J282,Config!$I$2:$I$3,Config!$J$2:$J$3),_xlfn.XLOOKUP(K282,Config!$K$2:$K$3,Config!$L$2:$L$3),_xlfn.XLOOKUP(L282,Config!$M$2:$M$3,Config!$N$2:$N$3),_xlfn.XLOOKUP(M282,Config!$O$2:$O$6,Config!$P$2:$P$6))</f>
        <v>2.2778210070000006E-4</v>
      </c>
      <c r="Q282" s="22">
        <v>1</v>
      </c>
      <c r="R282" s="16">
        <f>P282*Q282*Config!$B$19</f>
        <v>1.6740080517093023E-4</v>
      </c>
    </row>
    <row r="283" spans="1:18" x14ac:dyDescent="0.45">
      <c r="A283" s="7">
        <v>282</v>
      </c>
      <c r="B283" s="7" t="s">
        <v>1632</v>
      </c>
      <c r="C283" s="7" t="s">
        <v>647</v>
      </c>
      <c r="D283" s="7" t="s">
        <v>1564</v>
      </c>
      <c r="F283" t="s">
        <v>971</v>
      </c>
      <c r="G283" t="s">
        <v>833</v>
      </c>
      <c r="H283" t="s">
        <v>808</v>
      </c>
      <c r="I283" s="12" t="s">
        <v>1107</v>
      </c>
      <c r="K283" s="12" t="s">
        <v>1062</v>
      </c>
      <c r="L283" s="12" t="s">
        <v>1110</v>
      </c>
      <c r="M283" t="s">
        <v>836</v>
      </c>
      <c r="N283" s="12" t="s">
        <v>1190</v>
      </c>
      <c r="P283" s="16">
        <f>PRODUCT(_xlfn.XLOOKUP(F283,Config!$A$2:$A$15,Config!$B$2:$B$15),_xlfn.XLOOKUP(G283,Config!$C$2:$C$7,Config!$D$2:$D$7),_xlfn.XLOOKUP(H283,Config!$E$2:$E$5,Config!$F$2:$F$5),_xlfn.XLOOKUP(I283,Config!$G$2:$G$3,Config!$H$2:$H$3),_xlfn.XLOOKUP(J283,Config!$I$2:$I$3,Config!$J$2:$J$3),_xlfn.XLOOKUP(K283,Config!$K$2:$K$3,Config!$L$2:$L$3),_xlfn.XLOOKUP(L283,Config!$M$2:$M$3,Config!$N$2:$N$3),_xlfn.XLOOKUP(M283,Config!$O$2:$O$6,Config!$P$2:$P$6))</f>
        <v>2.2778210070000006E-4</v>
      </c>
      <c r="Q283" s="22">
        <v>1</v>
      </c>
      <c r="R283" s="16">
        <f>P283*Q283*Config!$B$19</f>
        <v>1.6740080517093023E-4</v>
      </c>
    </row>
    <row r="284" spans="1:18" x14ac:dyDescent="0.45">
      <c r="A284" s="7">
        <v>283</v>
      </c>
      <c r="B284" s="7" t="s">
        <v>1625</v>
      </c>
      <c r="C284" s="7" t="s">
        <v>645</v>
      </c>
      <c r="D284" s="7" t="s">
        <v>1556</v>
      </c>
      <c r="F284" t="s">
        <v>985</v>
      </c>
      <c r="G284" t="s">
        <v>833</v>
      </c>
      <c r="H284" t="s">
        <v>808</v>
      </c>
      <c r="I284" s="12" t="s">
        <v>1107</v>
      </c>
      <c r="K284" s="12" t="s">
        <v>1062</v>
      </c>
      <c r="L284" s="12" t="s">
        <v>1110</v>
      </c>
      <c r="M284" t="s">
        <v>836</v>
      </c>
      <c r="N284" s="12" t="s">
        <v>1190</v>
      </c>
      <c r="P284" s="16">
        <f>PRODUCT(_xlfn.XLOOKUP(F284,Config!$A$2:$A$15,Config!$B$2:$B$15),_xlfn.XLOOKUP(G284,Config!$C$2:$C$7,Config!$D$2:$D$7),_xlfn.XLOOKUP(H284,Config!$E$2:$E$5,Config!$F$2:$F$5),_xlfn.XLOOKUP(I284,Config!$G$2:$G$3,Config!$H$2:$H$3),_xlfn.XLOOKUP(J284,Config!$I$2:$I$3,Config!$J$2:$J$3),_xlfn.XLOOKUP(K284,Config!$K$2:$K$3,Config!$L$2:$L$3),_xlfn.XLOOKUP(L284,Config!$M$2:$M$3,Config!$N$2:$N$3),_xlfn.XLOOKUP(M284,Config!$O$2:$O$6,Config!$P$2:$P$6))</f>
        <v>3.4972605360000005E-4</v>
      </c>
      <c r="Q284" s="22">
        <v>1</v>
      </c>
      <c r="R284" s="16">
        <f>P284*Q284*Config!$B$19</f>
        <v>2.5701941804021609E-4</v>
      </c>
    </row>
    <row r="285" spans="1:18" x14ac:dyDescent="0.45">
      <c r="A285" s="7">
        <v>284</v>
      </c>
      <c r="B285" s="7" t="s">
        <v>1632</v>
      </c>
      <c r="C285" s="7" t="s">
        <v>647</v>
      </c>
      <c r="D285" s="7" t="s">
        <v>1564</v>
      </c>
      <c r="F285" t="s">
        <v>985</v>
      </c>
      <c r="G285" t="s">
        <v>833</v>
      </c>
      <c r="H285" t="s">
        <v>808</v>
      </c>
      <c r="I285" s="12" t="s">
        <v>1107</v>
      </c>
      <c r="K285" s="12" t="s">
        <v>1062</v>
      </c>
      <c r="L285" s="12" t="s">
        <v>1110</v>
      </c>
      <c r="M285" t="s">
        <v>836</v>
      </c>
      <c r="N285" s="12" t="s">
        <v>1190</v>
      </c>
      <c r="P285" s="16">
        <f>PRODUCT(_xlfn.XLOOKUP(F285,Config!$A$2:$A$15,Config!$B$2:$B$15),_xlfn.XLOOKUP(G285,Config!$C$2:$C$7,Config!$D$2:$D$7),_xlfn.XLOOKUP(H285,Config!$E$2:$E$5,Config!$F$2:$F$5),_xlfn.XLOOKUP(I285,Config!$G$2:$G$3,Config!$H$2:$H$3),_xlfn.XLOOKUP(J285,Config!$I$2:$I$3,Config!$J$2:$J$3),_xlfn.XLOOKUP(K285,Config!$K$2:$K$3,Config!$L$2:$L$3),_xlfn.XLOOKUP(L285,Config!$M$2:$M$3,Config!$N$2:$N$3),_xlfn.XLOOKUP(M285,Config!$O$2:$O$6,Config!$P$2:$P$6))</f>
        <v>3.4972605360000005E-4</v>
      </c>
      <c r="Q285" s="22">
        <v>1</v>
      </c>
      <c r="R285" s="16">
        <f>P285*Q285*Config!$B$19</f>
        <v>2.5701941804021609E-4</v>
      </c>
    </row>
    <row r="286" spans="1:18" x14ac:dyDescent="0.45">
      <c r="A286" s="7">
        <v>285</v>
      </c>
      <c r="B286" s="7" t="s">
        <v>1625</v>
      </c>
      <c r="C286" s="7" t="s">
        <v>645</v>
      </c>
      <c r="D286" s="7" t="s">
        <v>1556</v>
      </c>
      <c r="F286" t="s">
        <v>986</v>
      </c>
      <c r="G286" t="s">
        <v>833</v>
      </c>
      <c r="H286" t="s">
        <v>808</v>
      </c>
      <c r="I286" s="12" t="s">
        <v>1107</v>
      </c>
      <c r="K286" s="12" t="s">
        <v>1062</v>
      </c>
      <c r="L286" s="12" t="s">
        <v>1110</v>
      </c>
      <c r="M286" t="s">
        <v>836</v>
      </c>
      <c r="N286" s="12" t="s">
        <v>1190</v>
      </c>
      <c r="P286" s="16">
        <f>PRODUCT(_xlfn.XLOOKUP(F286,Config!$A$2:$A$15,Config!$B$2:$B$15),_xlfn.XLOOKUP(G286,Config!$C$2:$C$7,Config!$D$2:$D$7),_xlfn.XLOOKUP(H286,Config!$E$2:$E$5,Config!$F$2:$F$5),_xlfn.XLOOKUP(I286,Config!$G$2:$G$3,Config!$H$2:$H$3),_xlfn.XLOOKUP(J286,Config!$I$2:$I$3,Config!$J$2:$J$3),_xlfn.XLOOKUP(K286,Config!$K$2:$K$3,Config!$L$2:$L$3),_xlfn.XLOOKUP(L286,Config!$M$2:$M$3,Config!$N$2:$N$3),_xlfn.XLOOKUP(M286,Config!$O$2:$O$6,Config!$P$2:$P$6))</f>
        <v>1.9672090515000006E-4</v>
      </c>
      <c r="Q286" s="22">
        <v>1</v>
      </c>
      <c r="R286" s="16">
        <f>P286*Q286*Config!$B$19</f>
        <v>1.4457342264762157E-4</v>
      </c>
    </row>
    <row r="287" spans="1:18" x14ac:dyDescent="0.45">
      <c r="A287" s="7">
        <v>286</v>
      </c>
      <c r="B287" s="7" t="s">
        <v>1632</v>
      </c>
      <c r="C287" s="7" t="s">
        <v>647</v>
      </c>
      <c r="D287" s="7" t="s">
        <v>1564</v>
      </c>
      <c r="F287" t="s">
        <v>986</v>
      </c>
      <c r="G287" t="s">
        <v>833</v>
      </c>
      <c r="H287" t="s">
        <v>808</v>
      </c>
      <c r="I287" s="12" t="s">
        <v>1107</v>
      </c>
      <c r="K287" s="12" t="s">
        <v>1062</v>
      </c>
      <c r="L287" s="12" t="s">
        <v>1110</v>
      </c>
      <c r="M287" t="s">
        <v>836</v>
      </c>
      <c r="N287" s="12" t="s">
        <v>1190</v>
      </c>
      <c r="P287" s="16">
        <f>PRODUCT(_xlfn.XLOOKUP(F287,Config!$A$2:$A$15,Config!$B$2:$B$15),_xlfn.XLOOKUP(G287,Config!$C$2:$C$7,Config!$D$2:$D$7),_xlfn.XLOOKUP(H287,Config!$E$2:$E$5,Config!$F$2:$F$5),_xlfn.XLOOKUP(I287,Config!$G$2:$G$3,Config!$H$2:$H$3),_xlfn.XLOOKUP(J287,Config!$I$2:$I$3,Config!$J$2:$J$3),_xlfn.XLOOKUP(K287,Config!$K$2:$K$3,Config!$L$2:$L$3),_xlfn.XLOOKUP(L287,Config!$M$2:$M$3,Config!$N$2:$N$3),_xlfn.XLOOKUP(M287,Config!$O$2:$O$6,Config!$P$2:$P$6))</f>
        <v>1.9672090515000006E-4</v>
      </c>
      <c r="Q287" s="22">
        <v>1</v>
      </c>
      <c r="R287" s="16">
        <f>P287*Q287*Config!$B$19</f>
        <v>1.4457342264762157E-4</v>
      </c>
    </row>
    <row r="288" spans="1:18" x14ac:dyDescent="0.45">
      <c r="A288" s="7">
        <v>287</v>
      </c>
      <c r="B288" s="7" t="s">
        <v>1625</v>
      </c>
      <c r="C288" s="7" t="s">
        <v>645</v>
      </c>
      <c r="D288" s="7" t="s">
        <v>1556</v>
      </c>
      <c r="F288" t="s">
        <v>1010</v>
      </c>
      <c r="G288" t="s">
        <v>833</v>
      </c>
      <c r="H288" t="s">
        <v>808</v>
      </c>
      <c r="I288" s="12" t="s">
        <v>1107</v>
      </c>
      <c r="K288" s="12" t="s">
        <v>1062</v>
      </c>
      <c r="L288" s="12" t="s">
        <v>1110</v>
      </c>
      <c r="M288" t="s">
        <v>836</v>
      </c>
      <c r="N288" s="12" t="s">
        <v>1190</v>
      </c>
      <c r="P288" s="16">
        <f>PRODUCT(_xlfn.XLOOKUP(F288,Config!$A$2:$A$15,Config!$B$2:$B$15),_xlfn.XLOOKUP(G288,Config!$C$2:$C$7,Config!$D$2:$D$7),_xlfn.XLOOKUP(H288,Config!$E$2:$E$5,Config!$F$2:$F$5),_xlfn.XLOOKUP(I288,Config!$G$2:$G$3,Config!$H$2:$H$3),_xlfn.XLOOKUP(J288,Config!$I$2:$I$3,Config!$J$2:$J$3),_xlfn.XLOOKUP(K288,Config!$K$2:$K$3,Config!$L$2:$L$3),_xlfn.XLOOKUP(L288,Config!$M$2:$M$3,Config!$N$2:$N$3),_xlfn.XLOOKUP(M288,Config!$O$2:$O$6,Config!$P$2:$P$6))</f>
        <v>2.7149785740000006E-4</v>
      </c>
      <c r="Q288" s="22">
        <v>1</v>
      </c>
      <c r="R288" s="16">
        <f>P288*Q288*Config!$B$19</f>
        <v>1.9952823242595723E-4</v>
      </c>
    </row>
    <row r="289" spans="1:18" x14ac:dyDescent="0.45">
      <c r="A289" s="7">
        <v>288</v>
      </c>
      <c r="B289" s="7" t="s">
        <v>1632</v>
      </c>
      <c r="C289" s="7" t="s">
        <v>647</v>
      </c>
      <c r="D289" s="7" t="s">
        <v>1564</v>
      </c>
      <c r="F289" t="s">
        <v>1010</v>
      </c>
      <c r="G289" t="s">
        <v>833</v>
      </c>
      <c r="H289" t="s">
        <v>808</v>
      </c>
      <c r="I289" s="12" t="s">
        <v>1107</v>
      </c>
      <c r="K289" s="12" t="s">
        <v>1062</v>
      </c>
      <c r="L289" s="12" t="s">
        <v>1110</v>
      </c>
      <c r="M289" t="s">
        <v>836</v>
      </c>
      <c r="N289" s="12" t="s">
        <v>1190</v>
      </c>
      <c r="P289" s="16">
        <f>PRODUCT(_xlfn.XLOOKUP(F289,Config!$A$2:$A$15,Config!$B$2:$B$15),_xlfn.XLOOKUP(G289,Config!$C$2:$C$7,Config!$D$2:$D$7),_xlfn.XLOOKUP(H289,Config!$E$2:$E$5,Config!$F$2:$F$5),_xlfn.XLOOKUP(I289,Config!$G$2:$G$3,Config!$H$2:$H$3),_xlfn.XLOOKUP(J289,Config!$I$2:$I$3,Config!$J$2:$J$3),_xlfn.XLOOKUP(K289,Config!$K$2:$K$3,Config!$L$2:$L$3),_xlfn.XLOOKUP(L289,Config!$M$2:$M$3,Config!$N$2:$N$3),_xlfn.XLOOKUP(M289,Config!$O$2:$O$6,Config!$P$2:$P$6))</f>
        <v>2.7149785740000006E-4</v>
      </c>
      <c r="Q289" s="22">
        <v>1</v>
      </c>
      <c r="R289" s="16">
        <f>P289*Q289*Config!$B$19</f>
        <v>1.9952823242595723E-4</v>
      </c>
    </row>
    <row r="290" spans="1:18" x14ac:dyDescent="0.45">
      <c r="A290" s="7">
        <v>289</v>
      </c>
      <c r="B290" s="7" t="s">
        <v>1625</v>
      </c>
      <c r="C290" s="7" t="s">
        <v>645</v>
      </c>
      <c r="D290" s="7" t="s">
        <v>1556</v>
      </c>
      <c r="F290" t="s">
        <v>987</v>
      </c>
      <c r="G290" t="s">
        <v>833</v>
      </c>
      <c r="H290" t="s">
        <v>808</v>
      </c>
      <c r="I290" s="12" t="s">
        <v>1107</v>
      </c>
      <c r="K290" s="12" t="s">
        <v>1062</v>
      </c>
      <c r="L290" s="12" t="s">
        <v>1110</v>
      </c>
      <c r="M290" t="s">
        <v>836</v>
      </c>
      <c r="N290" s="12" t="s">
        <v>1190</v>
      </c>
      <c r="P290" s="16">
        <f>PRODUCT(_xlfn.XLOOKUP(F290,Config!$A$2:$A$15,Config!$B$2:$B$15),_xlfn.XLOOKUP(G290,Config!$C$2:$C$7,Config!$D$2:$D$7),_xlfn.XLOOKUP(H290,Config!$E$2:$E$5,Config!$F$2:$F$5),_xlfn.XLOOKUP(I290,Config!$G$2:$G$3,Config!$H$2:$H$3),_xlfn.XLOOKUP(J290,Config!$I$2:$I$3,Config!$J$2:$J$3),_xlfn.XLOOKUP(K290,Config!$K$2:$K$3,Config!$L$2:$L$3),_xlfn.XLOOKUP(L290,Config!$M$2:$M$3,Config!$N$2:$N$3),_xlfn.XLOOKUP(M290,Config!$O$2:$O$6,Config!$P$2:$P$6))</f>
        <v>1.0181169652499998E-4</v>
      </c>
      <c r="Q290" s="22">
        <v>1</v>
      </c>
      <c r="R290" s="16">
        <f>P290*Q290*Config!$B$19</f>
        <v>7.4823087159733937E-5</v>
      </c>
    </row>
    <row r="291" spans="1:18" x14ac:dyDescent="0.45">
      <c r="A291" s="7">
        <v>290</v>
      </c>
      <c r="B291" s="7" t="s">
        <v>1632</v>
      </c>
      <c r="C291" s="7" t="s">
        <v>647</v>
      </c>
      <c r="D291" s="7" t="s">
        <v>1564</v>
      </c>
      <c r="F291" t="s">
        <v>987</v>
      </c>
      <c r="G291" t="s">
        <v>833</v>
      </c>
      <c r="H291" t="s">
        <v>808</v>
      </c>
      <c r="I291" s="12" t="s">
        <v>1107</v>
      </c>
      <c r="K291" s="12" t="s">
        <v>1062</v>
      </c>
      <c r="L291" s="12" t="s">
        <v>1110</v>
      </c>
      <c r="M291" t="s">
        <v>836</v>
      </c>
      <c r="N291" s="12" t="s">
        <v>1190</v>
      </c>
      <c r="P291" s="16">
        <f>PRODUCT(_xlfn.XLOOKUP(F291,Config!$A$2:$A$15,Config!$B$2:$B$15),_xlfn.XLOOKUP(G291,Config!$C$2:$C$7,Config!$D$2:$D$7),_xlfn.XLOOKUP(H291,Config!$E$2:$E$5,Config!$F$2:$F$5),_xlfn.XLOOKUP(I291,Config!$G$2:$G$3,Config!$H$2:$H$3),_xlfn.XLOOKUP(J291,Config!$I$2:$I$3,Config!$J$2:$J$3),_xlfn.XLOOKUP(K291,Config!$K$2:$K$3,Config!$L$2:$L$3),_xlfn.XLOOKUP(L291,Config!$M$2:$M$3,Config!$N$2:$N$3),_xlfn.XLOOKUP(M291,Config!$O$2:$O$6,Config!$P$2:$P$6))</f>
        <v>1.0181169652499998E-4</v>
      </c>
      <c r="Q291" s="22">
        <v>1</v>
      </c>
      <c r="R291" s="16">
        <f>P291*Q291*Config!$B$19</f>
        <v>7.4823087159733937E-5</v>
      </c>
    </row>
    <row r="292" spans="1:18" x14ac:dyDescent="0.45">
      <c r="A292" s="7">
        <v>291</v>
      </c>
      <c r="B292" s="7" t="s">
        <v>1559</v>
      </c>
      <c r="C292" s="7" t="s">
        <v>1161</v>
      </c>
      <c r="D292" s="7" t="s">
        <v>1557</v>
      </c>
      <c r="F292" t="s">
        <v>984</v>
      </c>
      <c r="G292" t="s">
        <v>833</v>
      </c>
      <c r="H292" t="s">
        <v>808</v>
      </c>
      <c r="I292" s="12" t="s">
        <v>1107</v>
      </c>
      <c r="K292" s="12" t="s">
        <v>1062</v>
      </c>
      <c r="L292" t="s">
        <v>1111</v>
      </c>
      <c r="M292" s="12" t="s">
        <v>838</v>
      </c>
      <c r="N292" s="12" t="s">
        <v>1190</v>
      </c>
      <c r="P292" s="16">
        <f>PRODUCT(_xlfn.XLOOKUP(F292,Config!$A$2:$A$15,Config!$B$2:$B$15),_xlfn.XLOOKUP(G292,Config!$C$2:$C$7,Config!$D$2:$D$7),_xlfn.XLOOKUP(H292,Config!$E$2:$E$5,Config!$F$2:$F$5),_xlfn.XLOOKUP(I292,Config!$G$2:$G$3,Config!$H$2:$H$3),_xlfn.XLOOKUP(J292,Config!$I$2:$I$3,Config!$J$2:$J$3),_xlfn.XLOOKUP(K292,Config!$K$2:$K$3,Config!$L$2:$L$3),_xlfn.XLOOKUP(L292,Config!$M$2:$M$3,Config!$N$2:$N$3),_xlfn.XLOOKUP(M292,Config!$O$2:$O$6,Config!$P$2:$P$6))</f>
        <v>2.8584420480000009E-4</v>
      </c>
      <c r="Q292" s="22">
        <v>1</v>
      </c>
      <c r="R292" s="16">
        <f>P292*Q292*Config!$B$19</f>
        <v>2.1007159864587323E-4</v>
      </c>
    </row>
    <row r="293" spans="1:18" x14ac:dyDescent="0.45">
      <c r="A293" s="7">
        <v>292</v>
      </c>
      <c r="B293" s="7" t="s">
        <v>1559</v>
      </c>
      <c r="C293" s="7" t="s">
        <v>1161</v>
      </c>
      <c r="D293" s="7" t="s">
        <v>1557</v>
      </c>
      <c r="F293" t="s">
        <v>971</v>
      </c>
      <c r="G293" t="s">
        <v>833</v>
      </c>
      <c r="H293" t="s">
        <v>808</v>
      </c>
      <c r="I293" s="12" t="s">
        <v>1107</v>
      </c>
      <c r="K293" s="12" t="s">
        <v>1062</v>
      </c>
      <c r="L293" t="s">
        <v>1111</v>
      </c>
      <c r="M293" s="12" t="s">
        <v>838</v>
      </c>
      <c r="N293" s="12" t="s">
        <v>1190</v>
      </c>
      <c r="P293" s="16">
        <f>PRODUCT(_xlfn.XLOOKUP(F293,Config!$A$2:$A$15,Config!$B$2:$B$15),_xlfn.XLOOKUP(G293,Config!$C$2:$C$7,Config!$D$2:$D$7),_xlfn.XLOOKUP(H293,Config!$E$2:$E$5,Config!$F$2:$F$5),_xlfn.XLOOKUP(I293,Config!$G$2:$G$3,Config!$H$2:$H$3),_xlfn.XLOOKUP(J293,Config!$I$2:$I$3,Config!$J$2:$J$3),_xlfn.XLOOKUP(K293,Config!$K$2:$K$3,Config!$L$2:$L$3),_xlfn.XLOOKUP(L293,Config!$M$2:$M$3,Config!$N$2:$N$3),_xlfn.XLOOKUP(M293,Config!$O$2:$O$6,Config!$P$2:$P$6))</f>
        <v>1.6078736520000003E-4</v>
      </c>
      <c r="Q293" s="22">
        <v>1</v>
      </c>
      <c r="R293" s="16">
        <f>P293*Q293*Config!$B$19</f>
        <v>1.1816527423830369E-4</v>
      </c>
    </row>
    <row r="294" spans="1:18" x14ac:dyDescent="0.45">
      <c r="A294" s="7">
        <v>293</v>
      </c>
      <c r="B294" s="7" t="s">
        <v>1559</v>
      </c>
      <c r="C294" s="7" t="s">
        <v>1161</v>
      </c>
      <c r="D294" s="7" t="s">
        <v>1557</v>
      </c>
      <c r="F294" t="s">
        <v>985</v>
      </c>
      <c r="G294" t="s">
        <v>833</v>
      </c>
      <c r="H294" t="s">
        <v>808</v>
      </c>
      <c r="I294" s="12" t="s">
        <v>1107</v>
      </c>
      <c r="K294" s="12" t="s">
        <v>1062</v>
      </c>
      <c r="L294" t="s">
        <v>1111</v>
      </c>
      <c r="M294" s="12" t="s">
        <v>838</v>
      </c>
      <c r="N294" s="12" t="s">
        <v>1190</v>
      </c>
      <c r="P294" s="16">
        <f>PRODUCT(_xlfn.XLOOKUP(F294,Config!$A$2:$A$15,Config!$B$2:$B$15),_xlfn.XLOOKUP(G294,Config!$C$2:$C$7,Config!$D$2:$D$7),_xlfn.XLOOKUP(H294,Config!$E$2:$E$5,Config!$F$2:$F$5),_xlfn.XLOOKUP(I294,Config!$G$2:$G$3,Config!$H$2:$H$3),_xlfn.XLOOKUP(J294,Config!$I$2:$I$3,Config!$J$2:$J$3),_xlfn.XLOOKUP(K294,Config!$K$2:$K$3,Config!$L$2:$L$3),_xlfn.XLOOKUP(L294,Config!$M$2:$M$3,Config!$N$2:$N$3),_xlfn.XLOOKUP(M294,Config!$O$2:$O$6,Config!$P$2:$P$6))</f>
        <v>2.468654496E-4</v>
      </c>
      <c r="Q294" s="22">
        <v>1</v>
      </c>
      <c r="R294" s="16">
        <f>P294*Q294*Config!$B$19</f>
        <v>1.8142547155779957E-4</v>
      </c>
    </row>
    <row r="295" spans="1:18" x14ac:dyDescent="0.45">
      <c r="A295" s="7">
        <v>294</v>
      </c>
      <c r="B295" s="7" t="s">
        <v>1559</v>
      </c>
      <c r="C295" s="7" t="s">
        <v>1161</v>
      </c>
      <c r="D295" s="7" t="s">
        <v>1557</v>
      </c>
      <c r="F295" t="s">
        <v>986</v>
      </c>
      <c r="G295" t="s">
        <v>833</v>
      </c>
      <c r="H295" t="s">
        <v>808</v>
      </c>
      <c r="I295" s="12" t="s">
        <v>1107</v>
      </c>
      <c r="K295" s="12" t="s">
        <v>1062</v>
      </c>
      <c r="L295" t="s">
        <v>1111</v>
      </c>
      <c r="M295" s="12" t="s">
        <v>838</v>
      </c>
      <c r="N295" s="12" t="s">
        <v>1190</v>
      </c>
      <c r="P295" s="16">
        <f>PRODUCT(_xlfn.XLOOKUP(F295,Config!$A$2:$A$15,Config!$B$2:$B$15),_xlfn.XLOOKUP(G295,Config!$C$2:$C$7,Config!$D$2:$D$7),_xlfn.XLOOKUP(H295,Config!$E$2:$E$5,Config!$F$2:$F$5),_xlfn.XLOOKUP(I295,Config!$G$2:$G$3,Config!$H$2:$H$3),_xlfn.XLOOKUP(J295,Config!$I$2:$I$3,Config!$J$2:$J$3),_xlfn.XLOOKUP(K295,Config!$K$2:$K$3,Config!$L$2:$L$3),_xlfn.XLOOKUP(L295,Config!$M$2:$M$3,Config!$N$2:$N$3),_xlfn.XLOOKUP(M295,Config!$O$2:$O$6,Config!$P$2:$P$6))</f>
        <v>1.3886181540000004E-4</v>
      </c>
      <c r="Q295" s="22">
        <v>1</v>
      </c>
      <c r="R295" s="16">
        <f>P295*Q295*Config!$B$19</f>
        <v>1.0205182775126228E-4</v>
      </c>
    </row>
    <row r="296" spans="1:18" x14ac:dyDescent="0.45">
      <c r="A296" s="7">
        <v>295</v>
      </c>
      <c r="B296" s="7" t="s">
        <v>1559</v>
      </c>
      <c r="C296" s="7" t="s">
        <v>1161</v>
      </c>
      <c r="D296" s="7" t="s">
        <v>1557</v>
      </c>
      <c r="F296" t="s">
        <v>1010</v>
      </c>
      <c r="G296" t="s">
        <v>833</v>
      </c>
      <c r="H296" t="s">
        <v>808</v>
      </c>
      <c r="I296" s="12" t="s">
        <v>1107</v>
      </c>
      <c r="K296" s="12" t="s">
        <v>1062</v>
      </c>
      <c r="L296" t="s">
        <v>1111</v>
      </c>
      <c r="M296" s="12" t="s">
        <v>838</v>
      </c>
      <c r="N296" s="12" t="s">
        <v>1190</v>
      </c>
      <c r="O296" t="s">
        <v>641</v>
      </c>
      <c r="P296" s="16">
        <f>PRODUCT(_xlfn.XLOOKUP(F296,Config!$A$2:$A$15,Config!$B$2:$B$15),_xlfn.XLOOKUP(G296,Config!$C$2:$C$7,Config!$D$2:$D$7),_xlfn.XLOOKUP(H296,Config!$E$2:$E$5,Config!$F$2:$F$5),_xlfn.XLOOKUP(I296,Config!$G$2:$G$3,Config!$H$2:$H$3),_xlfn.XLOOKUP(J296,Config!$I$2:$I$3,Config!$J$2:$J$3),_xlfn.XLOOKUP(K296,Config!$K$2:$K$3,Config!$L$2:$L$3),_xlfn.XLOOKUP(L296,Config!$M$2:$M$3,Config!$N$2:$N$3),_xlfn.XLOOKUP(M296,Config!$O$2:$O$6,Config!$P$2:$P$6))</f>
        <v>1.9164554640000006E-4</v>
      </c>
      <c r="Q296" s="22">
        <v>1</v>
      </c>
      <c r="R296" s="16">
        <f>P296*Q296*Config!$B$19</f>
        <v>1.4084345818302866E-4</v>
      </c>
    </row>
    <row r="297" spans="1:18" x14ac:dyDescent="0.45">
      <c r="A297" s="7">
        <v>296</v>
      </c>
      <c r="B297" s="7" t="s">
        <v>1559</v>
      </c>
      <c r="C297" s="7" t="s">
        <v>1161</v>
      </c>
      <c r="D297" s="7" t="s">
        <v>1557</v>
      </c>
      <c r="F297" t="s">
        <v>987</v>
      </c>
      <c r="G297" t="s">
        <v>833</v>
      </c>
      <c r="H297" t="s">
        <v>808</v>
      </c>
      <c r="I297" s="12" t="s">
        <v>1107</v>
      </c>
      <c r="K297" s="12" t="s">
        <v>1062</v>
      </c>
      <c r="L297" t="s">
        <v>1111</v>
      </c>
      <c r="M297" s="12" t="s">
        <v>838</v>
      </c>
      <c r="N297" s="12" t="s">
        <v>1190</v>
      </c>
      <c r="P297" s="16">
        <f>PRODUCT(_xlfn.XLOOKUP(F297,Config!$A$2:$A$15,Config!$B$2:$B$15),_xlfn.XLOOKUP(G297,Config!$C$2:$C$7,Config!$D$2:$D$7),_xlfn.XLOOKUP(H297,Config!$E$2:$E$5,Config!$F$2:$F$5),_xlfn.XLOOKUP(I297,Config!$G$2:$G$3,Config!$H$2:$H$3),_xlfn.XLOOKUP(J297,Config!$I$2:$I$3,Config!$J$2:$J$3),_xlfn.XLOOKUP(K297,Config!$K$2:$K$3,Config!$L$2:$L$3),_xlfn.XLOOKUP(L297,Config!$M$2:$M$3,Config!$N$2:$N$3),_xlfn.XLOOKUP(M297,Config!$O$2:$O$6,Config!$P$2:$P$6))</f>
        <v>7.1867079899999995E-5</v>
      </c>
      <c r="Q297" s="22">
        <v>1</v>
      </c>
      <c r="R297" s="16">
        <f>P297*Q297*Config!$B$19</f>
        <v>5.2816296818635721E-5</v>
      </c>
    </row>
    <row r="298" spans="1:18" x14ac:dyDescent="0.45">
      <c r="A298" s="7">
        <v>297</v>
      </c>
      <c r="B298" s="7" t="s">
        <v>680</v>
      </c>
      <c r="C298" s="3" t="s">
        <v>704</v>
      </c>
      <c r="D298" s="9" t="s">
        <v>681</v>
      </c>
      <c r="E298" t="s">
        <v>531</v>
      </c>
      <c r="F298" t="s">
        <v>988</v>
      </c>
      <c r="G298" t="s">
        <v>834</v>
      </c>
      <c r="H298" t="s">
        <v>808</v>
      </c>
      <c r="I298" t="s">
        <v>806</v>
      </c>
      <c r="K298" s="12" t="s">
        <v>1062</v>
      </c>
      <c r="L298" s="12" t="s">
        <v>1110</v>
      </c>
      <c r="M298" s="12" t="s">
        <v>838</v>
      </c>
      <c r="N298" s="12" t="s">
        <v>1190</v>
      </c>
      <c r="O298" t="s">
        <v>532</v>
      </c>
      <c r="P298" s="16">
        <f>PRODUCT(_xlfn.XLOOKUP(F298,Config!$A$2:$A$15,Config!$B$2:$B$15),_xlfn.XLOOKUP(G298,Config!$C$2:$C$7,Config!$D$2:$D$7),_xlfn.XLOOKUP(H298,Config!$E$2:$E$5,Config!$F$2:$F$5),_xlfn.XLOOKUP(I298,Config!$G$2:$G$3,Config!$H$2:$H$3),_xlfn.XLOOKUP(J298,Config!$I$2:$I$3,Config!$J$2:$J$3),_xlfn.XLOOKUP(K298,Config!$K$2:$K$3,Config!$L$2:$L$3),_xlfn.XLOOKUP(L298,Config!$M$2:$M$3,Config!$N$2:$N$3),_xlfn.XLOOKUP(M298,Config!$O$2:$O$6,Config!$P$2:$P$6))</f>
        <v>5.9840344080000008E-4</v>
      </c>
      <c r="Q298" s="22">
        <v>1</v>
      </c>
      <c r="R298" s="16">
        <f>P298*Q298*Config!$B$19</f>
        <v>4.3977651228578325E-4</v>
      </c>
    </row>
    <row r="299" spans="1:18" x14ac:dyDescent="0.45">
      <c r="A299" s="9">
        <v>298</v>
      </c>
      <c r="B299" s="9" t="s">
        <v>690</v>
      </c>
      <c r="C299" s="7" t="s">
        <v>770</v>
      </c>
      <c r="D299" s="7" t="s">
        <v>691</v>
      </c>
      <c r="F299" t="s">
        <v>988</v>
      </c>
      <c r="G299" t="s">
        <v>834</v>
      </c>
      <c r="H299" t="s">
        <v>808</v>
      </c>
      <c r="I299" t="s">
        <v>806</v>
      </c>
      <c r="K299" s="12" t="s">
        <v>1062</v>
      </c>
      <c r="L299" s="12" t="s">
        <v>1110</v>
      </c>
      <c r="M299" t="s">
        <v>836</v>
      </c>
      <c r="N299" s="12" t="s">
        <v>1190</v>
      </c>
      <c r="O299" t="s">
        <v>608</v>
      </c>
      <c r="P299" s="16">
        <f>PRODUCT(_xlfn.XLOOKUP(F299,Config!$A$2:$A$15,Config!$B$2:$B$15),_xlfn.XLOOKUP(G299,Config!$C$2:$C$7,Config!$D$2:$D$7),_xlfn.XLOOKUP(H299,Config!$E$2:$E$5,Config!$F$2:$F$5),_xlfn.XLOOKUP(I299,Config!$G$2:$G$3,Config!$H$2:$H$3),_xlfn.XLOOKUP(J299,Config!$I$2:$I$3,Config!$J$2:$J$3),_xlfn.XLOOKUP(K299,Config!$K$2:$K$3,Config!$L$2:$L$3),_xlfn.XLOOKUP(L299,Config!$M$2:$M$3,Config!$N$2:$N$3),_xlfn.XLOOKUP(M299,Config!$O$2:$O$6,Config!$P$2:$P$6))</f>
        <v>1.4960086020000002E-4</v>
      </c>
      <c r="Q299" s="22">
        <v>1</v>
      </c>
      <c r="R299" s="16">
        <f>P299*Q299*Config!$B$19</f>
        <v>1.0994412807144581E-4</v>
      </c>
    </row>
    <row r="300" spans="1:18" x14ac:dyDescent="0.45">
      <c r="A300" s="9">
        <v>299</v>
      </c>
      <c r="B300" s="9" t="s">
        <v>187</v>
      </c>
      <c r="C300" s="9" t="s">
        <v>757</v>
      </c>
      <c r="D300" s="9" t="s">
        <v>1206</v>
      </c>
      <c r="E300" t="s">
        <v>162</v>
      </c>
      <c r="F300" t="s">
        <v>988</v>
      </c>
      <c r="G300" t="s">
        <v>834</v>
      </c>
      <c r="H300" t="s">
        <v>768</v>
      </c>
      <c r="I300" s="12" t="s">
        <v>1107</v>
      </c>
      <c r="K300" s="12" t="s">
        <v>1062</v>
      </c>
      <c r="L300" s="12" t="s">
        <v>1110</v>
      </c>
      <c r="M300" s="12" t="s">
        <v>838</v>
      </c>
      <c r="N300" s="14" t="s">
        <v>997</v>
      </c>
      <c r="O300" t="s">
        <v>161</v>
      </c>
      <c r="P300" s="16">
        <f>PRODUCT(_xlfn.XLOOKUP(F300,Config!$A$2:$A$15,Config!$B$2:$B$15),_xlfn.XLOOKUP(G300,Config!$C$2:$C$7,Config!$D$2:$D$7),_xlfn.XLOOKUP(H300,Config!$E$2:$E$5,Config!$F$2:$F$5),_xlfn.XLOOKUP(I300,Config!$G$2:$G$3,Config!$H$2:$H$3),_xlfn.XLOOKUP(J300,Config!$I$2:$I$3,Config!$J$2:$J$3),_xlfn.XLOOKUP(K300,Config!$K$2:$K$3,Config!$L$2:$L$3),_xlfn.XLOOKUP(L300,Config!$M$2:$M$3,Config!$N$2:$N$3),_xlfn.XLOOKUP(M300,Config!$O$2:$O$6,Config!$P$2:$P$6))</f>
        <v>5.0773625279999996E-4</v>
      </c>
      <c r="Q300" s="22">
        <v>1</v>
      </c>
      <c r="R300" s="16">
        <f>P300*Q300*Config!$B$19</f>
        <v>3.7314370739399786E-4</v>
      </c>
    </row>
    <row r="301" spans="1:18" x14ac:dyDescent="0.45">
      <c r="A301" s="7">
        <v>300</v>
      </c>
      <c r="B301" s="7" t="s">
        <v>191</v>
      </c>
      <c r="C301" s="7" t="s">
        <v>762</v>
      </c>
      <c r="D301" s="7" t="s">
        <v>291</v>
      </c>
      <c r="E301" t="s">
        <v>127</v>
      </c>
      <c r="F301" t="s">
        <v>988</v>
      </c>
      <c r="G301" t="s">
        <v>834</v>
      </c>
      <c r="H301" t="s">
        <v>768</v>
      </c>
      <c r="I301" s="12" t="s">
        <v>1107</v>
      </c>
      <c r="K301" s="12" t="s">
        <v>1062</v>
      </c>
      <c r="L301" s="12" t="s">
        <v>1110</v>
      </c>
      <c r="M301" s="12" t="s">
        <v>838</v>
      </c>
      <c r="N301" s="12" t="s">
        <v>1190</v>
      </c>
      <c r="O301" t="s">
        <v>59</v>
      </c>
      <c r="P301" s="16">
        <f>PRODUCT(_xlfn.XLOOKUP(F301,Config!$A$2:$A$15,Config!$B$2:$B$15),_xlfn.XLOOKUP(G301,Config!$C$2:$C$7,Config!$D$2:$D$7),_xlfn.XLOOKUP(H301,Config!$E$2:$E$5,Config!$F$2:$F$5),_xlfn.XLOOKUP(I301,Config!$G$2:$G$3,Config!$H$2:$H$3),_xlfn.XLOOKUP(J301,Config!$I$2:$I$3,Config!$J$2:$J$3),_xlfn.XLOOKUP(K301,Config!$K$2:$K$3,Config!$L$2:$L$3),_xlfn.XLOOKUP(L301,Config!$M$2:$M$3,Config!$N$2:$N$3),_xlfn.XLOOKUP(M301,Config!$O$2:$O$6,Config!$P$2:$P$6))</f>
        <v>5.0773625279999996E-4</v>
      </c>
      <c r="Q301" s="22">
        <v>1</v>
      </c>
      <c r="R301" s="16">
        <f>P301*Q301*Config!$B$19</f>
        <v>3.7314370739399786E-4</v>
      </c>
    </row>
    <row r="302" spans="1:18" x14ac:dyDescent="0.45">
      <c r="A302" s="7">
        <v>301</v>
      </c>
      <c r="B302" s="7" t="s">
        <v>186</v>
      </c>
      <c r="C302" s="7" t="s">
        <v>756</v>
      </c>
      <c r="D302" s="7" t="s">
        <v>293</v>
      </c>
      <c r="E302" t="s">
        <v>164</v>
      </c>
      <c r="F302" t="s">
        <v>988</v>
      </c>
      <c r="G302" t="s">
        <v>834</v>
      </c>
      <c r="H302" t="s">
        <v>768</v>
      </c>
      <c r="I302" s="12" t="s">
        <v>1107</v>
      </c>
      <c r="K302" s="12" t="s">
        <v>1062</v>
      </c>
      <c r="L302" s="12" t="s">
        <v>1110</v>
      </c>
      <c r="M302" s="12" t="s">
        <v>838</v>
      </c>
      <c r="N302" s="12" t="s">
        <v>1190</v>
      </c>
      <c r="O302" t="s">
        <v>163</v>
      </c>
      <c r="P302" s="16">
        <f>PRODUCT(_xlfn.XLOOKUP(F302,Config!$A$2:$A$15,Config!$B$2:$B$15),_xlfn.XLOOKUP(G302,Config!$C$2:$C$7,Config!$D$2:$D$7),_xlfn.XLOOKUP(H302,Config!$E$2:$E$5,Config!$F$2:$F$5),_xlfn.XLOOKUP(I302,Config!$G$2:$G$3,Config!$H$2:$H$3),_xlfn.XLOOKUP(J302,Config!$I$2:$I$3,Config!$J$2:$J$3),_xlfn.XLOOKUP(K302,Config!$K$2:$K$3,Config!$L$2:$L$3),_xlfn.XLOOKUP(L302,Config!$M$2:$M$3,Config!$N$2:$N$3),_xlfn.XLOOKUP(M302,Config!$O$2:$O$6,Config!$P$2:$P$6))</f>
        <v>5.0773625279999996E-4</v>
      </c>
      <c r="Q302" s="22">
        <v>1</v>
      </c>
      <c r="R302" s="16">
        <f>P302*Q302*Config!$B$19</f>
        <v>3.7314370739399786E-4</v>
      </c>
    </row>
    <row r="303" spans="1:18" x14ac:dyDescent="0.45">
      <c r="A303" s="7">
        <v>302</v>
      </c>
      <c r="B303" s="7" t="s">
        <v>53</v>
      </c>
      <c r="C303" s="7" t="s">
        <v>754</v>
      </c>
      <c r="D303" s="7" t="s">
        <v>290</v>
      </c>
      <c r="E303" s="2" t="s">
        <v>123</v>
      </c>
      <c r="F303" t="s">
        <v>988</v>
      </c>
      <c r="G303" t="s">
        <v>834</v>
      </c>
      <c r="H303" t="s">
        <v>768</v>
      </c>
      <c r="I303" s="12" t="s">
        <v>1107</v>
      </c>
      <c r="K303" s="12" t="s">
        <v>1062</v>
      </c>
      <c r="L303" s="12" t="s">
        <v>1110</v>
      </c>
      <c r="M303" t="s">
        <v>836</v>
      </c>
      <c r="N303" s="12" t="s">
        <v>1190</v>
      </c>
      <c r="O303" s="2" t="s">
        <v>126</v>
      </c>
      <c r="P303" s="16">
        <f>PRODUCT(_xlfn.XLOOKUP(F303,Config!$A$2:$A$15,Config!$B$2:$B$15),_xlfn.XLOOKUP(G303,Config!$C$2:$C$7,Config!$D$2:$D$7),_xlfn.XLOOKUP(H303,Config!$E$2:$E$5,Config!$F$2:$F$5),_xlfn.XLOOKUP(I303,Config!$G$2:$G$3,Config!$H$2:$H$3),_xlfn.XLOOKUP(J303,Config!$I$2:$I$3,Config!$J$2:$J$3),_xlfn.XLOOKUP(K303,Config!$K$2:$K$3,Config!$L$2:$L$3),_xlfn.XLOOKUP(L303,Config!$M$2:$M$3,Config!$N$2:$N$3),_xlfn.XLOOKUP(M303,Config!$O$2:$O$6,Config!$P$2:$P$6))</f>
        <v>1.2693406319999999E-4</v>
      </c>
      <c r="Q303" s="22">
        <v>1</v>
      </c>
      <c r="R303" s="16">
        <f>P303*Q303*Config!$B$19</f>
        <v>9.3285926848499465E-5</v>
      </c>
    </row>
    <row r="304" spans="1:18" x14ac:dyDescent="0.45">
      <c r="A304" s="7">
        <v>303</v>
      </c>
      <c r="B304" s="7" t="s">
        <v>188</v>
      </c>
      <c r="C304" s="7" t="s">
        <v>763</v>
      </c>
      <c r="D304" s="7" t="s">
        <v>294</v>
      </c>
      <c r="E304" t="s">
        <v>160</v>
      </c>
      <c r="F304" t="s">
        <v>988</v>
      </c>
      <c r="G304" t="s">
        <v>834</v>
      </c>
      <c r="H304" t="s">
        <v>768</v>
      </c>
      <c r="I304" s="12" t="s">
        <v>1107</v>
      </c>
      <c r="K304" s="12" t="s">
        <v>1062</v>
      </c>
      <c r="L304" s="12" t="s">
        <v>1110</v>
      </c>
      <c r="M304" t="s">
        <v>836</v>
      </c>
      <c r="N304" s="12" t="s">
        <v>1190</v>
      </c>
      <c r="O304" t="s">
        <v>159</v>
      </c>
      <c r="P304" s="16">
        <f>PRODUCT(_xlfn.XLOOKUP(F304,Config!$A$2:$A$15,Config!$B$2:$B$15),_xlfn.XLOOKUP(G304,Config!$C$2:$C$7,Config!$D$2:$D$7),_xlfn.XLOOKUP(H304,Config!$E$2:$E$5,Config!$F$2:$F$5),_xlfn.XLOOKUP(I304,Config!$G$2:$G$3,Config!$H$2:$H$3),_xlfn.XLOOKUP(J304,Config!$I$2:$I$3,Config!$J$2:$J$3),_xlfn.XLOOKUP(K304,Config!$K$2:$K$3,Config!$L$2:$L$3),_xlfn.XLOOKUP(L304,Config!$M$2:$M$3,Config!$N$2:$N$3),_xlfn.XLOOKUP(M304,Config!$O$2:$O$6,Config!$P$2:$P$6))</f>
        <v>1.2693406319999999E-4</v>
      </c>
      <c r="Q304" s="22">
        <v>1</v>
      </c>
      <c r="R304" s="16">
        <f>P304*Q304*Config!$B$19</f>
        <v>9.3285926848499465E-5</v>
      </c>
    </row>
    <row r="305" spans="1:18" x14ac:dyDescent="0.45">
      <c r="A305" s="7">
        <v>304</v>
      </c>
      <c r="B305" s="7" t="s">
        <v>183</v>
      </c>
      <c r="C305" s="7" t="s">
        <v>758</v>
      </c>
      <c r="D305" s="7" t="s">
        <v>292</v>
      </c>
      <c r="E305" t="s">
        <v>166</v>
      </c>
      <c r="F305" t="s">
        <v>988</v>
      </c>
      <c r="G305" t="s">
        <v>834</v>
      </c>
      <c r="H305" t="s">
        <v>768</v>
      </c>
      <c r="I305" s="12" t="s">
        <v>1107</v>
      </c>
      <c r="K305" s="12" t="s">
        <v>1062</v>
      </c>
      <c r="L305" t="s">
        <v>1111</v>
      </c>
      <c r="M305" s="12" t="s">
        <v>838</v>
      </c>
      <c r="N305" s="12" t="s">
        <v>1190</v>
      </c>
      <c r="O305" t="s">
        <v>165</v>
      </c>
      <c r="P305" s="16">
        <f>PRODUCT(_xlfn.XLOOKUP(F305,Config!$A$2:$A$15,Config!$B$2:$B$15),_xlfn.XLOOKUP(G305,Config!$C$2:$C$7,Config!$D$2:$D$7),_xlfn.XLOOKUP(H305,Config!$E$2:$E$5,Config!$F$2:$F$5),_xlfn.XLOOKUP(I305,Config!$G$2:$G$3,Config!$H$2:$H$3),_xlfn.XLOOKUP(J305,Config!$I$2:$I$3,Config!$J$2:$J$3),_xlfn.XLOOKUP(K305,Config!$K$2:$K$3,Config!$L$2:$L$3),_xlfn.XLOOKUP(L305,Config!$M$2:$M$3,Config!$N$2:$N$3),_xlfn.XLOOKUP(M305,Config!$O$2:$O$6,Config!$P$2:$P$6))</f>
        <v>8.9600515200000008E-5</v>
      </c>
      <c r="Q305" s="22">
        <v>1</v>
      </c>
      <c r="R305" s="16">
        <f>P305*Q305*Config!$B$19</f>
        <v>6.5848889540117276E-5</v>
      </c>
    </row>
    <row r="306" spans="1:18" x14ac:dyDescent="0.45">
      <c r="A306" s="7">
        <v>305</v>
      </c>
      <c r="B306" s="7" t="s">
        <v>1636</v>
      </c>
      <c r="C306" s="7" t="s">
        <v>1088</v>
      </c>
      <c r="D306" s="7" t="s">
        <v>1000</v>
      </c>
      <c r="E306" t="s">
        <v>1001</v>
      </c>
      <c r="F306" t="s">
        <v>984</v>
      </c>
      <c r="G306" t="s">
        <v>834</v>
      </c>
      <c r="H306" t="s">
        <v>808</v>
      </c>
      <c r="I306" s="12" t="s">
        <v>1107</v>
      </c>
      <c r="K306" s="12" t="s">
        <v>1062</v>
      </c>
      <c r="L306" s="12" t="s">
        <v>1110</v>
      </c>
      <c r="M306" s="12" t="s">
        <v>838</v>
      </c>
      <c r="N306" s="14" t="s">
        <v>1003</v>
      </c>
      <c r="P306" s="16">
        <f>PRODUCT(_xlfn.XLOOKUP(F306,Config!$A$2:$A$15,Config!$B$2:$B$15),_xlfn.XLOOKUP(G306,Config!$C$2:$C$7,Config!$D$2:$D$7),_xlfn.XLOOKUP(H306,Config!$E$2:$E$5,Config!$F$2:$F$5),_xlfn.XLOOKUP(I306,Config!$G$2:$G$3,Config!$H$2:$H$3),_xlfn.XLOOKUP(J306,Config!$I$2:$I$3,Config!$J$2:$J$3),_xlfn.XLOOKUP(K306,Config!$K$2:$K$3,Config!$L$2:$L$3),_xlfn.XLOOKUP(L306,Config!$M$2:$M$3,Config!$N$2:$N$3),_xlfn.XLOOKUP(M306,Config!$O$2:$O$6,Config!$P$2:$P$6))</f>
        <v>2.0825792064000002E-3</v>
      </c>
      <c r="Q306" s="22">
        <v>1</v>
      </c>
      <c r="R306" s="16">
        <f>P306*Q306*Config!$B$19</f>
        <v>1.5305216472770761E-3</v>
      </c>
    </row>
    <row r="307" spans="1:18" x14ac:dyDescent="0.45">
      <c r="A307" s="7">
        <v>306</v>
      </c>
      <c r="B307" s="7" t="s">
        <v>1635</v>
      </c>
      <c r="C307" s="7" t="s">
        <v>1089</v>
      </c>
      <c r="D307" s="7" t="s">
        <v>1095</v>
      </c>
      <c r="E307" t="s">
        <v>865</v>
      </c>
      <c r="F307" t="s">
        <v>984</v>
      </c>
      <c r="G307" t="s">
        <v>834</v>
      </c>
      <c r="H307" t="s">
        <v>808</v>
      </c>
      <c r="I307" s="12" t="s">
        <v>1107</v>
      </c>
      <c r="K307" s="12" t="s">
        <v>1062</v>
      </c>
      <c r="L307" s="12" t="s">
        <v>1110</v>
      </c>
      <c r="M307" s="12" t="s">
        <v>838</v>
      </c>
      <c r="N307" s="12" t="s">
        <v>1190</v>
      </c>
      <c r="P307" s="16">
        <f>PRODUCT(_xlfn.XLOOKUP(F307,Config!$A$2:$A$15,Config!$B$2:$B$15),_xlfn.XLOOKUP(G307,Config!$C$2:$C$7,Config!$D$2:$D$7),_xlfn.XLOOKUP(H307,Config!$E$2:$E$5,Config!$F$2:$F$5),_xlfn.XLOOKUP(I307,Config!$G$2:$G$3,Config!$H$2:$H$3),_xlfn.XLOOKUP(J307,Config!$I$2:$I$3,Config!$J$2:$J$3),_xlfn.XLOOKUP(K307,Config!$K$2:$K$3,Config!$L$2:$L$3),_xlfn.XLOOKUP(L307,Config!$M$2:$M$3,Config!$N$2:$N$3),_xlfn.XLOOKUP(M307,Config!$O$2:$O$6,Config!$P$2:$P$6))</f>
        <v>2.0825792064000002E-3</v>
      </c>
      <c r="Q307" s="22">
        <v>1</v>
      </c>
      <c r="R307" s="16">
        <f>P307*Q307*Config!$B$19</f>
        <v>1.5305216472770761E-3</v>
      </c>
    </row>
    <row r="308" spans="1:18" x14ac:dyDescent="0.45">
      <c r="A308" s="7">
        <v>307</v>
      </c>
      <c r="B308" s="7" t="s">
        <v>1636</v>
      </c>
      <c r="C308" s="7" t="s">
        <v>1088</v>
      </c>
      <c r="D308" s="7" t="s">
        <v>1096</v>
      </c>
      <c r="E308" t="s">
        <v>867</v>
      </c>
      <c r="F308" t="s">
        <v>984</v>
      </c>
      <c r="G308" t="s">
        <v>834</v>
      </c>
      <c r="H308" t="s">
        <v>808</v>
      </c>
      <c r="I308" s="12" t="s">
        <v>1107</v>
      </c>
      <c r="K308" s="12" t="s">
        <v>1062</v>
      </c>
      <c r="L308" s="12" t="s">
        <v>1110</v>
      </c>
      <c r="M308" s="12" t="s">
        <v>838</v>
      </c>
      <c r="N308" s="12" t="s">
        <v>1190</v>
      </c>
      <c r="P308" s="16">
        <f>PRODUCT(_xlfn.XLOOKUP(F308,Config!$A$2:$A$15,Config!$B$2:$B$15),_xlfn.XLOOKUP(G308,Config!$C$2:$C$7,Config!$D$2:$D$7),_xlfn.XLOOKUP(H308,Config!$E$2:$E$5,Config!$F$2:$F$5),_xlfn.XLOOKUP(I308,Config!$G$2:$G$3,Config!$H$2:$H$3),_xlfn.XLOOKUP(J308,Config!$I$2:$I$3,Config!$J$2:$J$3),_xlfn.XLOOKUP(K308,Config!$K$2:$K$3,Config!$L$2:$L$3),_xlfn.XLOOKUP(L308,Config!$M$2:$M$3,Config!$N$2:$N$3),_xlfn.XLOOKUP(M308,Config!$O$2:$O$6,Config!$P$2:$P$6))</f>
        <v>2.0825792064000002E-3</v>
      </c>
      <c r="Q308" s="22">
        <v>1</v>
      </c>
      <c r="R308" s="16">
        <f>P308*Q308*Config!$B$19</f>
        <v>1.5305216472770761E-3</v>
      </c>
    </row>
    <row r="309" spans="1:18" x14ac:dyDescent="0.45">
      <c r="A309" s="7">
        <v>308</v>
      </c>
      <c r="B309" s="7" t="s">
        <v>1637</v>
      </c>
      <c r="C309" s="7" t="s">
        <v>1090</v>
      </c>
      <c r="D309" s="7" t="s">
        <v>1097</v>
      </c>
      <c r="E309" t="s">
        <v>950</v>
      </c>
      <c r="F309" t="s">
        <v>984</v>
      </c>
      <c r="G309" t="s">
        <v>834</v>
      </c>
      <c r="H309" t="s">
        <v>808</v>
      </c>
      <c r="I309" s="12" t="s">
        <v>1107</v>
      </c>
      <c r="K309" s="12" t="s">
        <v>1062</v>
      </c>
      <c r="L309" s="12" t="s">
        <v>1110</v>
      </c>
      <c r="M309" s="12" t="s">
        <v>838</v>
      </c>
      <c r="N309" s="12" t="s">
        <v>1190</v>
      </c>
      <c r="P309" s="16">
        <f>PRODUCT(_xlfn.XLOOKUP(F309,Config!$A$2:$A$15,Config!$B$2:$B$15),_xlfn.XLOOKUP(G309,Config!$C$2:$C$7,Config!$D$2:$D$7),_xlfn.XLOOKUP(H309,Config!$E$2:$E$5,Config!$F$2:$F$5),_xlfn.XLOOKUP(I309,Config!$G$2:$G$3,Config!$H$2:$H$3),_xlfn.XLOOKUP(J309,Config!$I$2:$I$3,Config!$J$2:$J$3),_xlfn.XLOOKUP(K309,Config!$K$2:$K$3,Config!$L$2:$L$3),_xlfn.XLOOKUP(L309,Config!$M$2:$M$3,Config!$N$2:$N$3),_xlfn.XLOOKUP(M309,Config!$O$2:$O$6,Config!$P$2:$P$6))</f>
        <v>2.0825792064000002E-3</v>
      </c>
      <c r="Q309" s="22">
        <v>1</v>
      </c>
      <c r="R309" s="16">
        <f>P309*Q309*Config!$B$19</f>
        <v>1.5305216472770761E-3</v>
      </c>
    </row>
    <row r="310" spans="1:18" x14ac:dyDescent="0.45">
      <c r="A310" s="7">
        <v>309</v>
      </c>
      <c r="B310" s="7" t="s">
        <v>1635</v>
      </c>
      <c r="C310" s="7" t="s">
        <v>1089</v>
      </c>
      <c r="D310" s="7" t="s">
        <v>1095</v>
      </c>
      <c r="E310" t="s">
        <v>865</v>
      </c>
      <c r="F310" t="s">
        <v>971</v>
      </c>
      <c r="G310" t="s">
        <v>834</v>
      </c>
      <c r="H310" t="s">
        <v>808</v>
      </c>
      <c r="I310" s="12" t="s">
        <v>1107</v>
      </c>
      <c r="K310" s="12" t="s">
        <v>1062</v>
      </c>
      <c r="L310" s="12" t="s">
        <v>1110</v>
      </c>
      <c r="M310" s="12" t="s">
        <v>838</v>
      </c>
      <c r="N310" s="12" t="s">
        <v>1190</v>
      </c>
      <c r="P310" s="16">
        <f>PRODUCT(_xlfn.XLOOKUP(F310,Config!$A$2:$A$15,Config!$B$2:$B$15),_xlfn.XLOOKUP(G310,Config!$C$2:$C$7,Config!$D$2:$D$7),_xlfn.XLOOKUP(H310,Config!$E$2:$E$5,Config!$F$2:$F$5),_xlfn.XLOOKUP(I310,Config!$G$2:$G$3,Config!$H$2:$H$3),_xlfn.XLOOKUP(J310,Config!$I$2:$I$3,Config!$J$2:$J$3),_xlfn.XLOOKUP(K310,Config!$K$2:$K$3,Config!$L$2:$L$3),_xlfn.XLOOKUP(L310,Config!$M$2:$M$3,Config!$N$2:$N$3),_xlfn.XLOOKUP(M310,Config!$O$2:$O$6,Config!$P$2:$P$6))</f>
        <v>1.1714508036E-3</v>
      </c>
      <c r="Q310" s="22">
        <v>1</v>
      </c>
      <c r="R310" s="16">
        <f>P310*Q310*Config!$B$19</f>
        <v>8.6091842659335527E-4</v>
      </c>
    </row>
    <row r="311" spans="1:18" x14ac:dyDescent="0.45">
      <c r="A311" s="7">
        <v>310</v>
      </c>
      <c r="B311" s="7" t="s">
        <v>1636</v>
      </c>
      <c r="C311" s="7" t="s">
        <v>1088</v>
      </c>
      <c r="D311" s="7" t="s">
        <v>1096</v>
      </c>
      <c r="E311" t="s">
        <v>867</v>
      </c>
      <c r="F311" t="s">
        <v>971</v>
      </c>
      <c r="G311" t="s">
        <v>834</v>
      </c>
      <c r="H311" t="s">
        <v>808</v>
      </c>
      <c r="I311" s="12" t="s">
        <v>1107</v>
      </c>
      <c r="K311" s="12" t="s">
        <v>1062</v>
      </c>
      <c r="L311" s="12" t="s">
        <v>1110</v>
      </c>
      <c r="M311" s="12" t="s">
        <v>838</v>
      </c>
      <c r="N311" s="12" t="s">
        <v>1190</v>
      </c>
      <c r="P311" s="16">
        <f>PRODUCT(_xlfn.XLOOKUP(F311,Config!$A$2:$A$15,Config!$B$2:$B$15),_xlfn.XLOOKUP(G311,Config!$C$2:$C$7,Config!$D$2:$D$7),_xlfn.XLOOKUP(H311,Config!$E$2:$E$5,Config!$F$2:$F$5),_xlfn.XLOOKUP(I311,Config!$G$2:$G$3,Config!$H$2:$H$3),_xlfn.XLOOKUP(J311,Config!$I$2:$I$3,Config!$J$2:$J$3),_xlfn.XLOOKUP(K311,Config!$K$2:$K$3,Config!$L$2:$L$3),_xlfn.XLOOKUP(L311,Config!$M$2:$M$3,Config!$N$2:$N$3),_xlfn.XLOOKUP(M311,Config!$O$2:$O$6,Config!$P$2:$P$6))</f>
        <v>1.1714508036E-3</v>
      </c>
      <c r="Q311" s="22">
        <v>1</v>
      </c>
      <c r="R311" s="16">
        <f>P311*Q311*Config!$B$19</f>
        <v>8.6091842659335527E-4</v>
      </c>
    </row>
    <row r="312" spans="1:18" x14ac:dyDescent="0.45">
      <c r="A312" s="7">
        <v>311</v>
      </c>
      <c r="B312" s="7" t="s">
        <v>1637</v>
      </c>
      <c r="C312" s="7" t="s">
        <v>1088</v>
      </c>
      <c r="D312" s="7" t="s">
        <v>1096</v>
      </c>
      <c r="E312" t="s">
        <v>915</v>
      </c>
      <c r="F312" t="s">
        <v>971</v>
      </c>
      <c r="G312" t="s">
        <v>834</v>
      </c>
      <c r="H312" t="s">
        <v>808</v>
      </c>
      <c r="I312" s="12" t="s">
        <v>1107</v>
      </c>
      <c r="K312" s="12" t="s">
        <v>1062</v>
      </c>
      <c r="L312" s="12" t="s">
        <v>1110</v>
      </c>
      <c r="M312" s="12" t="s">
        <v>838</v>
      </c>
      <c r="N312" s="12" t="s">
        <v>1190</v>
      </c>
      <c r="P312" s="16">
        <f>PRODUCT(_xlfn.XLOOKUP(F312,Config!$A$2:$A$15,Config!$B$2:$B$15),_xlfn.XLOOKUP(G312,Config!$C$2:$C$7,Config!$D$2:$D$7),_xlfn.XLOOKUP(H312,Config!$E$2:$E$5,Config!$F$2:$F$5),_xlfn.XLOOKUP(I312,Config!$G$2:$G$3,Config!$H$2:$H$3),_xlfn.XLOOKUP(J312,Config!$I$2:$I$3,Config!$J$2:$J$3),_xlfn.XLOOKUP(K312,Config!$K$2:$K$3,Config!$L$2:$L$3),_xlfn.XLOOKUP(L312,Config!$M$2:$M$3,Config!$N$2:$N$3),_xlfn.XLOOKUP(M312,Config!$O$2:$O$6,Config!$P$2:$P$6))</f>
        <v>1.1714508036E-3</v>
      </c>
      <c r="Q312" s="22">
        <v>1</v>
      </c>
      <c r="R312" s="16">
        <f>P312*Q312*Config!$B$19</f>
        <v>8.6091842659335527E-4</v>
      </c>
    </row>
    <row r="313" spans="1:18" x14ac:dyDescent="0.45">
      <c r="A313" s="7">
        <v>312</v>
      </c>
      <c r="B313" s="7" t="s">
        <v>1637</v>
      </c>
      <c r="C313" s="7" t="s">
        <v>1090</v>
      </c>
      <c r="D313" s="7" t="s">
        <v>1097</v>
      </c>
      <c r="E313" t="s">
        <v>950</v>
      </c>
      <c r="F313" t="s">
        <v>971</v>
      </c>
      <c r="G313" t="s">
        <v>834</v>
      </c>
      <c r="H313" t="s">
        <v>808</v>
      </c>
      <c r="I313" s="12" t="s">
        <v>1107</v>
      </c>
      <c r="K313" s="12" t="s">
        <v>1062</v>
      </c>
      <c r="L313" s="12" t="s">
        <v>1110</v>
      </c>
      <c r="M313" s="12" t="s">
        <v>838</v>
      </c>
      <c r="N313" s="12" t="s">
        <v>1190</v>
      </c>
      <c r="P313" s="16">
        <f>PRODUCT(_xlfn.XLOOKUP(F313,Config!$A$2:$A$15,Config!$B$2:$B$15),_xlfn.XLOOKUP(G313,Config!$C$2:$C$7,Config!$D$2:$D$7),_xlfn.XLOOKUP(H313,Config!$E$2:$E$5,Config!$F$2:$F$5),_xlfn.XLOOKUP(I313,Config!$G$2:$G$3,Config!$H$2:$H$3),_xlfn.XLOOKUP(J313,Config!$I$2:$I$3,Config!$J$2:$J$3),_xlfn.XLOOKUP(K313,Config!$K$2:$K$3,Config!$L$2:$L$3),_xlfn.XLOOKUP(L313,Config!$M$2:$M$3,Config!$N$2:$N$3),_xlfn.XLOOKUP(M313,Config!$O$2:$O$6,Config!$P$2:$P$6))</f>
        <v>1.1714508036E-3</v>
      </c>
      <c r="Q313" s="22">
        <v>1</v>
      </c>
      <c r="R313" s="16">
        <f>P313*Q313*Config!$B$19</f>
        <v>8.6091842659335527E-4</v>
      </c>
    </row>
    <row r="314" spans="1:18" x14ac:dyDescent="0.45">
      <c r="A314" s="7">
        <v>313</v>
      </c>
      <c r="B314" s="7" t="s">
        <v>1636</v>
      </c>
      <c r="C314" s="7" t="s">
        <v>1088</v>
      </c>
      <c r="D314" s="7" t="s">
        <v>1002</v>
      </c>
      <c r="E314" t="s">
        <v>1001</v>
      </c>
      <c r="F314" t="s">
        <v>985</v>
      </c>
      <c r="G314" t="s">
        <v>834</v>
      </c>
      <c r="H314" t="s">
        <v>808</v>
      </c>
      <c r="I314" s="12" t="s">
        <v>1107</v>
      </c>
      <c r="K314" s="12" t="s">
        <v>1062</v>
      </c>
      <c r="L314" s="12" t="s">
        <v>1110</v>
      </c>
      <c r="M314" s="12" t="s">
        <v>838</v>
      </c>
      <c r="N314" s="14" t="s">
        <v>1003</v>
      </c>
      <c r="P314" s="16">
        <f>PRODUCT(_xlfn.XLOOKUP(F314,Config!$A$2:$A$15,Config!$B$2:$B$15),_xlfn.XLOOKUP(G314,Config!$C$2:$C$7,Config!$D$2:$D$7),_xlfn.XLOOKUP(H314,Config!$E$2:$E$5,Config!$F$2:$F$5),_xlfn.XLOOKUP(I314,Config!$G$2:$G$3,Config!$H$2:$H$3),_xlfn.XLOOKUP(J314,Config!$I$2:$I$3,Config!$J$2:$J$3),_xlfn.XLOOKUP(K314,Config!$K$2:$K$3,Config!$L$2:$L$3),_xlfn.XLOOKUP(L314,Config!$M$2:$M$3,Config!$N$2:$N$3),_xlfn.XLOOKUP(M314,Config!$O$2:$O$6,Config!$P$2:$P$6))</f>
        <v>1.7985911328000002E-3</v>
      </c>
      <c r="Q314" s="22">
        <v>1</v>
      </c>
      <c r="R314" s="16">
        <f>P314*Q314*Config!$B$19</f>
        <v>1.3218141499211113E-3</v>
      </c>
    </row>
    <row r="315" spans="1:18" x14ac:dyDescent="0.45">
      <c r="A315" s="7">
        <v>314</v>
      </c>
      <c r="B315" s="7" t="s">
        <v>1635</v>
      </c>
      <c r="C315" s="7" t="s">
        <v>1089</v>
      </c>
      <c r="D315" s="7" t="s">
        <v>1095</v>
      </c>
      <c r="E315" t="s">
        <v>865</v>
      </c>
      <c r="F315" t="s">
        <v>985</v>
      </c>
      <c r="G315" t="s">
        <v>834</v>
      </c>
      <c r="H315" t="s">
        <v>808</v>
      </c>
      <c r="I315" s="12" t="s">
        <v>1107</v>
      </c>
      <c r="K315" s="12" t="s">
        <v>1062</v>
      </c>
      <c r="L315" s="12" t="s">
        <v>1110</v>
      </c>
      <c r="M315" s="12" t="s">
        <v>838</v>
      </c>
      <c r="N315" s="12" t="s">
        <v>1190</v>
      </c>
      <c r="P315" s="16">
        <f>PRODUCT(_xlfn.XLOOKUP(F315,Config!$A$2:$A$15,Config!$B$2:$B$15),_xlfn.XLOOKUP(G315,Config!$C$2:$C$7,Config!$D$2:$D$7),_xlfn.XLOOKUP(H315,Config!$E$2:$E$5,Config!$F$2:$F$5),_xlfn.XLOOKUP(I315,Config!$G$2:$G$3,Config!$H$2:$H$3),_xlfn.XLOOKUP(J315,Config!$I$2:$I$3,Config!$J$2:$J$3),_xlfn.XLOOKUP(K315,Config!$K$2:$K$3,Config!$L$2:$L$3),_xlfn.XLOOKUP(L315,Config!$M$2:$M$3,Config!$N$2:$N$3),_xlfn.XLOOKUP(M315,Config!$O$2:$O$6,Config!$P$2:$P$6))</f>
        <v>1.7985911328000002E-3</v>
      </c>
      <c r="Q315" s="22">
        <v>1</v>
      </c>
      <c r="R315" s="16">
        <f>P315*Q315*Config!$B$19</f>
        <v>1.3218141499211113E-3</v>
      </c>
    </row>
    <row r="316" spans="1:18" x14ac:dyDescent="0.45">
      <c r="A316" s="7">
        <v>315</v>
      </c>
      <c r="B316" s="7" t="s">
        <v>1636</v>
      </c>
      <c r="C316" s="7" t="s">
        <v>1088</v>
      </c>
      <c r="D316" s="7" t="s">
        <v>1096</v>
      </c>
      <c r="E316" t="s">
        <v>867</v>
      </c>
      <c r="F316" t="s">
        <v>985</v>
      </c>
      <c r="G316" t="s">
        <v>834</v>
      </c>
      <c r="H316" t="s">
        <v>808</v>
      </c>
      <c r="I316" s="12" t="s">
        <v>1107</v>
      </c>
      <c r="K316" s="12" t="s">
        <v>1062</v>
      </c>
      <c r="L316" s="12" t="s">
        <v>1110</v>
      </c>
      <c r="M316" s="12" t="s">
        <v>838</v>
      </c>
      <c r="N316" s="12" t="s">
        <v>1190</v>
      </c>
      <c r="P316" s="16">
        <f>PRODUCT(_xlfn.XLOOKUP(F316,Config!$A$2:$A$15,Config!$B$2:$B$15),_xlfn.XLOOKUP(G316,Config!$C$2:$C$7,Config!$D$2:$D$7),_xlfn.XLOOKUP(H316,Config!$E$2:$E$5,Config!$F$2:$F$5),_xlfn.XLOOKUP(I316,Config!$G$2:$G$3,Config!$H$2:$H$3),_xlfn.XLOOKUP(J316,Config!$I$2:$I$3,Config!$J$2:$J$3),_xlfn.XLOOKUP(K316,Config!$K$2:$K$3,Config!$L$2:$L$3),_xlfn.XLOOKUP(L316,Config!$M$2:$M$3,Config!$N$2:$N$3),_xlfn.XLOOKUP(M316,Config!$O$2:$O$6,Config!$P$2:$P$6))</f>
        <v>1.7985911328000002E-3</v>
      </c>
      <c r="Q316" s="22">
        <v>1</v>
      </c>
      <c r="R316" s="16">
        <f>P316*Q316*Config!$B$19</f>
        <v>1.3218141499211113E-3</v>
      </c>
    </row>
    <row r="317" spans="1:18" x14ac:dyDescent="0.45">
      <c r="A317" s="7">
        <v>316</v>
      </c>
      <c r="B317" s="7" t="s">
        <v>1637</v>
      </c>
      <c r="C317" s="7" t="s">
        <v>1090</v>
      </c>
      <c r="D317" s="7" t="s">
        <v>1097</v>
      </c>
      <c r="E317" t="s">
        <v>950</v>
      </c>
      <c r="F317" t="s">
        <v>985</v>
      </c>
      <c r="G317" t="s">
        <v>834</v>
      </c>
      <c r="H317" t="s">
        <v>808</v>
      </c>
      <c r="I317" s="12" t="s">
        <v>1107</v>
      </c>
      <c r="K317" s="12" t="s">
        <v>1062</v>
      </c>
      <c r="L317" s="12" t="s">
        <v>1110</v>
      </c>
      <c r="M317" s="12" t="s">
        <v>838</v>
      </c>
      <c r="N317" s="12" t="s">
        <v>1190</v>
      </c>
      <c r="P317" s="16">
        <f>PRODUCT(_xlfn.XLOOKUP(F317,Config!$A$2:$A$15,Config!$B$2:$B$15),_xlfn.XLOOKUP(G317,Config!$C$2:$C$7,Config!$D$2:$D$7),_xlfn.XLOOKUP(H317,Config!$E$2:$E$5,Config!$F$2:$F$5),_xlfn.XLOOKUP(I317,Config!$G$2:$G$3,Config!$H$2:$H$3),_xlfn.XLOOKUP(J317,Config!$I$2:$I$3,Config!$J$2:$J$3),_xlfn.XLOOKUP(K317,Config!$K$2:$K$3,Config!$L$2:$L$3),_xlfn.XLOOKUP(L317,Config!$M$2:$M$3,Config!$N$2:$N$3),_xlfn.XLOOKUP(M317,Config!$O$2:$O$6,Config!$P$2:$P$6))</f>
        <v>1.7985911328000002E-3</v>
      </c>
      <c r="Q317" s="22">
        <v>1</v>
      </c>
      <c r="R317" s="16">
        <f>P317*Q317*Config!$B$19</f>
        <v>1.3218141499211113E-3</v>
      </c>
    </row>
    <row r="318" spans="1:18" x14ac:dyDescent="0.45">
      <c r="A318" s="7">
        <v>317</v>
      </c>
      <c r="B318" s="7" t="s">
        <v>1636</v>
      </c>
      <c r="C318" s="7" t="s">
        <v>1088</v>
      </c>
      <c r="D318" s="7" t="s">
        <v>1096</v>
      </c>
      <c r="E318" t="s">
        <v>1001</v>
      </c>
      <c r="F318" t="s">
        <v>986</v>
      </c>
      <c r="G318" t="s">
        <v>834</v>
      </c>
      <c r="H318" t="s">
        <v>808</v>
      </c>
      <c r="I318" s="12" t="s">
        <v>1107</v>
      </c>
      <c r="K318" s="12" t="s">
        <v>1062</v>
      </c>
      <c r="L318" s="12" t="s">
        <v>1110</v>
      </c>
      <c r="M318" s="12" t="s">
        <v>838</v>
      </c>
      <c r="N318" s="14" t="s">
        <v>1003</v>
      </c>
      <c r="P318" s="16">
        <f>PRODUCT(_xlfn.XLOOKUP(F318,Config!$A$2:$A$15,Config!$B$2:$B$15),_xlfn.XLOOKUP(G318,Config!$C$2:$C$7,Config!$D$2:$D$7),_xlfn.XLOOKUP(H318,Config!$E$2:$E$5,Config!$F$2:$F$5),_xlfn.XLOOKUP(I318,Config!$G$2:$G$3,Config!$H$2:$H$3),_xlfn.XLOOKUP(J318,Config!$I$2:$I$3,Config!$J$2:$J$3),_xlfn.XLOOKUP(K318,Config!$K$2:$K$3,Config!$L$2:$L$3),_xlfn.XLOOKUP(L318,Config!$M$2:$M$3,Config!$N$2:$N$3),_xlfn.XLOOKUP(M318,Config!$O$2:$O$6,Config!$P$2:$P$6))</f>
        <v>1.0117075122E-3</v>
      </c>
      <c r="Q318" s="22">
        <v>1</v>
      </c>
      <c r="R318" s="16">
        <f>P318*Q318*Config!$B$19</f>
        <v>7.4352045933062498E-4</v>
      </c>
    </row>
    <row r="319" spans="1:18" x14ac:dyDescent="0.45">
      <c r="A319" s="7">
        <v>318</v>
      </c>
      <c r="B319" s="7" t="s">
        <v>1635</v>
      </c>
      <c r="C319" s="7" t="s">
        <v>1089</v>
      </c>
      <c r="D319" s="7" t="s">
        <v>1095</v>
      </c>
      <c r="E319" t="s">
        <v>865</v>
      </c>
      <c r="F319" t="s">
        <v>986</v>
      </c>
      <c r="G319" t="s">
        <v>834</v>
      </c>
      <c r="H319" t="s">
        <v>808</v>
      </c>
      <c r="I319" s="12" t="s">
        <v>1107</v>
      </c>
      <c r="K319" s="12" t="s">
        <v>1062</v>
      </c>
      <c r="L319" s="12" t="s">
        <v>1110</v>
      </c>
      <c r="M319" s="12" t="s">
        <v>838</v>
      </c>
      <c r="N319" s="12" t="s">
        <v>1190</v>
      </c>
      <c r="P319" s="16">
        <f>PRODUCT(_xlfn.XLOOKUP(F319,Config!$A$2:$A$15,Config!$B$2:$B$15),_xlfn.XLOOKUP(G319,Config!$C$2:$C$7,Config!$D$2:$D$7),_xlfn.XLOOKUP(H319,Config!$E$2:$E$5,Config!$F$2:$F$5),_xlfn.XLOOKUP(I319,Config!$G$2:$G$3,Config!$H$2:$H$3),_xlfn.XLOOKUP(J319,Config!$I$2:$I$3,Config!$J$2:$J$3),_xlfn.XLOOKUP(K319,Config!$K$2:$K$3,Config!$L$2:$L$3),_xlfn.XLOOKUP(L319,Config!$M$2:$M$3,Config!$N$2:$N$3),_xlfn.XLOOKUP(M319,Config!$O$2:$O$6,Config!$P$2:$P$6))</f>
        <v>1.0117075122E-3</v>
      </c>
      <c r="Q319" s="22">
        <v>1</v>
      </c>
      <c r="R319" s="16">
        <f>P319*Q319*Config!$B$19</f>
        <v>7.4352045933062498E-4</v>
      </c>
    </row>
    <row r="320" spans="1:18" x14ac:dyDescent="0.45">
      <c r="A320" s="7">
        <v>319</v>
      </c>
      <c r="B320" s="7" t="s">
        <v>1636</v>
      </c>
      <c r="C320" s="7" t="s">
        <v>1088</v>
      </c>
      <c r="D320" s="7" t="s">
        <v>1096</v>
      </c>
      <c r="E320" t="s">
        <v>867</v>
      </c>
      <c r="F320" t="s">
        <v>986</v>
      </c>
      <c r="G320" t="s">
        <v>834</v>
      </c>
      <c r="H320" t="s">
        <v>808</v>
      </c>
      <c r="I320" s="12" t="s">
        <v>1107</v>
      </c>
      <c r="K320" s="12" t="s">
        <v>1062</v>
      </c>
      <c r="L320" s="12" t="s">
        <v>1110</v>
      </c>
      <c r="M320" s="12" t="s">
        <v>838</v>
      </c>
      <c r="N320" s="12" t="s">
        <v>1190</v>
      </c>
      <c r="P320" s="16">
        <f>PRODUCT(_xlfn.XLOOKUP(F320,Config!$A$2:$A$15,Config!$B$2:$B$15),_xlfn.XLOOKUP(G320,Config!$C$2:$C$7,Config!$D$2:$D$7),_xlfn.XLOOKUP(H320,Config!$E$2:$E$5,Config!$F$2:$F$5),_xlfn.XLOOKUP(I320,Config!$G$2:$G$3,Config!$H$2:$H$3),_xlfn.XLOOKUP(J320,Config!$I$2:$I$3,Config!$J$2:$J$3),_xlfn.XLOOKUP(K320,Config!$K$2:$K$3,Config!$L$2:$L$3),_xlfn.XLOOKUP(L320,Config!$M$2:$M$3,Config!$N$2:$N$3),_xlfn.XLOOKUP(M320,Config!$O$2:$O$6,Config!$P$2:$P$6))</f>
        <v>1.0117075122E-3</v>
      </c>
      <c r="Q320" s="22">
        <v>1</v>
      </c>
      <c r="R320" s="16">
        <f>P320*Q320*Config!$B$19</f>
        <v>7.4352045933062498E-4</v>
      </c>
    </row>
    <row r="321" spans="1:18" x14ac:dyDescent="0.45">
      <c r="A321" s="7">
        <v>320</v>
      </c>
      <c r="B321" s="7" t="s">
        <v>1637</v>
      </c>
      <c r="C321" s="7" t="s">
        <v>1090</v>
      </c>
      <c r="D321" s="7" t="s">
        <v>1097</v>
      </c>
      <c r="E321" t="s">
        <v>950</v>
      </c>
      <c r="F321" t="s">
        <v>986</v>
      </c>
      <c r="G321" t="s">
        <v>834</v>
      </c>
      <c r="H321" t="s">
        <v>808</v>
      </c>
      <c r="I321" s="12" t="s">
        <v>1107</v>
      </c>
      <c r="K321" s="12" t="s">
        <v>1062</v>
      </c>
      <c r="L321" s="12" t="s">
        <v>1110</v>
      </c>
      <c r="M321" s="12" t="s">
        <v>838</v>
      </c>
      <c r="N321" s="12" t="s">
        <v>1190</v>
      </c>
      <c r="P321" s="16">
        <f>PRODUCT(_xlfn.XLOOKUP(F321,Config!$A$2:$A$15,Config!$B$2:$B$15),_xlfn.XLOOKUP(G321,Config!$C$2:$C$7,Config!$D$2:$D$7),_xlfn.XLOOKUP(H321,Config!$E$2:$E$5,Config!$F$2:$F$5),_xlfn.XLOOKUP(I321,Config!$G$2:$G$3,Config!$H$2:$H$3),_xlfn.XLOOKUP(J321,Config!$I$2:$I$3,Config!$J$2:$J$3),_xlfn.XLOOKUP(K321,Config!$K$2:$K$3,Config!$L$2:$L$3),_xlfn.XLOOKUP(L321,Config!$M$2:$M$3,Config!$N$2:$N$3),_xlfn.XLOOKUP(M321,Config!$O$2:$O$6,Config!$P$2:$P$6))</f>
        <v>1.0117075122E-3</v>
      </c>
      <c r="Q321" s="22">
        <v>1</v>
      </c>
      <c r="R321" s="16">
        <f>P321*Q321*Config!$B$19</f>
        <v>7.4352045933062498E-4</v>
      </c>
    </row>
    <row r="322" spans="1:18" x14ac:dyDescent="0.45">
      <c r="A322" s="7">
        <v>321</v>
      </c>
      <c r="B322" s="7" t="s">
        <v>1638</v>
      </c>
      <c r="C322" s="7" t="s">
        <v>1089</v>
      </c>
      <c r="D322" s="7" t="s">
        <v>1095</v>
      </c>
      <c r="E322" t="s">
        <v>865</v>
      </c>
      <c r="F322" t="s">
        <v>1010</v>
      </c>
      <c r="G322" t="s">
        <v>834</v>
      </c>
      <c r="H322" t="s">
        <v>808</v>
      </c>
      <c r="I322" s="12" t="s">
        <v>1107</v>
      </c>
      <c r="K322" s="12" t="s">
        <v>1062</v>
      </c>
      <c r="L322" s="12" t="s">
        <v>1110</v>
      </c>
      <c r="M322" s="12" t="s">
        <v>838</v>
      </c>
      <c r="N322" s="12" t="s">
        <v>1190</v>
      </c>
      <c r="O322" t="s">
        <v>866</v>
      </c>
      <c r="P322" s="16">
        <f>PRODUCT(_xlfn.XLOOKUP(F322,Config!$A$2:$A$15,Config!$B$2:$B$15),_xlfn.XLOOKUP(G322,Config!$C$2:$C$7,Config!$D$2:$D$7),_xlfn.XLOOKUP(H322,Config!$E$2:$E$5,Config!$F$2:$F$5),_xlfn.XLOOKUP(I322,Config!$G$2:$G$3,Config!$H$2:$H$3),_xlfn.XLOOKUP(J322,Config!$I$2:$I$3,Config!$J$2:$J$3),_xlfn.XLOOKUP(K322,Config!$K$2:$K$3,Config!$L$2:$L$3),_xlfn.XLOOKUP(L322,Config!$M$2:$M$3,Config!$N$2:$N$3),_xlfn.XLOOKUP(M322,Config!$O$2:$O$6,Config!$P$2:$P$6))</f>
        <v>1.3962746952000003E-3</v>
      </c>
      <c r="Q322" s="22">
        <v>1</v>
      </c>
      <c r="R322" s="16">
        <f>P322*Q322*Config!$B$19</f>
        <v>1.0261451953334944E-3</v>
      </c>
    </row>
    <row r="323" spans="1:18" x14ac:dyDescent="0.45">
      <c r="A323" s="7">
        <v>322</v>
      </c>
      <c r="B323" s="7" t="s">
        <v>1636</v>
      </c>
      <c r="C323" s="7" t="s">
        <v>1088</v>
      </c>
      <c r="D323" s="7" t="s">
        <v>1096</v>
      </c>
      <c r="E323" t="s">
        <v>867</v>
      </c>
      <c r="F323" t="s">
        <v>1010</v>
      </c>
      <c r="G323" t="s">
        <v>834</v>
      </c>
      <c r="H323" t="s">
        <v>808</v>
      </c>
      <c r="I323" s="12" t="s">
        <v>1107</v>
      </c>
      <c r="K323" s="12" t="s">
        <v>1062</v>
      </c>
      <c r="L323" s="12" t="s">
        <v>1110</v>
      </c>
      <c r="M323" s="12" t="s">
        <v>838</v>
      </c>
      <c r="N323" s="12" t="s">
        <v>1190</v>
      </c>
      <c r="O323" t="s">
        <v>868</v>
      </c>
      <c r="P323" s="16">
        <f>PRODUCT(_xlfn.XLOOKUP(F323,Config!$A$2:$A$15,Config!$B$2:$B$15),_xlfn.XLOOKUP(G323,Config!$C$2:$C$7,Config!$D$2:$D$7),_xlfn.XLOOKUP(H323,Config!$E$2:$E$5,Config!$F$2:$F$5),_xlfn.XLOOKUP(I323,Config!$G$2:$G$3,Config!$H$2:$H$3),_xlfn.XLOOKUP(J323,Config!$I$2:$I$3,Config!$J$2:$J$3),_xlfn.XLOOKUP(K323,Config!$K$2:$K$3,Config!$L$2:$L$3),_xlfn.XLOOKUP(L323,Config!$M$2:$M$3,Config!$N$2:$N$3),_xlfn.XLOOKUP(M323,Config!$O$2:$O$6,Config!$P$2:$P$6))</f>
        <v>1.3962746952000003E-3</v>
      </c>
      <c r="Q323" s="22">
        <v>1</v>
      </c>
      <c r="R323" s="16">
        <f>P323*Q323*Config!$B$19</f>
        <v>1.0261451953334944E-3</v>
      </c>
    </row>
    <row r="324" spans="1:18" x14ac:dyDescent="0.45">
      <c r="A324" s="7">
        <v>323</v>
      </c>
      <c r="B324" s="7" t="s">
        <v>1636</v>
      </c>
      <c r="C324" s="7" t="s">
        <v>1088</v>
      </c>
      <c r="D324" s="7" t="s">
        <v>1096</v>
      </c>
      <c r="E324" t="s">
        <v>915</v>
      </c>
      <c r="F324" t="s">
        <v>1010</v>
      </c>
      <c r="G324" t="s">
        <v>834</v>
      </c>
      <c r="H324" t="s">
        <v>808</v>
      </c>
      <c r="I324" s="12" t="s">
        <v>1107</v>
      </c>
      <c r="K324" s="12" t="s">
        <v>1062</v>
      </c>
      <c r="L324" s="12" t="s">
        <v>1110</v>
      </c>
      <c r="M324" s="12" t="s">
        <v>838</v>
      </c>
      <c r="N324" s="12" t="s">
        <v>1190</v>
      </c>
      <c r="O324" t="s">
        <v>916</v>
      </c>
      <c r="P324" s="16">
        <f>PRODUCT(_xlfn.XLOOKUP(F324,Config!$A$2:$A$15,Config!$B$2:$B$15),_xlfn.XLOOKUP(G324,Config!$C$2:$C$7,Config!$D$2:$D$7),_xlfn.XLOOKUP(H324,Config!$E$2:$E$5,Config!$F$2:$F$5),_xlfn.XLOOKUP(I324,Config!$G$2:$G$3,Config!$H$2:$H$3),_xlfn.XLOOKUP(J324,Config!$I$2:$I$3,Config!$J$2:$J$3),_xlfn.XLOOKUP(K324,Config!$K$2:$K$3,Config!$L$2:$L$3),_xlfn.XLOOKUP(L324,Config!$M$2:$M$3,Config!$N$2:$N$3),_xlfn.XLOOKUP(M324,Config!$O$2:$O$6,Config!$P$2:$P$6))</f>
        <v>1.3962746952000003E-3</v>
      </c>
      <c r="Q324" s="22">
        <v>1</v>
      </c>
      <c r="R324" s="16">
        <f>P324*Q324*Config!$B$19</f>
        <v>1.0261451953334944E-3</v>
      </c>
    </row>
    <row r="325" spans="1:18" x14ac:dyDescent="0.45">
      <c r="A325" s="7">
        <v>324</v>
      </c>
      <c r="B325" s="7" t="s">
        <v>1639</v>
      </c>
      <c r="C325" s="7" t="s">
        <v>1090</v>
      </c>
      <c r="D325" s="7" t="s">
        <v>1097</v>
      </c>
      <c r="E325" t="s">
        <v>950</v>
      </c>
      <c r="F325" t="s">
        <v>1010</v>
      </c>
      <c r="G325" t="s">
        <v>834</v>
      </c>
      <c r="H325" t="s">
        <v>808</v>
      </c>
      <c r="I325" s="12" t="s">
        <v>1107</v>
      </c>
      <c r="K325" s="12" t="s">
        <v>1062</v>
      </c>
      <c r="L325" s="12" t="s">
        <v>1110</v>
      </c>
      <c r="M325" s="12" t="s">
        <v>838</v>
      </c>
      <c r="N325" s="12" t="s">
        <v>1190</v>
      </c>
      <c r="O325" t="s">
        <v>951</v>
      </c>
      <c r="P325" s="16">
        <f>PRODUCT(_xlfn.XLOOKUP(F325,Config!$A$2:$A$15,Config!$B$2:$B$15),_xlfn.XLOOKUP(G325,Config!$C$2:$C$7,Config!$D$2:$D$7),_xlfn.XLOOKUP(H325,Config!$E$2:$E$5,Config!$F$2:$F$5),_xlfn.XLOOKUP(I325,Config!$G$2:$G$3,Config!$H$2:$H$3),_xlfn.XLOOKUP(J325,Config!$I$2:$I$3,Config!$J$2:$J$3),_xlfn.XLOOKUP(K325,Config!$K$2:$K$3,Config!$L$2:$L$3),_xlfn.XLOOKUP(L325,Config!$M$2:$M$3,Config!$N$2:$N$3),_xlfn.XLOOKUP(M325,Config!$O$2:$O$6,Config!$P$2:$P$6))</f>
        <v>1.3962746952000003E-3</v>
      </c>
      <c r="Q325" s="22">
        <v>1</v>
      </c>
      <c r="R325" s="16">
        <f>P325*Q325*Config!$B$19</f>
        <v>1.0261451953334944E-3</v>
      </c>
    </row>
    <row r="326" spans="1:18" x14ac:dyDescent="0.45">
      <c r="A326" s="7">
        <v>325</v>
      </c>
      <c r="B326" s="7" t="s">
        <v>47</v>
      </c>
      <c r="C326" s="7" t="s">
        <v>48</v>
      </c>
      <c r="D326" s="7" t="s">
        <v>288</v>
      </c>
      <c r="E326" t="s">
        <v>75</v>
      </c>
      <c r="F326" t="s">
        <v>988</v>
      </c>
      <c r="G326" t="s">
        <v>834</v>
      </c>
      <c r="H326" t="s">
        <v>808</v>
      </c>
      <c r="I326" s="12" t="s">
        <v>1107</v>
      </c>
      <c r="K326" s="12" t="s">
        <v>1062</v>
      </c>
      <c r="L326" s="12" t="s">
        <v>1110</v>
      </c>
      <c r="M326" s="12" t="s">
        <v>838</v>
      </c>
      <c r="N326" s="12" t="s">
        <v>1190</v>
      </c>
      <c r="O326" t="s">
        <v>810</v>
      </c>
      <c r="P326" s="16">
        <f>PRODUCT(_xlfn.XLOOKUP(F326,Config!$A$2:$A$15,Config!$B$2:$B$15),_xlfn.XLOOKUP(G326,Config!$C$2:$C$7,Config!$D$2:$D$7),_xlfn.XLOOKUP(H326,Config!$E$2:$E$5,Config!$F$2:$F$5),_xlfn.XLOOKUP(I326,Config!$G$2:$G$3,Config!$H$2:$H$3),_xlfn.XLOOKUP(J326,Config!$I$2:$I$3,Config!$J$2:$J$3),_xlfn.XLOOKUP(K326,Config!$K$2:$K$3,Config!$L$2:$L$3),_xlfn.XLOOKUP(L326,Config!$M$2:$M$3,Config!$N$2:$N$3),_xlfn.XLOOKUP(M326,Config!$O$2:$O$6,Config!$P$2:$P$6))</f>
        <v>1.3962746952000003E-3</v>
      </c>
      <c r="Q326" s="22">
        <v>1</v>
      </c>
      <c r="R326" s="16">
        <f>P326*Q326*Config!$B$19</f>
        <v>1.0261451953334944E-3</v>
      </c>
    </row>
    <row r="327" spans="1:18" x14ac:dyDescent="0.45">
      <c r="A327" s="7">
        <v>326</v>
      </c>
      <c r="B327" s="7" t="s">
        <v>27</v>
      </c>
      <c r="C327" s="7" t="s">
        <v>28</v>
      </c>
      <c r="D327" s="7" t="s">
        <v>732</v>
      </c>
      <c r="E327" t="s">
        <v>29</v>
      </c>
      <c r="F327" t="s">
        <v>988</v>
      </c>
      <c r="G327" t="s">
        <v>834</v>
      </c>
      <c r="H327" t="s">
        <v>808</v>
      </c>
      <c r="I327" s="12" t="s">
        <v>1107</v>
      </c>
      <c r="K327" s="12" t="s">
        <v>1062</v>
      </c>
      <c r="L327" s="12" t="s">
        <v>1110</v>
      </c>
      <c r="M327" s="12" t="s">
        <v>838</v>
      </c>
      <c r="N327" s="12" t="s">
        <v>1190</v>
      </c>
      <c r="O327" t="s">
        <v>74</v>
      </c>
      <c r="P327" s="16">
        <f>PRODUCT(_xlfn.XLOOKUP(F327,Config!$A$2:$A$15,Config!$B$2:$B$15),_xlfn.XLOOKUP(G327,Config!$C$2:$C$7,Config!$D$2:$D$7),_xlfn.XLOOKUP(H327,Config!$E$2:$E$5,Config!$F$2:$F$5),_xlfn.XLOOKUP(I327,Config!$G$2:$G$3,Config!$H$2:$H$3),_xlfn.XLOOKUP(J327,Config!$I$2:$I$3,Config!$J$2:$J$3),_xlfn.XLOOKUP(K327,Config!$K$2:$K$3,Config!$L$2:$L$3),_xlfn.XLOOKUP(L327,Config!$M$2:$M$3,Config!$N$2:$N$3),_xlfn.XLOOKUP(M327,Config!$O$2:$O$6,Config!$P$2:$P$6))</f>
        <v>1.3962746952000003E-3</v>
      </c>
      <c r="Q327" s="22">
        <v>1</v>
      </c>
      <c r="R327" s="16">
        <f>P327*Q327*Config!$B$19</f>
        <v>1.0261451953334944E-3</v>
      </c>
    </row>
    <row r="328" spans="1:18" x14ac:dyDescent="0.45">
      <c r="A328" s="7">
        <v>327</v>
      </c>
      <c r="B328" s="7" t="s">
        <v>1640</v>
      </c>
      <c r="C328" s="7" t="s">
        <v>940</v>
      </c>
      <c r="D328" s="7" t="s">
        <v>941</v>
      </c>
      <c r="E328" t="s">
        <v>942</v>
      </c>
      <c r="F328" t="s">
        <v>988</v>
      </c>
      <c r="G328" t="s">
        <v>834</v>
      </c>
      <c r="H328" t="s">
        <v>808</v>
      </c>
      <c r="I328" s="12" t="s">
        <v>1107</v>
      </c>
      <c r="K328" s="12" t="s">
        <v>1062</v>
      </c>
      <c r="L328" s="12" t="s">
        <v>1110</v>
      </c>
      <c r="M328" s="12" t="s">
        <v>838</v>
      </c>
      <c r="N328" s="12" t="s">
        <v>1190</v>
      </c>
      <c r="O328" t="s">
        <v>943</v>
      </c>
      <c r="P328" s="16">
        <f>PRODUCT(_xlfn.XLOOKUP(F328,Config!$A$2:$A$15,Config!$B$2:$B$15),_xlfn.XLOOKUP(G328,Config!$C$2:$C$7,Config!$D$2:$D$7),_xlfn.XLOOKUP(H328,Config!$E$2:$E$5,Config!$F$2:$F$5),_xlfn.XLOOKUP(I328,Config!$G$2:$G$3,Config!$H$2:$H$3),_xlfn.XLOOKUP(J328,Config!$I$2:$I$3,Config!$J$2:$J$3),_xlfn.XLOOKUP(K328,Config!$K$2:$K$3,Config!$L$2:$L$3),_xlfn.XLOOKUP(L328,Config!$M$2:$M$3,Config!$N$2:$N$3),_xlfn.XLOOKUP(M328,Config!$O$2:$O$6,Config!$P$2:$P$6))</f>
        <v>1.3962746952000003E-3</v>
      </c>
      <c r="Q328" s="22">
        <v>1</v>
      </c>
      <c r="R328" s="16">
        <f>P328*Q328*Config!$B$19</f>
        <v>1.0261451953334944E-3</v>
      </c>
    </row>
    <row r="329" spans="1:18" x14ac:dyDescent="0.45">
      <c r="A329" s="7">
        <v>328</v>
      </c>
      <c r="B329" s="7" t="s">
        <v>1641</v>
      </c>
      <c r="C329" s="7" t="s">
        <v>1088</v>
      </c>
      <c r="D329" s="7" t="s">
        <v>1000</v>
      </c>
      <c r="E329" t="s">
        <v>1001</v>
      </c>
      <c r="F329" t="s">
        <v>987</v>
      </c>
      <c r="G329" t="s">
        <v>834</v>
      </c>
      <c r="H329" t="s">
        <v>808</v>
      </c>
      <c r="I329" s="12" t="s">
        <v>1107</v>
      </c>
      <c r="K329" s="12" t="s">
        <v>1062</v>
      </c>
      <c r="L329" s="12" t="s">
        <v>1110</v>
      </c>
      <c r="M329" s="12" t="s">
        <v>838</v>
      </c>
      <c r="N329" s="14" t="s">
        <v>1003</v>
      </c>
      <c r="P329" s="16">
        <f>PRODUCT(_xlfn.XLOOKUP(F329,Config!$A$2:$A$15,Config!$B$2:$B$15),_xlfn.XLOOKUP(G329,Config!$C$2:$C$7,Config!$D$2:$D$7),_xlfn.XLOOKUP(H329,Config!$E$2:$E$5,Config!$F$2:$F$5),_xlfn.XLOOKUP(I329,Config!$G$2:$G$3,Config!$H$2:$H$3),_xlfn.XLOOKUP(J329,Config!$I$2:$I$3,Config!$J$2:$J$3),_xlfn.XLOOKUP(K329,Config!$K$2:$K$3,Config!$L$2:$L$3),_xlfn.XLOOKUP(L329,Config!$M$2:$M$3,Config!$N$2:$N$3),_xlfn.XLOOKUP(M329,Config!$O$2:$O$6,Config!$P$2:$P$6))</f>
        <v>5.2360301069999989E-4</v>
      </c>
      <c r="Q329" s="22">
        <v>1</v>
      </c>
      <c r="R329" s="16">
        <f>P329*Q329*Config!$B$19</f>
        <v>3.8480444825006021E-4</v>
      </c>
    </row>
    <row r="330" spans="1:18" x14ac:dyDescent="0.45">
      <c r="A330" s="7">
        <v>329</v>
      </c>
      <c r="B330" s="7" t="s">
        <v>1635</v>
      </c>
      <c r="C330" s="7" t="s">
        <v>1089</v>
      </c>
      <c r="D330" s="7" t="s">
        <v>1095</v>
      </c>
      <c r="E330" t="s">
        <v>865</v>
      </c>
      <c r="F330" t="s">
        <v>987</v>
      </c>
      <c r="G330" t="s">
        <v>834</v>
      </c>
      <c r="H330" t="s">
        <v>808</v>
      </c>
      <c r="I330" s="12" t="s">
        <v>1107</v>
      </c>
      <c r="K330" s="12" t="s">
        <v>1062</v>
      </c>
      <c r="L330" s="12" t="s">
        <v>1110</v>
      </c>
      <c r="M330" s="12" t="s">
        <v>838</v>
      </c>
      <c r="N330" s="12" t="s">
        <v>1190</v>
      </c>
      <c r="P330" s="16">
        <f>PRODUCT(_xlfn.XLOOKUP(F330,Config!$A$2:$A$15,Config!$B$2:$B$15),_xlfn.XLOOKUP(G330,Config!$C$2:$C$7,Config!$D$2:$D$7),_xlfn.XLOOKUP(H330,Config!$E$2:$E$5,Config!$F$2:$F$5),_xlfn.XLOOKUP(I330,Config!$G$2:$G$3,Config!$H$2:$H$3),_xlfn.XLOOKUP(J330,Config!$I$2:$I$3,Config!$J$2:$J$3),_xlfn.XLOOKUP(K330,Config!$K$2:$K$3,Config!$L$2:$L$3),_xlfn.XLOOKUP(L330,Config!$M$2:$M$3,Config!$N$2:$N$3),_xlfn.XLOOKUP(M330,Config!$O$2:$O$6,Config!$P$2:$P$6))</f>
        <v>5.2360301069999989E-4</v>
      </c>
      <c r="Q330" s="22">
        <v>1</v>
      </c>
      <c r="R330" s="16">
        <f>P330*Q330*Config!$B$19</f>
        <v>3.8480444825006021E-4</v>
      </c>
    </row>
    <row r="331" spans="1:18" x14ac:dyDescent="0.45">
      <c r="A331" s="7">
        <v>330</v>
      </c>
      <c r="B331" s="7" t="s">
        <v>1641</v>
      </c>
      <c r="C331" s="7" t="s">
        <v>1088</v>
      </c>
      <c r="D331" s="7" t="s">
        <v>1096</v>
      </c>
      <c r="E331" t="s">
        <v>867</v>
      </c>
      <c r="F331" t="s">
        <v>987</v>
      </c>
      <c r="G331" t="s">
        <v>834</v>
      </c>
      <c r="H331" t="s">
        <v>808</v>
      </c>
      <c r="I331" s="12" t="s">
        <v>1107</v>
      </c>
      <c r="K331" s="12" t="s">
        <v>1062</v>
      </c>
      <c r="L331" s="12" t="s">
        <v>1110</v>
      </c>
      <c r="M331" s="12" t="s">
        <v>838</v>
      </c>
      <c r="N331" s="12" t="s">
        <v>1190</v>
      </c>
      <c r="P331" s="16">
        <f>PRODUCT(_xlfn.XLOOKUP(F331,Config!$A$2:$A$15,Config!$B$2:$B$15),_xlfn.XLOOKUP(G331,Config!$C$2:$C$7,Config!$D$2:$D$7),_xlfn.XLOOKUP(H331,Config!$E$2:$E$5,Config!$F$2:$F$5),_xlfn.XLOOKUP(I331,Config!$G$2:$G$3,Config!$H$2:$H$3),_xlfn.XLOOKUP(J331,Config!$I$2:$I$3,Config!$J$2:$J$3),_xlfn.XLOOKUP(K331,Config!$K$2:$K$3,Config!$L$2:$L$3),_xlfn.XLOOKUP(L331,Config!$M$2:$M$3,Config!$N$2:$N$3),_xlfn.XLOOKUP(M331,Config!$O$2:$O$6,Config!$P$2:$P$6))</f>
        <v>5.2360301069999989E-4</v>
      </c>
      <c r="Q331" s="22">
        <v>1</v>
      </c>
      <c r="R331" s="16">
        <f>P331*Q331*Config!$B$19</f>
        <v>3.8480444825006021E-4</v>
      </c>
    </row>
    <row r="332" spans="1:18" x14ac:dyDescent="0.45">
      <c r="A332" s="7">
        <v>331</v>
      </c>
      <c r="B332" s="7" t="s">
        <v>1637</v>
      </c>
      <c r="C332" s="7" t="s">
        <v>1090</v>
      </c>
      <c r="D332" s="7" t="s">
        <v>1097</v>
      </c>
      <c r="E332" t="s">
        <v>950</v>
      </c>
      <c r="F332" t="s">
        <v>987</v>
      </c>
      <c r="G332" t="s">
        <v>834</v>
      </c>
      <c r="H332" t="s">
        <v>808</v>
      </c>
      <c r="I332" s="12" t="s">
        <v>1107</v>
      </c>
      <c r="K332" s="12" t="s">
        <v>1062</v>
      </c>
      <c r="L332" s="12" t="s">
        <v>1110</v>
      </c>
      <c r="M332" s="12" t="s">
        <v>838</v>
      </c>
      <c r="N332" s="12" t="s">
        <v>1190</v>
      </c>
      <c r="P332" s="16">
        <f>PRODUCT(_xlfn.XLOOKUP(F332,Config!$A$2:$A$15,Config!$B$2:$B$15),_xlfn.XLOOKUP(G332,Config!$C$2:$C$7,Config!$D$2:$D$7),_xlfn.XLOOKUP(H332,Config!$E$2:$E$5,Config!$F$2:$F$5),_xlfn.XLOOKUP(I332,Config!$G$2:$G$3,Config!$H$2:$H$3),_xlfn.XLOOKUP(J332,Config!$I$2:$I$3,Config!$J$2:$J$3),_xlfn.XLOOKUP(K332,Config!$K$2:$K$3,Config!$L$2:$L$3),_xlfn.XLOOKUP(L332,Config!$M$2:$M$3,Config!$N$2:$N$3),_xlfn.XLOOKUP(M332,Config!$O$2:$O$6,Config!$P$2:$P$6))</f>
        <v>5.2360301069999989E-4</v>
      </c>
      <c r="Q332" s="22">
        <v>1</v>
      </c>
      <c r="R332" s="16">
        <f>P332*Q332*Config!$B$19</f>
        <v>3.8480444825006021E-4</v>
      </c>
    </row>
    <row r="333" spans="1:18" x14ac:dyDescent="0.45">
      <c r="A333" s="7">
        <v>332</v>
      </c>
      <c r="B333" s="7" t="s">
        <v>1642</v>
      </c>
      <c r="C333" s="7" t="s">
        <v>962</v>
      </c>
      <c r="D333" s="7" t="s">
        <v>963</v>
      </c>
      <c r="E333" t="s">
        <v>964</v>
      </c>
      <c r="F333" t="s">
        <v>995</v>
      </c>
      <c r="G333" t="s">
        <v>834</v>
      </c>
      <c r="H333" t="s">
        <v>808</v>
      </c>
      <c r="I333" s="12" t="s">
        <v>1107</v>
      </c>
      <c r="K333" s="12" t="s">
        <v>1062</v>
      </c>
      <c r="L333" s="12" t="s">
        <v>1110</v>
      </c>
      <c r="M333" s="12" t="s">
        <v>838</v>
      </c>
      <c r="N333" s="12" t="s">
        <v>1190</v>
      </c>
      <c r="O333" t="s">
        <v>965</v>
      </c>
      <c r="P333" s="16">
        <f>PRODUCT(_xlfn.XLOOKUP(F333,Config!$A$2:$A$15,Config!$B$2:$B$15),_xlfn.XLOOKUP(G333,Config!$C$2:$C$7,Config!$D$2:$D$7),_xlfn.XLOOKUP(H333,Config!$E$2:$E$5,Config!$F$2:$F$5),_xlfn.XLOOKUP(I333,Config!$G$2:$G$3,Config!$H$2:$H$3),_xlfn.XLOOKUP(J333,Config!$I$2:$I$3,Config!$J$2:$J$3),_xlfn.XLOOKUP(K333,Config!$K$2:$K$3,Config!$L$2:$L$3),_xlfn.XLOOKUP(L333,Config!$M$2:$M$3,Config!$N$2:$N$3),_xlfn.XLOOKUP(M333,Config!$O$2:$O$6,Config!$P$2:$P$6))</f>
        <v>5.2360301069999989E-4</v>
      </c>
      <c r="Q333" s="22">
        <v>1</v>
      </c>
      <c r="R333" s="16">
        <f>P333*Q333*Config!$B$19</f>
        <v>3.8480444825006021E-4</v>
      </c>
    </row>
    <row r="334" spans="1:18" x14ac:dyDescent="0.45">
      <c r="A334" s="7">
        <v>333</v>
      </c>
      <c r="B334" s="7" t="s">
        <v>535</v>
      </c>
      <c r="C334" s="3" t="s">
        <v>635</v>
      </c>
      <c r="D334" s="9" t="s">
        <v>548</v>
      </c>
      <c r="E334" t="s">
        <v>536</v>
      </c>
      <c r="F334" t="s">
        <v>988</v>
      </c>
      <c r="G334" t="s">
        <v>834</v>
      </c>
      <c r="H334" t="s">
        <v>808</v>
      </c>
      <c r="I334" s="12" t="s">
        <v>1107</v>
      </c>
      <c r="K334" s="12" t="s">
        <v>1062</v>
      </c>
      <c r="L334" s="12" t="s">
        <v>1110</v>
      </c>
      <c r="M334" t="s">
        <v>836</v>
      </c>
      <c r="N334" s="12" t="s">
        <v>1190</v>
      </c>
      <c r="O334" t="s">
        <v>537</v>
      </c>
      <c r="P334" s="16">
        <f>PRODUCT(_xlfn.XLOOKUP(F334,Config!$A$2:$A$15,Config!$B$2:$B$15),_xlfn.XLOOKUP(G334,Config!$C$2:$C$7,Config!$D$2:$D$7),_xlfn.XLOOKUP(H334,Config!$E$2:$E$5,Config!$F$2:$F$5),_xlfn.XLOOKUP(I334,Config!$G$2:$G$3,Config!$H$2:$H$3),_xlfn.XLOOKUP(J334,Config!$I$2:$I$3,Config!$J$2:$J$3),_xlfn.XLOOKUP(K334,Config!$K$2:$K$3,Config!$L$2:$L$3),_xlfn.XLOOKUP(L334,Config!$M$2:$M$3,Config!$N$2:$N$3),_xlfn.XLOOKUP(M334,Config!$O$2:$O$6,Config!$P$2:$P$6))</f>
        <v>3.4906867380000007E-4</v>
      </c>
      <c r="Q334" s="22">
        <v>1</v>
      </c>
      <c r="R334" s="16">
        <f>P334*Q334*Config!$B$19</f>
        <v>2.565362988333736E-4</v>
      </c>
    </row>
    <row r="335" spans="1:18" x14ac:dyDescent="0.45">
      <c r="A335" s="7">
        <v>334</v>
      </c>
      <c r="B335" s="7" t="s">
        <v>77</v>
      </c>
      <c r="C335" s="7" t="s">
        <v>629</v>
      </c>
      <c r="D335" s="7" t="s">
        <v>1205</v>
      </c>
      <c r="E335" t="s">
        <v>76</v>
      </c>
      <c r="F335" t="s">
        <v>988</v>
      </c>
      <c r="G335" t="s">
        <v>834</v>
      </c>
      <c r="H335" t="s">
        <v>808</v>
      </c>
      <c r="I335" s="12" t="s">
        <v>1107</v>
      </c>
      <c r="K335" s="12" t="s">
        <v>1062</v>
      </c>
      <c r="L335" t="s">
        <v>1111</v>
      </c>
      <c r="M335" s="12" t="s">
        <v>838</v>
      </c>
      <c r="N335" s="12" t="s">
        <v>1190</v>
      </c>
      <c r="O335" t="s">
        <v>81</v>
      </c>
      <c r="P335" s="16">
        <f>PRODUCT(_xlfn.XLOOKUP(F335,Config!$A$2:$A$15,Config!$B$2:$B$15),_xlfn.XLOOKUP(G335,Config!$C$2:$C$7,Config!$D$2:$D$7),_xlfn.XLOOKUP(H335,Config!$E$2:$E$5,Config!$F$2:$F$5),_xlfn.XLOOKUP(I335,Config!$G$2:$G$3,Config!$H$2:$H$3),_xlfn.XLOOKUP(J335,Config!$I$2:$I$3,Config!$J$2:$J$3),_xlfn.XLOOKUP(K335,Config!$K$2:$K$3,Config!$L$2:$L$3),_xlfn.XLOOKUP(L335,Config!$M$2:$M$3,Config!$N$2:$N$3),_xlfn.XLOOKUP(M335,Config!$O$2:$O$6,Config!$P$2:$P$6))</f>
        <v>2.4640141680000005E-4</v>
      </c>
      <c r="Q335" s="22">
        <v>1</v>
      </c>
      <c r="R335" s="16">
        <f>P335*Q335*Config!$B$19</f>
        <v>1.8108444623532254E-4</v>
      </c>
    </row>
    <row r="336" spans="1:18" x14ac:dyDescent="0.45">
      <c r="A336" s="7">
        <v>335</v>
      </c>
      <c r="B336" s="7" t="s">
        <v>30</v>
      </c>
      <c r="C336" s="7" t="s">
        <v>630</v>
      </c>
      <c r="D336" s="7" t="s">
        <v>1204</v>
      </c>
      <c r="E336" t="s">
        <v>31</v>
      </c>
      <c r="F336" t="s">
        <v>988</v>
      </c>
      <c r="G336" t="s">
        <v>834</v>
      </c>
      <c r="H336" t="s">
        <v>808</v>
      </c>
      <c r="I336" s="12" t="s">
        <v>1107</v>
      </c>
      <c r="K336" s="12" t="s">
        <v>1062</v>
      </c>
      <c r="L336" t="s">
        <v>1111</v>
      </c>
      <c r="M336" s="12" t="s">
        <v>838</v>
      </c>
      <c r="N336" s="12" t="s">
        <v>1190</v>
      </c>
      <c r="O336" t="s">
        <v>32</v>
      </c>
      <c r="P336" s="16">
        <f>PRODUCT(_xlfn.XLOOKUP(F336,Config!$A$2:$A$15,Config!$B$2:$B$15),_xlfn.XLOOKUP(G336,Config!$C$2:$C$7,Config!$D$2:$D$7),_xlfn.XLOOKUP(H336,Config!$E$2:$E$5,Config!$F$2:$F$5),_xlfn.XLOOKUP(I336,Config!$G$2:$G$3,Config!$H$2:$H$3),_xlfn.XLOOKUP(J336,Config!$I$2:$I$3,Config!$J$2:$J$3),_xlfn.XLOOKUP(K336,Config!$K$2:$K$3,Config!$L$2:$L$3),_xlfn.XLOOKUP(L336,Config!$M$2:$M$3,Config!$N$2:$N$3),_xlfn.XLOOKUP(M336,Config!$O$2:$O$6,Config!$P$2:$P$6))</f>
        <v>2.4640141680000005E-4</v>
      </c>
      <c r="Q336" s="22">
        <v>1</v>
      </c>
      <c r="R336" s="16">
        <f>P336*Q336*Config!$B$19</f>
        <v>1.8108444623532254E-4</v>
      </c>
    </row>
    <row r="337" spans="1:18" x14ac:dyDescent="0.45">
      <c r="A337" s="7">
        <v>336</v>
      </c>
      <c r="B337" s="7" t="s">
        <v>185</v>
      </c>
      <c r="C337" s="9" t="s">
        <v>169</v>
      </c>
      <c r="D337" s="9" t="s">
        <v>826</v>
      </c>
      <c r="E337" t="s">
        <v>168</v>
      </c>
      <c r="F337" t="s">
        <v>988</v>
      </c>
      <c r="G337" t="s">
        <v>834</v>
      </c>
      <c r="H337" t="s">
        <v>783</v>
      </c>
      <c r="I337" s="12" t="s">
        <v>1107</v>
      </c>
      <c r="K337" s="12" t="s">
        <v>1062</v>
      </c>
      <c r="L337" s="12" t="s">
        <v>1110</v>
      </c>
      <c r="M337" s="12" t="s">
        <v>838</v>
      </c>
      <c r="N337" s="14" t="s">
        <v>997</v>
      </c>
      <c r="O337" t="s">
        <v>167</v>
      </c>
      <c r="P337" s="16">
        <f>PRODUCT(_xlfn.XLOOKUP(F337,Config!$A$2:$A$15,Config!$B$2:$B$15),_xlfn.XLOOKUP(G337,Config!$C$2:$C$7,Config!$D$2:$D$7),_xlfn.XLOOKUP(H337,Config!$E$2:$E$5,Config!$F$2:$F$5),_xlfn.XLOOKUP(I337,Config!$G$2:$G$3,Config!$H$2:$H$3),_xlfn.XLOOKUP(J337,Config!$I$2:$I$3,Config!$J$2:$J$3),_xlfn.XLOOKUP(K337,Config!$K$2:$K$3,Config!$L$2:$L$3),_xlfn.XLOOKUP(L337,Config!$M$2:$M$3,Config!$N$2:$N$3),_xlfn.XLOOKUP(M337,Config!$O$2:$O$6,Config!$P$2:$P$6))</f>
        <v>5.0773625279999996E-4</v>
      </c>
      <c r="Q337" s="22">
        <v>1</v>
      </c>
      <c r="R337" s="16">
        <f>P337*Q337*Config!$B$19</f>
        <v>3.7314370739399786E-4</v>
      </c>
    </row>
    <row r="338" spans="1:18" x14ac:dyDescent="0.45">
      <c r="A338" s="7">
        <v>337</v>
      </c>
      <c r="B338" s="7" t="s">
        <v>85</v>
      </c>
      <c r="C338" s="7" t="s">
        <v>48</v>
      </c>
      <c r="D338" s="7" t="s">
        <v>288</v>
      </c>
      <c r="E338" t="s">
        <v>86</v>
      </c>
      <c r="F338" t="s">
        <v>988</v>
      </c>
      <c r="G338" t="s">
        <v>834</v>
      </c>
      <c r="H338" t="s">
        <v>783</v>
      </c>
      <c r="I338" s="12" t="s">
        <v>1107</v>
      </c>
      <c r="K338" s="12" t="s">
        <v>1062</v>
      </c>
      <c r="L338" s="12" t="s">
        <v>1110</v>
      </c>
      <c r="M338" s="12" t="s">
        <v>838</v>
      </c>
      <c r="N338" s="12" t="s">
        <v>1190</v>
      </c>
      <c r="O338" t="s">
        <v>49</v>
      </c>
      <c r="P338" s="16">
        <f>PRODUCT(_xlfn.XLOOKUP(F338,Config!$A$2:$A$15,Config!$B$2:$B$15),_xlfn.XLOOKUP(G338,Config!$C$2:$C$7,Config!$D$2:$D$7),_xlfn.XLOOKUP(H338,Config!$E$2:$E$5,Config!$F$2:$F$5),_xlfn.XLOOKUP(I338,Config!$G$2:$G$3,Config!$H$2:$H$3),_xlfn.XLOOKUP(J338,Config!$I$2:$I$3,Config!$J$2:$J$3),_xlfn.XLOOKUP(K338,Config!$K$2:$K$3,Config!$L$2:$L$3),_xlfn.XLOOKUP(L338,Config!$M$2:$M$3,Config!$N$2:$N$3),_xlfn.XLOOKUP(M338,Config!$O$2:$O$6,Config!$P$2:$P$6))</f>
        <v>5.0773625279999996E-4</v>
      </c>
      <c r="Q338" s="22">
        <v>1</v>
      </c>
      <c r="R338" s="16">
        <f>P338*Q338*Config!$B$19</f>
        <v>3.7314370739399786E-4</v>
      </c>
    </row>
    <row r="339" spans="1:18" x14ac:dyDescent="0.45">
      <c r="A339" s="7">
        <v>338</v>
      </c>
      <c r="B339" s="7" t="s">
        <v>184</v>
      </c>
      <c r="C339" s="7" t="s">
        <v>172</v>
      </c>
      <c r="D339" s="7" t="s">
        <v>261</v>
      </c>
      <c r="E339" t="s">
        <v>171</v>
      </c>
      <c r="F339" t="s">
        <v>988</v>
      </c>
      <c r="G339" t="s">
        <v>834</v>
      </c>
      <c r="H339" t="s">
        <v>783</v>
      </c>
      <c r="I339" s="12" t="s">
        <v>1107</v>
      </c>
      <c r="K339" s="12" t="s">
        <v>1062</v>
      </c>
      <c r="L339" s="12" t="s">
        <v>1110</v>
      </c>
      <c r="M339" s="12" t="s">
        <v>838</v>
      </c>
      <c r="N339" s="12" t="s">
        <v>1190</v>
      </c>
      <c r="O339" t="s">
        <v>170</v>
      </c>
      <c r="P339" s="16">
        <f>PRODUCT(_xlfn.XLOOKUP(F339,Config!$A$2:$A$15,Config!$B$2:$B$15),_xlfn.XLOOKUP(G339,Config!$C$2:$C$7,Config!$D$2:$D$7),_xlfn.XLOOKUP(H339,Config!$E$2:$E$5,Config!$F$2:$F$5),_xlfn.XLOOKUP(I339,Config!$G$2:$G$3,Config!$H$2:$H$3),_xlfn.XLOOKUP(J339,Config!$I$2:$I$3,Config!$J$2:$J$3),_xlfn.XLOOKUP(K339,Config!$K$2:$K$3,Config!$L$2:$L$3),_xlfn.XLOOKUP(L339,Config!$M$2:$M$3,Config!$N$2:$N$3),_xlfn.XLOOKUP(M339,Config!$O$2:$O$6,Config!$P$2:$P$6))</f>
        <v>5.0773625279999996E-4</v>
      </c>
      <c r="Q339" s="22">
        <v>1</v>
      </c>
      <c r="R339" s="16">
        <f>P339*Q339*Config!$B$19</f>
        <v>3.7314370739399786E-4</v>
      </c>
    </row>
    <row r="340" spans="1:18" x14ac:dyDescent="0.45">
      <c r="A340" s="7">
        <v>339</v>
      </c>
      <c r="B340" s="7" t="s">
        <v>114</v>
      </c>
      <c r="C340" s="7" t="s">
        <v>738</v>
      </c>
      <c r="D340" s="7" t="s">
        <v>289</v>
      </c>
      <c r="E340" s="2" t="s">
        <v>117</v>
      </c>
      <c r="F340" t="s">
        <v>988</v>
      </c>
      <c r="G340" t="s">
        <v>834</v>
      </c>
      <c r="H340" t="s">
        <v>783</v>
      </c>
      <c r="I340" s="12" t="s">
        <v>1107</v>
      </c>
      <c r="J340" s="2"/>
      <c r="K340" s="12" t="s">
        <v>1062</v>
      </c>
      <c r="L340" s="12" t="s">
        <v>1110</v>
      </c>
      <c r="M340" t="s">
        <v>836</v>
      </c>
      <c r="N340" s="12" t="s">
        <v>1190</v>
      </c>
      <c r="O340" s="2" t="s">
        <v>120</v>
      </c>
      <c r="P340" s="16">
        <f>PRODUCT(_xlfn.XLOOKUP(F340,Config!$A$2:$A$15,Config!$B$2:$B$15),_xlfn.XLOOKUP(G340,Config!$C$2:$C$7,Config!$D$2:$D$7),_xlfn.XLOOKUP(H340,Config!$E$2:$E$5,Config!$F$2:$F$5),_xlfn.XLOOKUP(I340,Config!$G$2:$G$3,Config!$H$2:$H$3),_xlfn.XLOOKUP(J340,Config!$I$2:$I$3,Config!$J$2:$J$3),_xlfn.XLOOKUP(K340,Config!$K$2:$K$3,Config!$L$2:$L$3),_xlfn.XLOOKUP(L340,Config!$M$2:$M$3,Config!$N$2:$N$3),_xlfn.XLOOKUP(M340,Config!$O$2:$O$6,Config!$P$2:$P$6))</f>
        <v>1.2693406319999999E-4</v>
      </c>
      <c r="Q340" s="22">
        <v>1</v>
      </c>
      <c r="R340" s="16">
        <f>P340*Q340*Config!$B$19</f>
        <v>9.3285926848499465E-5</v>
      </c>
    </row>
    <row r="341" spans="1:18" x14ac:dyDescent="0.45">
      <c r="A341" s="7">
        <v>340</v>
      </c>
      <c r="B341" s="7" t="s">
        <v>181</v>
      </c>
      <c r="C341" s="7" t="s">
        <v>182</v>
      </c>
      <c r="D341" s="7" t="s">
        <v>827</v>
      </c>
      <c r="E341" t="s">
        <v>174</v>
      </c>
      <c r="F341" t="s">
        <v>988</v>
      </c>
      <c r="G341" t="s">
        <v>834</v>
      </c>
      <c r="H341" t="s">
        <v>783</v>
      </c>
      <c r="I341" s="12" t="s">
        <v>1107</v>
      </c>
      <c r="K341" s="12" t="s">
        <v>1062</v>
      </c>
      <c r="L341" t="s">
        <v>1111</v>
      </c>
      <c r="M341" s="12" t="s">
        <v>838</v>
      </c>
      <c r="N341" s="12" t="s">
        <v>1190</v>
      </c>
      <c r="O341" t="s">
        <v>173</v>
      </c>
      <c r="P341" s="16">
        <f>PRODUCT(_xlfn.XLOOKUP(F341,Config!$A$2:$A$15,Config!$B$2:$B$15),_xlfn.XLOOKUP(G341,Config!$C$2:$C$7,Config!$D$2:$D$7),_xlfn.XLOOKUP(H341,Config!$E$2:$E$5,Config!$F$2:$F$5),_xlfn.XLOOKUP(I341,Config!$G$2:$G$3,Config!$H$2:$H$3),_xlfn.XLOOKUP(J341,Config!$I$2:$I$3,Config!$J$2:$J$3),_xlfn.XLOOKUP(K341,Config!$K$2:$K$3,Config!$L$2:$L$3),_xlfn.XLOOKUP(L341,Config!$M$2:$M$3,Config!$N$2:$N$3),_xlfn.XLOOKUP(M341,Config!$O$2:$O$6,Config!$P$2:$P$6))</f>
        <v>8.9600515200000008E-5</v>
      </c>
      <c r="Q341" s="22">
        <v>1</v>
      </c>
      <c r="R341" s="16">
        <f>P341*Q341*Config!$B$19</f>
        <v>6.5848889540117276E-5</v>
      </c>
    </row>
    <row r="342" spans="1:18" x14ac:dyDescent="0.45">
      <c r="A342" s="9">
        <v>341</v>
      </c>
      <c r="B342" s="7" t="s">
        <v>39</v>
      </c>
      <c r="C342" s="9" t="s">
        <v>638</v>
      </c>
      <c r="D342" s="9" t="s">
        <v>636</v>
      </c>
      <c r="E342" t="s">
        <v>295</v>
      </c>
      <c r="F342" t="s">
        <v>988</v>
      </c>
      <c r="G342" t="s">
        <v>927</v>
      </c>
      <c r="H342" t="s">
        <v>808</v>
      </c>
      <c r="I342" s="12" t="s">
        <v>1107</v>
      </c>
      <c r="K342" s="12" t="s">
        <v>1062</v>
      </c>
      <c r="L342" s="12" t="s">
        <v>1110</v>
      </c>
      <c r="M342" s="12" t="s">
        <v>838</v>
      </c>
      <c r="N342" s="12" t="s">
        <v>1190</v>
      </c>
      <c r="O342" t="s">
        <v>296</v>
      </c>
      <c r="P342" s="16">
        <f>PRODUCT(_xlfn.XLOOKUP(F342,Config!$A$2:$A$15,Config!$B$2:$B$15),_xlfn.XLOOKUP(G342,Config!$C$2:$C$7,Config!$D$2:$D$7),_xlfn.XLOOKUP(H342,Config!$E$2:$E$5,Config!$F$2:$F$5),_xlfn.XLOOKUP(I342,Config!$G$2:$G$3,Config!$H$2:$H$3),_xlfn.XLOOKUP(J342,Config!$I$2:$I$3,Config!$J$2:$J$3),_xlfn.XLOOKUP(K342,Config!$K$2:$K$3,Config!$L$2:$L$3),_xlfn.XLOOKUP(L342,Config!$M$2:$M$3,Config!$N$2:$N$3),_xlfn.XLOOKUP(M342,Config!$O$2:$O$6,Config!$P$2:$P$6))</f>
        <v>6.2056653120000002E-4</v>
      </c>
      <c r="Q342" s="22">
        <v>1</v>
      </c>
      <c r="R342" s="16">
        <f>P342*Q342*Config!$B$19</f>
        <v>4.5606453125933075E-4</v>
      </c>
    </row>
    <row r="343" spans="1:18" x14ac:dyDescent="0.45">
      <c r="A343" s="7">
        <v>342</v>
      </c>
      <c r="B343" s="7" t="s">
        <v>1209</v>
      </c>
      <c r="C343" s="7" t="s">
        <v>599</v>
      </c>
      <c r="D343" s="7" t="s">
        <v>802</v>
      </c>
      <c r="E343" t="s">
        <v>538</v>
      </c>
      <c r="F343" t="s">
        <v>992</v>
      </c>
      <c r="G343" t="s">
        <v>927</v>
      </c>
      <c r="H343" t="s">
        <v>808</v>
      </c>
      <c r="I343" s="12" t="s">
        <v>1107</v>
      </c>
      <c r="K343" s="12" t="s">
        <v>1062</v>
      </c>
      <c r="L343" s="12" t="s">
        <v>1110</v>
      </c>
      <c r="M343" s="12" t="s">
        <v>838</v>
      </c>
      <c r="N343" s="12" t="s">
        <v>1190</v>
      </c>
      <c r="O343" t="s">
        <v>539</v>
      </c>
      <c r="P343" s="16">
        <f>PRODUCT(_xlfn.XLOOKUP(F343,Config!$A$2:$A$15,Config!$B$2:$B$15),_xlfn.XLOOKUP(G343,Config!$C$2:$C$7,Config!$D$2:$D$7),_xlfn.XLOOKUP(H343,Config!$E$2:$E$5,Config!$F$2:$F$5),_xlfn.XLOOKUP(I343,Config!$G$2:$G$3,Config!$H$2:$H$3),_xlfn.XLOOKUP(J343,Config!$I$2:$I$3,Config!$J$2:$J$3),_xlfn.XLOOKUP(K343,Config!$K$2:$K$3,Config!$L$2:$L$3),_xlfn.XLOOKUP(L343,Config!$M$2:$M$3,Config!$N$2:$N$3),_xlfn.XLOOKUP(M343,Config!$O$2:$O$6,Config!$P$2:$P$6))</f>
        <v>2.3271244919999997E-4</v>
      </c>
      <c r="Q343" s="22">
        <v>1</v>
      </c>
      <c r="R343" s="16">
        <f>P343*Q343*Config!$B$19</f>
        <v>1.71024199222249E-4</v>
      </c>
    </row>
    <row r="344" spans="1:18" x14ac:dyDescent="0.45">
      <c r="A344" s="9">
        <v>343</v>
      </c>
      <c r="B344" s="7" t="s">
        <v>593</v>
      </c>
      <c r="C344" s="9" t="s">
        <v>591</v>
      </c>
      <c r="D344" s="9" t="s">
        <v>592</v>
      </c>
      <c r="E344" t="s">
        <v>542</v>
      </c>
      <c r="F344" t="s">
        <v>995</v>
      </c>
      <c r="G344" t="s">
        <v>927</v>
      </c>
      <c r="H344" t="s">
        <v>808</v>
      </c>
      <c r="I344" s="12" t="s">
        <v>1107</v>
      </c>
      <c r="K344" s="12" t="s">
        <v>1062</v>
      </c>
      <c r="L344" s="12" t="s">
        <v>1110</v>
      </c>
      <c r="M344" s="12" t="s">
        <v>838</v>
      </c>
      <c r="N344" s="12" t="s">
        <v>1190</v>
      </c>
      <c r="O344" t="s">
        <v>543</v>
      </c>
      <c r="P344" s="16">
        <f>PRODUCT(_xlfn.XLOOKUP(F344,Config!$A$2:$A$15,Config!$B$2:$B$15),_xlfn.XLOOKUP(G344,Config!$C$2:$C$7,Config!$D$2:$D$7),_xlfn.XLOOKUP(H344,Config!$E$2:$E$5,Config!$F$2:$F$5),_xlfn.XLOOKUP(I344,Config!$G$2:$G$3,Config!$H$2:$H$3),_xlfn.XLOOKUP(J344,Config!$I$2:$I$3,Config!$J$2:$J$3),_xlfn.XLOOKUP(K344,Config!$K$2:$K$3,Config!$L$2:$L$3),_xlfn.XLOOKUP(L344,Config!$M$2:$M$3,Config!$N$2:$N$3),_xlfn.XLOOKUP(M344,Config!$O$2:$O$6,Config!$P$2:$P$6))</f>
        <v>2.3271244919999997E-4</v>
      </c>
      <c r="Q344" s="22">
        <v>1</v>
      </c>
      <c r="R344" s="16">
        <f>P344*Q344*Config!$B$19</f>
        <v>1.71024199222249E-4</v>
      </c>
    </row>
    <row r="345" spans="1:18" x14ac:dyDescent="0.45">
      <c r="A345" s="9">
        <v>344</v>
      </c>
      <c r="B345" s="7" t="s">
        <v>1210</v>
      </c>
      <c r="C345" s="9" t="s">
        <v>599</v>
      </c>
      <c r="D345" s="9" t="s">
        <v>802</v>
      </c>
      <c r="E345" t="s">
        <v>540</v>
      </c>
      <c r="F345" t="s">
        <v>992</v>
      </c>
      <c r="G345" t="s">
        <v>927</v>
      </c>
      <c r="H345" t="s">
        <v>808</v>
      </c>
      <c r="I345" s="12" t="s">
        <v>1107</v>
      </c>
      <c r="K345" s="12" t="s">
        <v>1062</v>
      </c>
      <c r="L345" t="s">
        <v>1111</v>
      </c>
      <c r="M345" s="12" t="s">
        <v>838</v>
      </c>
      <c r="N345" s="12" t="s">
        <v>1190</v>
      </c>
      <c r="O345" t="s">
        <v>541</v>
      </c>
      <c r="P345" s="16">
        <f>PRODUCT(_xlfn.XLOOKUP(F345,Config!$A$2:$A$15,Config!$B$2:$B$15),_xlfn.XLOOKUP(G345,Config!$C$2:$C$7,Config!$D$2:$D$7),_xlfn.XLOOKUP(H345,Config!$E$2:$E$5,Config!$F$2:$F$5),_xlfn.XLOOKUP(I345,Config!$G$2:$G$3,Config!$H$2:$H$3),_xlfn.XLOOKUP(J345,Config!$I$2:$I$3,Config!$J$2:$J$3),_xlfn.XLOOKUP(K345,Config!$K$2:$K$3,Config!$L$2:$L$3),_xlfn.XLOOKUP(L345,Config!$M$2:$M$3,Config!$N$2:$N$3),_xlfn.XLOOKUP(M345,Config!$O$2:$O$6,Config!$P$2:$P$6))</f>
        <v>4.1066902799999996E-5</v>
      </c>
      <c r="Q345" s="22">
        <v>1</v>
      </c>
      <c r="R345" s="16">
        <f>P345*Q345*Config!$B$19</f>
        <v>3.0180741039220413E-5</v>
      </c>
    </row>
    <row r="346" spans="1:18" x14ac:dyDescent="0.45">
      <c r="A346" s="7">
        <v>345</v>
      </c>
      <c r="B346" s="7" t="s">
        <v>931</v>
      </c>
      <c r="C346" s="7" t="s">
        <v>877</v>
      </c>
      <c r="D346" s="7" t="s">
        <v>878</v>
      </c>
      <c r="E346" t="s">
        <v>879</v>
      </c>
      <c r="F346" t="s">
        <v>995</v>
      </c>
      <c r="G346" t="s">
        <v>927</v>
      </c>
      <c r="H346" t="s">
        <v>808</v>
      </c>
      <c r="I346" s="12" t="s">
        <v>1107</v>
      </c>
      <c r="K346" s="12" t="s">
        <v>1062</v>
      </c>
      <c r="L346" s="12" t="s">
        <v>1110</v>
      </c>
      <c r="M346" s="12" t="s">
        <v>838</v>
      </c>
      <c r="N346" s="12" t="s">
        <v>1190</v>
      </c>
      <c r="O346" t="s">
        <v>880</v>
      </c>
      <c r="P346" s="16">
        <f>PRODUCT(_xlfn.XLOOKUP(F346,Config!$A$2:$A$15,Config!$B$2:$B$15),_xlfn.XLOOKUP(G346,Config!$C$2:$C$7,Config!$D$2:$D$7),_xlfn.XLOOKUP(H346,Config!$E$2:$E$5,Config!$F$2:$F$5),_xlfn.XLOOKUP(I346,Config!$G$2:$G$3,Config!$H$2:$H$3),_xlfn.XLOOKUP(J346,Config!$I$2:$I$3,Config!$J$2:$J$3),_xlfn.XLOOKUP(K346,Config!$K$2:$K$3,Config!$L$2:$L$3),_xlfn.XLOOKUP(L346,Config!$M$2:$M$3,Config!$N$2:$N$3),_xlfn.XLOOKUP(M346,Config!$O$2:$O$6,Config!$P$2:$P$6))</f>
        <v>2.3271244919999997E-4</v>
      </c>
      <c r="Q346" s="22">
        <v>1</v>
      </c>
      <c r="R346" s="16">
        <f>P346*Q346*Config!$B$19</f>
        <v>1.71024199222249E-4</v>
      </c>
    </row>
    <row r="347" spans="1:18" x14ac:dyDescent="0.45">
      <c r="A347" s="7">
        <v>346</v>
      </c>
      <c r="B347" s="7" t="s">
        <v>1207</v>
      </c>
      <c r="C347" s="7" t="s">
        <v>1609</v>
      </c>
      <c r="D347" s="7" t="s">
        <v>1208</v>
      </c>
      <c r="E347" t="s">
        <v>1213</v>
      </c>
      <c r="F347" t="s">
        <v>993</v>
      </c>
      <c r="G347" t="s">
        <v>927</v>
      </c>
      <c r="H347" t="s">
        <v>808</v>
      </c>
      <c r="I347" s="12" t="s">
        <v>1107</v>
      </c>
      <c r="K347" s="12" t="s">
        <v>1062</v>
      </c>
      <c r="L347" s="12" t="s">
        <v>1110</v>
      </c>
      <c r="M347" t="s">
        <v>836</v>
      </c>
      <c r="N347" s="12" t="s">
        <v>1190</v>
      </c>
      <c r="O347" t="s">
        <v>603</v>
      </c>
      <c r="P347" s="16">
        <f>PRODUCT(_xlfn.XLOOKUP(F347,Config!$A$2:$A$15,Config!$B$2:$B$15),_xlfn.XLOOKUP(G347,Config!$C$2:$C$7,Config!$D$2:$D$7),_xlfn.XLOOKUP(H347,Config!$E$2:$E$5,Config!$F$2:$F$5),_xlfn.XLOOKUP(I347,Config!$G$2:$G$3,Config!$H$2:$H$3),_xlfn.XLOOKUP(J347,Config!$I$2:$I$3,Config!$J$2:$J$3),_xlfn.XLOOKUP(K347,Config!$K$2:$K$3,Config!$L$2:$L$3),_xlfn.XLOOKUP(L347,Config!$M$2:$M$3,Config!$N$2:$N$3),_xlfn.XLOOKUP(M347,Config!$O$2:$O$6,Config!$P$2:$P$6))</f>
        <v>5.8178112299999992E-5</v>
      </c>
      <c r="Q347" s="22">
        <v>1</v>
      </c>
      <c r="R347" s="16">
        <f>P347*Q347*Config!$B$19</f>
        <v>4.2756049805562251E-5</v>
      </c>
    </row>
    <row r="348" spans="1:18" x14ac:dyDescent="0.45">
      <c r="A348" s="9">
        <v>347</v>
      </c>
      <c r="B348" s="3" t="s">
        <v>298</v>
      </c>
      <c r="C348" s="9" t="s">
        <v>639</v>
      </c>
      <c r="D348" s="9" t="s">
        <v>637</v>
      </c>
      <c r="E348" t="s">
        <v>10</v>
      </c>
      <c r="F348" t="s">
        <v>988</v>
      </c>
      <c r="G348" t="s">
        <v>927</v>
      </c>
      <c r="H348" t="s">
        <v>808</v>
      </c>
      <c r="I348" s="12" t="s">
        <v>1107</v>
      </c>
      <c r="K348" s="12" t="s">
        <v>1062</v>
      </c>
      <c r="L348" t="s">
        <v>1111</v>
      </c>
      <c r="M348" s="12" t="s">
        <v>838</v>
      </c>
      <c r="N348" s="12" t="s">
        <v>1190</v>
      </c>
      <c r="O348" t="s">
        <v>297</v>
      </c>
      <c r="P348" s="16">
        <f>PRODUCT(_xlfn.XLOOKUP(F348,Config!$A$2:$A$15,Config!$B$2:$B$15),_xlfn.XLOOKUP(G348,Config!$C$2:$C$7,Config!$D$2:$D$7),_xlfn.XLOOKUP(H348,Config!$E$2:$E$5,Config!$F$2:$F$5),_xlfn.XLOOKUP(I348,Config!$G$2:$G$3,Config!$H$2:$H$3),_xlfn.XLOOKUP(J348,Config!$I$2:$I$3,Config!$J$2:$J$3),_xlfn.XLOOKUP(K348,Config!$K$2:$K$3,Config!$L$2:$L$3),_xlfn.XLOOKUP(L348,Config!$M$2:$M$3,Config!$N$2:$N$3),_xlfn.XLOOKUP(M348,Config!$O$2:$O$6,Config!$P$2:$P$6))</f>
        <v>1.095117408E-4</v>
      </c>
      <c r="Q348" s="22">
        <v>1</v>
      </c>
      <c r="R348" s="16">
        <f>P348*Q348*Config!$B$19</f>
        <v>8.0481976104587773E-5</v>
      </c>
    </row>
    <row r="349" spans="1:18" x14ac:dyDescent="0.45">
      <c r="A349" s="3">
        <v>348</v>
      </c>
      <c r="B349" s="3" t="s">
        <v>1135</v>
      </c>
      <c r="C349" s="3" t="s">
        <v>1139</v>
      </c>
      <c r="D349" s="3" t="s">
        <v>1146</v>
      </c>
      <c r="E349" t="s">
        <v>1129</v>
      </c>
      <c r="F349" t="s">
        <v>988</v>
      </c>
      <c r="G349" t="s">
        <v>830</v>
      </c>
      <c r="H349" t="s">
        <v>808</v>
      </c>
      <c r="I349" s="12" t="s">
        <v>1107</v>
      </c>
      <c r="K349" s="12" t="s">
        <v>1062</v>
      </c>
      <c r="L349" s="12" t="s">
        <v>1110</v>
      </c>
      <c r="M349" s="12" t="s">
        <v>838</v>
      </c>
      <c r="N349" s="14" t="s">
        <v>1129</v>
      </c>
      <c r="O349" t="s">
        <v>1130</v>
      </c>
      <c r="P349" s="16">
        <f>PRODUCT(_xlfn.XLOOKUP(F349,Config!$A$2:$A$15,Config!$B$2:$B$15),_xlfn.XLOOKUP(G349,Config!$C$2:$C$7,Config!$D$2:$D$7),_xlfn.XLOOKUP(H349,Config!$E$2:$E$5,Config!$F$2:$F$5),_xlfn.XLOOKUP(I349,Config!$G$2:$G$3,Config!$H$2:$H$3),_xlfn.XLOOKUP(J349,Config!$I$2:$I$3,Config!$J$2:$J$3),_xlfn.XLOOKUP(K349,Config!$K$2:$K$3,Config!$L$2:$L$3),_xlfn.XLOOKUP(L349,Config!$M$2:$M$3,Config!$N$2:$N$3),_xlfn.XLOOKUP(M349,Config!$O$2:$O$6,Config!$P$2:$P$6))</f>
        <v>2.7925493904000006E-3</v>
      </c>
      <c r="Q349" s="22">
        <v>1</v>
      </c>
      <c r="R349" s="16">
        <f>P349*Q349*Config!$B$19</f>
        <v>2.0522903906669888E-3</v>
      </c>
    </row>
    <row r="350" spans="1:18" x14ac:dyDescent="0.45">
      <c r="A350" s="3">
        <v>349</v>
      </c>
      <c r="B350" s="3" t="s">
        <v>1150</v>
      </c>
      <c r="C350" s="3" t="s">
        <v>1140</v>
      </c>
      <c r="D350" s="3" t="s">
        <v>1145</v>
      </c>
      <c r="E350" t="s">
        <v>1132</v>
      </c>
      <c r="F350" t="s">
        <v>984</v>
      </c>
      <c r="G350" t="s">
        <v>830</v>
      </c>
      <c r="H350" t="s">
        <v>808</v>
      </c>
      <c r="I350" s="12" t="s">
        <v>1107</v>
      </c>
      <c r="K350" s="12" t="s">
        <v>1062</v>
      </c>
      <c r="L350" s="12" t="s">
        <v>1110</v>
      </c>
      <c r="M350" s="12" t="s">
        <v>838</v>
      </c>
      <c r="N350" s="14" t="s">
        <v>1129</v>
      </c>
      <c r="O350" s="14" t="s">
        <v>1133</v>
      </c>
      <c r="P350" s="16">
        <f>PRODUCT(_xlfn.XLOOKUP(F350,Config!$A$2:$A$15,Config!$B$2:$B$15),_xlfn.XLOOKUP(G350,Config!$C$2:$C$7,Config!$D$2:$D$7),_xlfn.XLOOKUP(H350,Config!$E$2:$E$5,Config!$F$2:$F$5),_xlfn.XLOOKUP(I350,Config!$G$2:$G$3,Config!$H$2:$H$3),_xlfn.XLOOKUP(J350,Config!$I$2:$I$3,Config!$J$2:$J$3),_xlfn.XLOOKUP(K350,Config!$K$2:$K$3,Config!$L$2:$L$3),_xlfn.XLOOKUP(L350,Config!$M$2:$M$3,Config!$N$2:$N$3),_xlfn.XLOOKUP(M350,Config!$O$2:$O$6,Config!$P$2:$P$6))</f>
        <v>4.1651584128000003E-3</v>
      </c>
      <c r="Q350" s="22">
        <v>0.5</v>
      </c>
      <c r="R350" s="16">
        <f>P350*Q350*Config!$B$19</f>
        <v>1.5305216472770761E-3</v>
      </c>
    </row>
    <row r="351" spans="1:18" x14ac:dyDescent="0.45">
      <c r="A351" s="3">
        <v>350</v>
      </c>
      <c r="B351" s="3" t="s">
        <v>1150</v>
      </c>
      <c r="C351" s="3" t="s">
        <v>1140</v>
      </c>
      <c r="D351" s="3" t="s">
        <v>1145</v>
      </c>
      <c r="E351" t="s">
        <v>1132</v>
      </c>
      <c r="F351" t="s">
        <v>985</v>
      </c>
      <c r="G351" t="s">
        <v>830</v>
      </c>
      <c r="H351" t="s">
        <v>808</v>
      </c>
      <c r="I351" s="12" t="s">
        <v>1107</v>
      </c>
      <c r="K351" s="12" t="s">
        <v>1062</v>
      </c>
      <c r="L351" s="12" t="s">
        <v>1110</v>
      </c>
      <c r="M351" s="12" t="s">
        <v>838</v>
      </c>
      <c r="N351" s="14" t="s">
        <v>1129</v>
      </c>
      <c r="O351" s="14" t="s">
        <v>1134</v>
      </c>
      <c r="P351" s="16">
        <f>PRODUCT(_xlfn.XLOOKUP(F351,Config!$A$2:$A$15,Config!$B$2:$B$15),_xlfn.XLOOKUP(G351,Config!$C$2:$C$7,Config!$D$2:$D$7),_xlfn.XLOOKUP(H351,Config!$E$2:$E$5,Config!$F$2:$F$5),_xlfn.XLOOKUP(I351,Config!$G$2:$G$3,Config!$H$2:$H$3),_xlfn.XLOOKUP(J351,Config!$I$2:$I$3,Config!$J$2:$J$3),_xlfn.XLOOKUP(K351,Config!$K$2:$K$3,Config!$L$2:$L$3),_xlfn.XLOOKUP(L351,Config!$M$2:$M$3,Config!$N$2:$N$3),_xlfn.XLOOKUP(M351,Config!$O$2:$O$6,Config!$P$2:$P$6))</f>
        <v>3.5971822656000003E-3</v>
      </c>
      <c r="Q351" s="22">
        <v>1</v>
      </c>
      <c r="R351" s="16">
        <f>P351*Q351*Config!$B$19</f>
        <v>2.6436282998422225E-3</v>
      </c>
    </row>
    <row r="352" spans="1:18" x14ac:dyDescent="0.45">
      <c r="A352" s="3">
        <v>351</v>
      </c>
      <c r="B352" s="3" t="s">
        <v>1144</v>
      </c>
      <c r="C352" s="3" t="s">
        <v>975</v>
      </c>
      <c r="D352" s="3" t="s">
        <v>853</v>
      </c>
      <c r="E352" t="s">
        <v>1147</v>
      </c>
      <c r="F352" t="s">
        <v>985</v>
      </c>
      <c r="G352" t="s">
        <v>830</v>
      </c>
      <c r="H352" t="s">
        <v>808</v>
      </c>
      <c r="I352" s="12" t="s">
        <v>1107</v>
      </c>
      <c r="K352" s="12" t="s">
        <v>1062</v>
      </c>
      <c r="L352" s="12" t="s">
        <v>1110</v>
      </c>
      <c r="M352" s="12" t="s">
        <v>838</v>
      </c>
      <c r="N352" s="14" t="s">
        <v>998</v>
      </c>
      <c r="O352" s="14" t="s">
        <v>1006</v>
      </c>
      <c r="P352" s="16">
        <f>PRODUCT(_xlfn.XLOOKUP(F352,Config!$A$2:$A$15,Config!$B$2:$B$15),_xlfn.XLOOKUP(G352,Config!$C$2:$C$7,Config!$D$2:$D$7),_xlfn.XLOOKUP(H352,Config!$E$2:$E$5,Config!$F$2:$F$5),_xlfn.XLOOKUP(I352,Config!$G$2:$G$3,Config!$H$2:$H$3),_xlfn.XLOOKUP(J352,Config!$I$2:$I$3,Config!$J$2:$J$3),_xlfn.XLOOKUP(K352,Config!$K$2:$K$3,Config!$L$2:$L$3),_xlfn.XLOOKUP(L352,Config!$M$2:$M$3,Config!$N$2:$N$3),_xlfn.XLOOKUP(M352,Config!$O$2:$O$6,Config!$P$2:$P$6))</f>
        <v>3.5971822656000003E-3</v>
      </c>
      <c r="Q352" s="22">
        <v>0.75</v>
      </c>
      <c r="R352" s="16">
        <f>P352*Q352*Config!$B$19</f>
        <v>1.9827212248816665E-3</v>
      </c>
    </row>
    <row r="353" spans="1:18" x14ac:dyDescent="0.45">
      <c r="A353" s="3">
        <v>352</v>
      </c>
      <c r="B353" s="3" t="s">
        <v>1144</v>
      </c>
      <c r="C353" s="3" t="s">
        <v>975</v>
      </c>
      <c r="D353" s="3" t="s">
        <v>853</v>
      </c>
      <c r="E353" t="s">
        <v>1147</v>
      </c>
      <c r="F353" t="s">
        <v>984</v>
      </c>
      <c r="G353" t="s">
        <v>830</v>
      </c>
      <c r="H353" t="s">
        <v>808</v>
      </c>
      <c r="I353" s="12" t="s">
        <v>1107</v>
      </c>
      <c r="K353" s="12" t="s">
        <v>1062</v>
      </c>
      <c r="L353" s="12" t="s">
        <v>1110</v>
      </c>
      <c r="M353" s="12" t="s">
        <v>838</v>
      </c>
      <c r="N353" s="14" t="s">
        <v>998</v>
      </c>
      <c r="O353" t="s">
        <v>651</v>
      </c>
      <c r="P353" s="16">
        <f>PRODUCT(_xlfn.XLOOKUP(F353,Config!$A$2:$A$15,Config!$B$2:$B$15),_xlfn.XLOOKUP(G353,Config!$C$2:$C$7,Config!$D$2:$D$7),_xlfn.XLOOKUP(H353,Config!$E$2:$E$5,Config!$F$2:$F$5),_xlfn.XLOOKUP(I353,Config!$G$2:$G$3,Config!$H$2:$H$3),_xlfn.XLOOKUP(J353,Config!$I$2:$I$3,Config!$J$2:$J$3),_xlfn.XLOOKUP(K353,Config!$K$2:$K$3,Config!$L$2:$L$3),_xlfn.XLOOKUP(L353,Config!$M$2:$M$3,Config!$N$2:$N$3),_xlfn.XLOOKUP(M353,Config!$O$2:$O$6,Config!$P$2:$P$6))</f>
        <v>4.1651584128000003E-3</v>
      </c>
      <c r="Q353" s="22">
        <f>0.75*0.5</f>
        <v>0.375</v>
      </c>
      <c r="R353" s="16">
        <f>P353*Q353*Config!$B$19</f>
        <v>1.147891235457807E-3</v>
      </c>
    </row>
    <row r="354" spans="1:18" x14ac:dyDescent="0.45">
      <c r="A354" s="3">
        <v>353</v>
      </c>
      <c r="B354" s="3" t="s">
        <v>1203</v>
      </c>
      <c r="C354" s="3" t="s">
        <v>1151</v>
      </c>
      <c r="D354" s="3" t="s">
        <v>1152</v>
      </c>
      <c r="E354" t="s">
        <v>1154</v>
      </c>
      <c r="F354" t="s">
        <v>984</v>
      </c>
      <c r="G354" t="s">
        <v>830</v>
      </c>
      <c r="H354" t="s">
        <v>808</v>
      </c>
      <c r="I354" s="12" t="s">
        <v>1107</v>
      </c>
      <c r="K354" s="12" t="s">
        <v>1062</v>
      </c>
      <c r="L354" s="12" t="s">
        <v>1110</v>
      </c>
      <c r="M354" s="12" t="s">
        <v>838</v>
      </c>
      <c r="N354" s="14" t="s">
        <v>1153</v>
      </c>
      <c r="O354" t="s">
        <v>1155</v>
      </c>
      <c r="P354" s="16">
        <f>PRODUCT(_xlfn.XLOOKUP(F354,Config!$A$2:$A$15,Config!$B$2:$B$15),_xlfn.XLOOKUP(G354,Config!$C$2:$C$7,Config!$D$2:$D$7),_xlfn.XLOOKUP(H354,Config!$E$2:$E$5,Config!$F$2:$F$5),_xlfn.XLOOKUP(I354,Config!$G$2:$G$3,Config!$H$2:$H$3),_xlfn.XLOOKUP(J354,Config!$I$2:$I$3,Config!$J$2:$J$3),_xlfn.XLOOKUP(K354,Config!$K$2:$K$3,Config!$L$2:$L$3),_xlfn.XLOOKUP(L354,Config!$M$2:$M$3,Config!$N$2:$N$3),_xlfn.XLOOKUP(M354,Config!$O$2:$O$6,Config!$P$2:$P$6))</f>
        <v>4.1651584128000003E-3</v>
      </c>
      <c r="Q354" s="22">
        <v>0.5</v>
      </c>
      <c r="R354" s="16">
        <f>P354*Q354*Config!$B$19</f>
        <v>1.5305216472770761E-3</v>
      </c>
    </row>
    <row r="355" spans="1:18" x14ac:dyDescent="0.45">
      <c r="A355" s="3">
        <v>354</v>
      </c>
      <c r="B355" s="3" t="s">
        <v>1203</v>
      </c>
      <c r="C355" s="3" t="s">
        <v>1151</v>
      </c>
      <c r="D355" s="3" t="s">
        <v>1152</v>
      </c>
      <c r="E355" t="s">
        <v>1154</v>
      </c>
      <c r="F355" t="s">
        <v>971</v>
      </c>
      <c r="G355" t="s">
        <v>830</v>
      </c>
      <c r="H355" t="s">
        <v>808</v>
      </c>
      <c r="I355" s="12" t="s">
        <v>1107</v>
      </c>
      <c r="K355" s="12" t="s">
        <v>1062</v>
      </c>
      <c r="L355" s="12" t="s">
        <v>1110</v>
      </c>
      <c r="M355" s="12" t="s">
        <v>838</v>
      </c>
      <c r="N355" s="14" t="s">
        <v>1153</v>
      </c>
      <c r="O355" s="14" t="s">
        <v>1177</v>
      </c>
      <c r="P355" s="16">
        <f>PRODUCT(_xlfn.XLOOKUP(F355,Config!$A$2:$A$15,Config!$B$2:$B$15),_xlfn.XLOOKUP(G355,Config!$C$2:$C$7,Config!$D$2:$D$7),_xlfn.XLOOKUP(H355,Config!$E$2:$E$5,Config!$F$2:$F$5),_xlfn.XLOOKUP(I355,Config!$G$2:$G$3,Config!$H$2:$H$3),_xlfn.XLOOKUP(J355,Config!$I$2:$I$3,Config!$J$2:$J$3),_xlfn.XLOOKUP(K355,Config!$K$2:$K$3,Config!$L$2:$L$3),_xlfn.XLOOKUP(L355,Config!$M$2:$M$3,Config!$N$2:$N$3),_xlfn.XLOOKUP(M355,Config!$O$2:$O$6,Config!$P$2:$P$6))</f>
        <v>2.3429016072E-3</v>
      </c>
      <c r="Q355" s="22">
        <v>1</v>
      </c>
      <c r="R355" s="16">
        <f>P355*Q355*Config!$B$19</f>
        <v>1.7218368531867105E-3</v>
      </c>
    </row>
    <row r="356" spans="1:18" x14ac:dyDescent="0.45">
      <c r="A356" s="3">
        <v>355</v>
      </c>
      <c r="B356" s="3" t="s">
        <v>1203</v>
      </c>
      <c r="C356" s="3" t="s">
        <v>1151</v>
      </c>
      <c r="D356" s="3" t="s">
        <v>1152</v>
      </c>
      <c r="E356" t="s">
        <v>1154</v>
      </c>
      <c r="F356" t="s">
        <v>985</v>
      </c>
      <c r="G356" t="s">
        <v>830</v>
      </c>
      <c r="H356" t="s">
        <v>808</v>
      </c>
      <c r="I356" s="12" t="s">
        <v>1107</v>
      </c>
      <c r="K356" s="12" t="s">
        <v>1062</v>
      </c>
      <c r="L356" s="12" t="s">
        <v>1110</v>
      </c>
      <c r="M356" s="12" t="s">
        <v>838</v>
      </c>
      <c r="N356" s="14" t="s">
        <v>1153</v>
      </c>
      <c r="O356" s="14" t="s">
        <v>1178</v>
      </c>
      <c r="P356" s="16">
        <f>PRODUCT(_xlfn.XLOOKUP(F356,Config!$A$2:$A$15,Config!$B$2:$B$15),_xlfn.XLOOKUP(G356,Config!$C$2:$C$7,Config!$D$2:$D$7),_xlfn.XLOOKUP(H356,Config!$E$2:$E$5,Config!$F$2:$F$5),_xlfn.XLOOKUP(I356,Config!$G$2:$G$3,Config!$H$2:$H$3),_xlfn.XLOOKUP(J356,Config!$I$2:$I$3,Config!$J$2:$J$3),_xlfn.XLOOKUP(K356,Config!$K$2:$K$3,Config!$L$2:$L$3),_xlfn.XLOOKUP(L356,Config!$M$2:$M$3,Config!$N$2:$N$3),_xlfn.XLOOKUP(M356,Config!$O$2:$O$6,Config!$P$2:$P$6))</f>
        <v>3.5971822656000003E-3</v>
      </c>
      <c r="Q356" s="22">
        <v>1</v>
      </c>
      <c r="R356" s="16">
        <f>P356*Q356*Config!$B$19</f>
        <v>2.6436282998422225E-3</v>
      </c>
    </row>
    <row r="357" spans="1:18" x14ac:dyDescent="0.45">
      <c r="A357" s="3">
        <v>356</v>
      </c>
      <c r="B357" s="3" t="s">
        <v>1203</v>
      </c>
      <c r="C357" s="3" t="s">
        <v>1151</v>
      </c>
      <c r="D357" s="3" t="s">
        <v>1152</v>
      </c>
      <c r="E357" t="s">
        <v>1154</v>
      </c>
      <c r="F357" t="s">
        <v>986</v>
      </c>
      <c r="G357" t="s">
        <v>830</v>
      </c>
      <c r="H357" t="s">
        <v>808</v>
      </c>
      <c r="I357" s="12" t="s">
        <v>1107</v>
      </c>
      <c r="K357" s="12" t="s">
        <v>1062</v>
      </c>
      <c r="L357" s="12" t="s">
        <v>1110</v>
      </c>
      <c r="M357" s="12" t="s">
        <v>838</v>
      </c>
      <c r="N357" s="14" t="s">
        <v>1153</v>
      </c>
      <c r="O357" s="14" t="s">
        <v>1179</v>
      </c>
      <c r="P357" s="16">
        <f>PRODUCT(_xlfn.XLOOKUP(F357,Config!$A$2:$A$15,Config!$B$2:$B$15),_xlfn.XLOOKUP(G357,Config!$C$2:$C$7,Config!$D$2:$D$7),_xlfn.XLOOKUP(H357,Config!$E$2:$E$5,Config!$F$2:$F$5),_xlfn.XLOOKUP(I357,Config!$G$2:$G$3,Config!$H$2:$H$3),_xlfn.XLOOKUP(J357,Config!$I$2:$I$3,Config!$J$2:$J$3),_xlfn.XLOOKUP(K357,Config!$K$2:$K$3,Config!$L$2:$L$3),_xlfn.XLOOKUP(L357,Config!$M$2:$M$3,Config!$N$2:$N$3),_xlfn.XLOOKUP(M357,Config!$O$2:$O$6,Config!$P$2:$P$6))</f>
        <v>2.0234150244E-3</v>
      </c>
      <c r="Q357" s="22">
        <v>1</v>
      </c>
      <c r="R357" s="16">
        <f>P357*Q357*Config!$B$19</f>
        <v>1.48704091866125E-3</v>
      </c>
    </row>
    <row r="358" spans="1:18" x14ac:dyDescent="0.45">
      <c r="A358" s="3">
        <v>357</v>
      </c>
      <c r="B358" s="3" t="s">
        <v>1541</v>
      </c>
      <c r="C358" s="3" t="s">
        <v>1151</v>
      </c>
      <c r="D358" s="3" t="s">
        <v>1152</v>
      </c>
      <c r="E358" t="s">
        <v>1154</v>
      </c>
      <c r="F358" t="s">
        <v>1010</v>
      </c>
      <c r="G358" t="s">
        <v>830</v>
      </c>
      <c r="H358" t="s">
        <v>808</v>
      </c>
      <c r="I358" s="12" t="s">
        <v>1107</v>
      </c>
      <c r="K358" s="12" t="s">
        <v>1062</v>
      </c>
      <c r="L358" s="12" t="s">
        <v>1110</v>
      </c>
      <c r="M358" s="12" t="s">
        <v>838</v>
      </c>
      <c r="N358" s="14" t="s">
        <v>1153</v>
      </c>
      <c r="O358" s="14" t="s">
        <v>1180</v>
      </c>
      <c r="P358" s="16">
        <f>PRODUCT(_xlfn.XLOOKUP(F358,Config!$A$2:$A$15,Config!$B$2:$B$15),_xlfn.XLOOKUP(G358,Config!$C$2:$C$7,Config!$D$2:$D$7),_xlfn.XLOOKUP(H358,Config!$E$2:$E$5,Config!$F$2:$F$5),_xlfn.XLOOKUP(I358,Config!$G$2:$G$3,Config!$H$2:$H$3),_xlfn.XLOOKUP(J358,Config!$I$2:$I$3,Config!$J$2:$J$3),_xlfn.XLOOKUP(K358,Config!$K$2:$K$3,Config!$L$2:$L$3),_xlfn.XLOOKUP(L358,Config!$M$2:$M$3,Config!$N$2:$N$3),_xlfn.XLOOKUP(M358,Config!$O$2:$O$6,Config!$P$2:$P$6))</f>
        <v>2.7925493904000006E-3</v>
      </c>
      <c r="Q358" s="22">
        <v>1</v>
      </c>
      <c r="R358" s="16">
        <f>P358*Q358*Config!$B$19</f>
        <v>2.0522903906669888E-3</v>
      </c>
    </row>
    <row r="359" spans="1:18" x14ac:dyDescent="0.45">
      <c r="A359" s="3">
        <v>358</v>
      </c>
      <c r="B359" s="3" t="s">
        <v>1203</v>
      </c>
      <c r="C359" s="3" t="s">
        <v>1151</v>
      </c>
      <c r="D359" s="3" t="s">
        <v>1152</v>
      </c>
      <c r="E359" t="s">
        <v>1154</v>
      </c>
      <c r="F359" t="s">
        <v>987</v>
      </c>
      <c r="G359" t="s">
        <v>830</v>
      </c>
      <c r="H359" t="s">
        <v>808</v>
      </c>
      <c r="I359" s="12" t="s">
        <v>1107</v>
      </c>
      <c r="K359" s="12" t="s">
        <v>1062</v>
      </c>
      <c r="L359" s="12" t="s">
        <v>1110</v>
      </c>
      <c r="M359" s="12" t="s">
        <v>838</v>
      </c>
      <c r="N359" s="14" t="s">
        <v>1153</v>
      </c>
      <c r="O359" s="14" t="s">
        <v>1181</v>
      </c>
      <c r="P359" s="16">
        <f>PRODUCT(_xlfn.XLOOKUP(F359,Config!$A$2:$A$15,Config!$B$2:$B$15),_xlfn.XLOOKUP(G359,Config!$C$2:$C$7,Config!$D$2:$D$7),_xlfn.XLOOKUP(H359,Config!$E$2:$E$5,Config!$F$2:$F$5),_xlfn.XLOOKUP(I359,Config!$G$2:$G$3,Config!$H$2:$H$3),_xlfn.XLOOKUP(J359,Config!$I$2:$I$3,Config!$J$2:$J$3),_xlfn.XLOOKUP(K359,Config!$K$2:$K$3,Config!$L$2:$L$3),_xlfn.XLOOKUP(L359,Config!$M$2:$M$3,Config!$N$2:$N$3),_xlfn.XLOOKUP(M359,Config!$O$2:$O$6,Config!$P$2:$P$6))</f>
        <v>1.0472060213999998E-3</v>
      </c>
      <c r="Q359" s="22">
        <v>1</v>
      </c>
      <c r="R359" s="16">
        <f>P359*Q359*Config!$B$19</f>
        <v>7.6960889650012042E-4</v>
      </c>
    </row>
    <row r="360" spans="1:18" x14ac:dyDescent="0.45">
      <c r="A360" s="3">
        <v>359</v>
      </c>
      <c r="B360" s="3" t="s">
        <v>1156</v>
      </c>
      <c r="C360" s="3" t="s">
        <v>1157</v>
      </c>
      <c r="D360" s="3" t="s">
        <v>1158</v>
      </c>
      <c r="E360" t="s">
        <v>1159</v>
      </c>
      <c r="F360" t="s">
        <v>990</v>
      </c>
      <c r="G360" t="s">
        <v>830</v>
      </c>
      <c r="H360" t="s">
        <v>808</v>
      </c>
      <c r="I360" s="12" t="s">
        <v>1107</v>
      </c>
      <c r="K360" s="12" t="s">
        <v>1062</v>
      </c>
      <c r="L360" s="12" t="s">
        <v>1110</v>
      </c>
      <c r="M360" s="12" t="s">
        <v>838</v>
      </c>
      <c r="N360" s="14" t="s">
        <v>1153</v>
      </c>
      <c r="O360" s="14" t="s">
        <v>1160</v>
      </c>
      <c r="P360" s="16">
        <f>PRODUCT(_xlfn.XLOOKUP(F360,Config!$A$2:$A$15,Config!$B$2:$B$15),_xlfn.XLOOKUP(G360,Config!$C$2:$C$7,Config!$D$2:$D$7),_xlfn.XLOOKUP(H360,Config!$E$2:$E$5,Config!$F$2:$F$5),_xlfn.XLOOKUP(I360,Config!$G$2:$G$3,Config!$H$2:$H$3),_xlfn.XLOOKUP(J360,Config!$I$2:$I$3,Config!$J$2:$J$3),_xlfn.XLOOKUP(K360,Config!$K$2:$K$3,Config!$L$2:$L$3),_xlfn.XLOOKUP(L360,Config!$M$2:$M$3,Config!$N$2:$N$3),_xlfn.XLOOKUP(M360,Config!$O$2:$O$6,Config!$P$2:$P$6))</f>
        <v>2.7925493904000006E-3</v>
      </c>
      <c r="Q360" s="22">
        <v>1</v>
      </c>
      <c r="R360" s="16">
        <f>P360*Q360*Config!$B$19</f>
        <v>2.0522903906669888E-3</v>
      </c>
    </row>
    <row r="361" spans="1:18" x14ac:dyDescent="0.45">
      <c r="A361" s="9">
        <v>360</v>
      </c>
      <c r="B361" s="9" t="s">
        <v>1018</v>
      </c>
      <c r="C361" s="3" t="s">
        <v>699</v>
      </c>
      <c r="D361" s="3" t="s">
        <v>671</v>
      </c>
      <c r="E361" t="s">
        <v>1162</v>
      </c>
      <c r="F361" t="s">
        <v>984</v>
      </c>
      <c r="G361" t="s">
        <v>831</v>
      </c>
      <c r="H361" t="s">
        <v>808</v>
      </c>
      <c r="I361" t="s">
        <v>806</v>
      </c>
      <c r="K361" s="12" t="s">
        <v>1062</v>
      </c>
      <c r="L361" s="12" t="s">
        <v>1110</v>
      </c>
      <c r="M361" s="12" t="s">
        <v>838</v>
      </c>
      <c r="N361" s="14" t="s">
        <v>1003</v>
      </c>
      <c r="P361" s="16">
        <f>PRODUCT(_xlfn.XLOOKUP(F361,Config!$A$2:$A$15,Config!$B$2:$B$15),_xlfn.XLOOKUP(G361,Config!$C$2:$C$7,Config!$D$2:$D$7),_xlfn.XLOOKUP(H361,Config!$E$2:$E$5,Config!$F$2:$F$5),_xlfn.XLOOKUP(I361,Config!$G$2:$G$3,Config!$H$2:$H$3),_xlfn.XLOOKUP(J361,Config!$I$2:$I$3,Config!$J$2:$J$3),_xlfn.XLOOKUP(K361,Config!$K$2:$K$3,Config!$L$2:$L$3),_xlfn.XLOOKUP(L361,Config!$M$2:$M$3,Config!$N$2:$N$3),_xlfn.XLOOKUP(M361,Config!$O$2:$O$6,Config!$P$2:$P$6))</f>
        <v>3.4709653440000003E-3</v>
      </c>
      <c r="Q361" s="22">
        <v>1</v>
      </c>
      <c r="R361" s="16">
        <f>P361*Q361*Config!$B$19</f>
        <v>2.5508694121284601E-3</v>
      </c>
    </row>
    <row r="362" spans="1:18" x14ac:dyDescent="0.45">
      <c r="A362" s="9">
        <v>361</v>
      </c>
      <c r="B362" s="9" t="s">
        <v>1018</v>
      </c>
      <c r="C362" s="3" t="s">
        <v>699</v>
      </c>
      <c r="D362" s="3" t="s">
        <v>671</v>
      </c>
      <c r="E362" t="s">
        <v>1162</v>
      </c>
      <c r="F362" t="s">
        <v>971</v>
      </c>
      <c r="G362" t="s">
        <v>831</v>
      </c>
      <c r="H362" t="s">
        <v>808</v>
      </c>
      <c r="I362" t="s">
        <v>806</v>
      </c>
      <c r="K362" s="12" t="s">
        <v>1062</v>
      </c>
      <c r="L362" s="12" t="s">
        <v>1110</v>
      </c>
      <c r="M362" s="12" t="s">
        <v>838</v>
      </c>
      <c r="N362" s="14" t="s">
        <v>1003</v>
      </c>
      <c r="P362" s="16">
        <f>PRODUCT(_xlfn.XLOOKUP(F362,Config!$A$2:$A$15,Config!$B$2:$B$15),_xlfn.XLOOKUP(G362,Config!$C$2:$C$7,Config!$D$2:$D$7),_xlfn.XLOOKUP(H362,Config!$E$2:$E$5,Config!$F$2:$F$5),_xlfn.XLOOKUP(I362,Config!$G$2:$G$3,Config!$H$2:$H$3),_xlfn.XLOOKUP(J362,Config!$I$2:$I$3,Config!$J$2:$J$3),_xlfn.XLOOKUP(K362,Config!$K$2:$K$3,Config!$L$2:$L$3),_xlfn.XLOOKUP(L362,Config!$M$2:$M$3,Config!$N$2:$N$3),_xlfn.XLOOKUP(M362,Config!$O$2:$O$6,Config!$P$2:$P$6))</f>
        <v>1.952418006E-3</v>
      </c>
      <c r="Q362" s="22">
        <v>1</v>
      </c>
      <c r="R362" s="16">
        <f>P362*Q362*Config!$B$19</f>
        <v>1.4348640443222586E-3</v>
      </c>
    </row>
    <row r="363" spans="1:18" x14ac:dyDescent="0.45">
      <c r="A363" s="9">
        <v>362</v>
      </c>
      <c r="B363" s="9" t="s">
        <v>1018</v>
      </c>
      <c r="C363" s="3" t="s">
        <v>699</v>
      </c>
      <c r="D363" s="3" t="s">
        <v>671</v>
      </c>
      <c r="E363" t="s">
        <v>1162</v>
      </c>
      <c r="F363" t="s">
        <v>985</v>
      </c>
      <c r="G363" t="s">
        <v>831</v>
      </c>
      <c r="H363" t="s">
        <v>808</v>
      </c>
      <c r="I363" t="s">
        <v>806</v>
      </c>
      <c r="K363" s="12" t="s">
        <v>1062</v>
      </c>
      <c r="L363" s="12" t="s">
        <v>1110</v>
      </c>
      <c r="M363" s="12" t="s">
        <v>838</v>
      </c>
      <c r="N363" s="14" t="s">
        <v>1003</v>
      </c>
      <c r="P363" s="16">
        <f>PRODUCT(_xlfn.XLOOKUP(F363,Config!$A$2:$A$15,Config!$B$2:$B$15),_xlfn.XLOOKUP(G363,Config!$C$2:$C$7,Config!$D$2:$D$7),_xlfn.XLOOKUP(H363,Config!$E$2:$E$5,Config!$F$2:$F$5),_xlfn.XLOOKUP(I363,Config!$G$2:$G$3,Config!$H$2:$H$3),_xlfn.XLOOKUP(J363,Config!$I$2:$I$3,Config!$J$2:$J$3),_xlfn.XLOOKUP(K363,Config!$K$2:$K$3,Config!$L$2:$L$3),_xlfn.XLOOKUP(L363,Config!$M$2:$M$3,Config!$N$2:$N$3),_xlfn.XLOOKUP(M363,Config!$O$2:$O$6,Config!$P$2:$P$6))</f>
        <v>2.9976518880000004E-3</v>
      </c>
      <c r="Q363" s="22">
        <v>1</v>
      </c>
      <c r="R363" s="16">
        <f>P363*Q363*Config!$B$19</f>
        <v>2.203023583201852E-3</v>
      </c>
    </row>
    <row r="364" spans="1:18" x14ac:dyDescent="0.45">
      <c r="A364" s="9">
        <v>363</v>
      </c>
      <c r="B364" s="9" t="s">
        <v>1018</v>
      </c>
      <c r="C364" s="3" t="s">
        <v>699</v>
      </c>
      <c r="D364" s="3" t="s">
        <v>671</v>
      </c>
      <c r="E364" t="s">
        <v>1162</v>
      </c>
      <c r="F364" t="s">
        <v>986</v>
      </c>
      <c r="G364" t="s">
        <v>831</v>
      </c>
      <c r="H364" t="s">
        <v>808</v>
      </c>
      <c r="I364" t="s">
        <v>806</v>
      </c>
      <c r="K364" s="12" t="s">
        <v>1062</v>
      </c>
      <c r="L364" s="12" t="s">
        <v>1110</v>
      </c>
      <c r="M364" s="12" t="s">
        <v>838</v>
      </c>
      <c r="N364" s="14" t="s">
        <v>1003</v>
      </c>
      <c r="P364" s="16">
        <f>PRODUCT(_xlfn.XLOOKUP(F364,Config!$A$2:$A$15,Config!$B$2:$B$15),_xlfn.XLOOKUP(G364,Config!$C$2:$C$7,Config!$D$2:$D$7),_xlfn.XLOOKUP(H364,Config!$E$2:$E$5,Config!$F$2:$F$5),_xlfn.XLOOKUP(I364,Config!$G$2:$G$3,Config!$H$2:$H$3),_xlfn.XLOOKUP(J364,Config!$I$2:$I$3,Config!$J$2:$J$3),_xlfn.XLOOKUP(K364,Config!$K$2:$K$3,Config!$L$2:$L$3),_xlfn.XLOOKUP(L364,Config!$M$2:$M$3,Config!$N$2:$N$3),_xlfn.XLOOKUP(M364,Config!$O$2:$O$6,Config!$P$2:$P$6))</f>
        <v>1.6861791870000002E-3</v>
      </c>
      <c r="Q364" s="22">
        <v>1</v>
      </c>
      <c r="R364" s="16">
        <f>P364*Q364*Config!$B$19</f>
        <v>1.2392007655510418E-3</v>
      </c>
    </row>
    <row r="365" spans="1:18" x14ac:dyDescent="0.45">
      <c r="A365" s="9">
        <v>364</v>
      </c>
      <c r="B365" s="9" t="s">
        <v>1018</v>
      </c>
      <c r="C365" s="3" t="s">
        <v>699</v>
      </c>
      <c r="D365" s="3" t="s">
        <v>671</v>
      </c>
      <c r="E365" t="s">
        <v>1162</v>
      </c>
      <c r="F365" t="s">
        <v>987</v>
      </c>
      <c r="G365" t="s">
        <v>831</v>
      </c>
      <c r="H365" t="s">
        <v>808</v>
      </c>
      <c r="I365" t="s">
        <v>806</v>
      </c>
      <c r="K365" s="12" t="s">
        <v>1062</v>
      </c>
      <c r="L365" s="12" t="s">
        <v>1110</v>
      </c>
      <c r="M365" s="12" t="s">
        <v>838</v>
      </c>
      <c r="N365" s="14" t="s">
        <v>1003</v>
      </c>
      <c r="P365" s="16">
        <f>PRODUCT(_xlfn.XLOOKUP(F365,Config!$A$2:$A$15,Config!$B$2:$B$15),_xlfn.XLOOKUP(G365,Config!$C$2:$C$7,Config!$D$2:$D$7),_xlfn.XLOOKUP(H365,Config!$E$2:$E$5,Config!$F$2:$F$5),_xlfn.XLOOKUP(I365,Config!$G$2:$G$3,Config!$H$2:$H$3),_xlfn.XLOOKUP(J365,Config!$I$2:$I$3,Config!$J$2:$J$3),_xlfn.XLOOKUP(K365,Config!$K$2:$K$3,Config!$L$2:$L$3),_xlfn.XLOOKUP(L365,Config!$M$2:$M$3,Config!$N$2:$N$3),_xlfn.XLOOKUP(M365,Config!$O$2:$O$6,Config!$P$2:$P$6))</f>
        <v>8.7267168449999986E-4</v>
      </c>
      <c r="Q365" s="22">
        <v>1</v>
      </c>
      <c r="R365" s="16">
        <f>P365*Q365*Config!$B$19</f>
        <v>6.4134074708343375E-4</v>
      </c>
    </row>
    <row r="366" spans="1:18" x14ac:dyDescent="0.45">
      <c r="A366" s="9">
        <v>365</v>
      </c>
      <c r="B366" s="9" t="s">
        <v>688</v>
      </c>
      <c r="C366" s="3" t="s">
        <v>996</v>
      </c>
      <c r="D366" s="3" t="s">
        <v>1163</v>
      </c>
      <c r="E366" t="s">
        <v>1164</v>
      </c>
      <c r="F366" t="s">
        <v>984</v>
      </c>
      <c r="G366" t="s">
        <v>831</v>
      </c>
      <c r="H366" t="s">
        <v>808</v>
      </c>
      <c r="I366" t="s">
        <v>806</v>
      </c>
      <c r="K366" s="12" t="s">
        <v>1062</v>
      </c>
      <c r="L366" t="s">
        <v>1111</v>
      </c>
      <c r="M366" s="12" t="s">
        <v>838</v>
      </c>
      <c r="N366" s="14" t="s">
        <v>1003</v>
      </c>
      <c r="P366" s="16">
        <f>PRODUCT(_xlfn.XLOOKUP(F366,Config!$A$2:$A$15,Config!$B$2:$B$15),_xlfn.XLOOKUP(G366,Config!$C$2:$C$7,Config!$D$2:$D$7),_xlfn.XLOOKUP(H366,Config!$E$2:$E$5,Config!$F$2:$F$5),_xlfn.XLOOKUP(I366,Config!$G$2:$G$3,Config!$H$2:$H$3),_xlfn.XLOOKUP(J366,Config!$I$2:$I$3,Config!$J$2:$J$3),_xlfn.XLOOKUP(K366,Config!$K$2:$K$3,Config!$L$2:$L$3),_xlfn.XLOOKUP(L366,Config!$M$2:$M$3,Config!$N$2:$N$3),_xlfn.XLOOKUP(M366,Config!$O$2:$O$6,Config!$P$2:$P$6))</f>
        <v>6.1252329599999992E-4</v>
      </c>
      <c r="Q366" s="22">
        <v>1</v>
      </c>
      <c r="R366" s="16">
        <f>P366*Q366*Config!$B$19</f>
        <v>4.5015342566972816E-4</v>
      </c>
    </row>
    <row r="367" spans="1:18" x14ac:dyDescent="0.45">
      <c r="A367" s="9">
        <v>366</v>
      </c>
      <c r="B367" s="9" t="s">
        <v>688</v>
      </c>
      <c r="C367" s="3" t="s">
        <v>996</v>
      </c>
      <c r="D367" s="3" t="s">
        <v>1163</v>
      </c>
      <c r="E367" t="s">
        <v>1164</v>
      </c>
      <c r="F367" t="s">
        <v>971</v>
      </c>
      <c r="G367" t="s">
        <v>831</v>
      </c>
      <c r="H367" t="s">
        <v>808</v>
      </c>
      <c r="I367" t="s">
        <v>806</v>
      </c>
      <c r="K367" s="12" t="s">
        <v>1062</v>
      </c>
      <c r="L367" t="s">
        <v>1111</v>
      </c>
      <c r="M367" s="12" t="s">
        <v>838</v>
      </c>
      <c r="N367" s="14" t="s">
        <v>1003</v>
      </c>
      <c r="P367" s="16">
        <f>PRODUCT(_xlfn.XLOOKUP(F367,Config!$A$2:$A$15,Config!$B$2:$B$15),_xlfn.XLOOKUP(G367,Config!$C$2:$C$7,Config!$D$2:$D$7),_xlfn.XLOOKUP(H367,Config!$E$2:$E$5,Config!$F$2:$F$5),_xlfn.XLOOKUP(I367,Config!$G$2:$G$3,Config!$H$2:$H$3),_xlfn.XLOOKUP(J367,Config!$I$2:$I$3,Config!$J$2:$J$3),_xlfn.XLOOKUP(K367,Config!$K$2:$K$3,Config!$L$2:$L$3),_xlfn.XLOOKUP(L367,Config!$M$2:$M$3,Config!$N$2:$N$3),_xlfn.XLOOKUP(M367,Config!$O$2:$O$6,Config!$P$2:$P$6))</f>
        <v>3.4454435399999995E-4</v>
      </c>
      <c r="Q367" s="22">
        <v>1</v>
      </c>
      <c r="R367" s="16">
        <f>P367*Q367*Config!$B$19</f>
        <v>2.5321130193922209E-4</v>
      </c>
    </row>
    <row r="368" spans="1:18" x14ac:dyDescent="0.45">
      <c r="A368" s="9">
        <v>367</v>
      </c>
      <c r="B368" s="9" t="s">
        <v>688</v>
      </c>
      <c r="C368" s="3" t="s">
        <v>996</v>
      </c>
      <c r="D368" s="3" t="s">
        <v>1163</v>
      </c>
      <c r="E368" t="s">
        <v>1164</v>
      </c>
      <c r="F368" t="s">
        <v>985</v>
      </c>
      <c r="G368" t="s">
        <v>831</v>
      </c>
      <c r="H368" t="s">
        <v>808</v>
      </c>
      <c r="I368" t="s">
        <v>806</v>
      </c>
      <c r="K368" s="12" t="s">
        <v>1062</v>
      </c>
      <c r="L368" t="s">
        <v>1111</v>
      </c>
      <c r="M368" s="12" t="s">
        <v>838</v>
      </c>
      <c r="N368" s="14" t="s">
        <v>1003</v>
      </c>
      <c r="P368" s="16">
        <f>PRODUCT(_xlfn.XLOOKUP(F368,Config!$A$2:$A$15,Config!$B$2:$B$15),_xlfn.XLOOKUP(G368,Config!$C$2:$C$7,Config!$D$2:$D$7),_xlfn.XLOOKUP(H368,Config!$E$2:$E$5,Config!$F$2:$F$5),_xlfn.XLOOKUP(I368,Config!$G$2:$G$3,Config!$H$2:$H$3),_xlfn.XLOOKUP(J368,Config!$I$2:$I$3,Config!$J$2:$J$3),_xlfn.XLOOKUP(K368,Config!$K$2:$K$3,Config!$L$2:$L$3),_xlfn.XLOOKUP(L368,Config!$M$2:$M$3,Config!$N$2:$N$3),_xlfn.XLOOKUP(M368,Config!$O$2:$O$6,Config!$P$2:$P$6))</f>
        <v>5.2899739200000008E-4</v>
      </c>
      <c r="Q368" s="22">
        <v>1</v>
      </c>
      <c r="R368" s="16">
        <f>P368*Q368*Config!$B$19</f>
        <v>3.8876886762385628E-4</v>
      </c>
    </row>
    <row r="369" spans="1:18" x14ac:dyDescent="0.45">
      <c r="A369" s="9">
        <v>368</v>
      </c>
      <c r="B369" s="9" t="s">
        <v>688</v>
      </c>
      <c r="C369" s="3" t="s">
        <v>996</v>
      </c>
      <c r="D369" s="3" t="s">
        <v>1163</v>
      </c>
      <c r="E369" t="s">
        <v>1164</v>
      </c>
      <c r="F369" t="s">
        <v>986</v>
      </c>
      <c r="G369" t="s">
        <v>831</v>
      </c>
      <c r="H369" t="s">
        <v>808</v>
      </c>
      <c r="I369" t="s">
        <v>806</v>
      </c>
      <c r="K369" s="12" t="s">
        <v>1062</v>
      </c>
      <c r="L369" t="s">
        <v>1111</v>
      </c>
      <c r="M369" s="12" t="s">
        <v>838</v>
      </c>
      <c r="N369" s="14" t="s">
        <v>1003</v>
      </c>
      <c r="P369" s="16">
        <f>PRODUCT(_xlfn.XLOOKUP(F369,Config!$A$2:$A$15,Config!$B$2:$B$15),_xlfn.XLOOKUP(G369,Config!$C$2:$C$7,Config!$D$2:$D$7),_xlfn.XLOOKUP(H369,Config!$E$2:$E$5,Config!$F$2:$F$5),_xlfn.XLOOKUP(I369,Config!$G$2:$G$3,Config!$H$2:$H$3),_xlfn.XLOOKUP(J369,Config!$I$2:$I$3,Config!$J$2:$J$3),_xlfn.XLOOKUP(K369,Config!$K$2:$K$3,Config!$L$2:$L$3),_xlfn.XLOOKUP(L369,Config!$M$2:$M$3,Config!$N$2:$N$3),_xlfn.XLOOKUP(M369,Config!$O$2:$O$6,Config!$P$2:$P$6))</f>
        <v>2.9756103300000004E-4</v>
      </c>
      <c r="Q369" s="22">
        <v>1</v>
      </c>
      <c r="R369" s="16">
        <f>P369*Q369*Config!$B$19</f>
        <v>2.1868248803841913E-4</v>
      </c>
    </row>
    <row r="370" spans="1:18" x14ac:dyDescent="0.45">
      <c r="A370" s="9">
        <v>369</v>
      </c>
      <c r="B370" s="9" t="s">
        <v>688</v>
      </c>
      <c r="C370" s="3" t="s">
        <v>996</v>
      </c>
      <c r="D370" s="3" t="s">
        <v>1163</v>
      </c>
      <c r="E370" t="s">
        <v>1164</v>
      </c>
      <c r="F370" t="s">
        <v>1010</v>
      </c>
      <c r="G370" t="s">
        <v>831</v>
      </c>
      <c r="H370" t="s">
        <v>808</v>
      </c>
      <c r="I370" t="s">
        <v>806</v>
      </c>
      <c r="K370" s="12" t="s">
        <v>1062</v>
      </c>
      <c r="L370" t="s">
        <v>1111</v>
      </c>
      <c r="M370" s="12" t="s">
        <v>838</v>
      </c>
      <c r="N370" s="14" t="s">
        <v>1003</v>
      </c>
      <c r="P370" s="16">
        <f>PRODUCT(_xlfn.XLOOKUP(F370,Config!$A$2:$A$15,Config!$B$2:$B$15),_xlfn.XLOOKUP(G370,Config!$C$2:$C$7,Config!$D$2:$D$7),_xlfn.XLOOKUP(H370,Config!$E$2:$E$5,Config!$F$2:$F$5),_xlfn.XLOOKUP(I370,Config!$G$2:$G$3,Config!$H$2:$H$3),_xlfn.XLOOKUP(J370,Config!$I$2:$I$3,Config!$J$2:$J$3),_xlfn.XLOOKUP(K370,Config!$K$2:$K$3,Config!$L$2:$L$3),_xlfn.XLOOKUP(L370,Config!$M$2:$M$3,Config!$N$2:$N$3),_xlfn.XLOOKUP(M370,Config!$O$2:$O$6,Config!$P$2:$P$6))</f>
        <v>4.1066902799999995E-4</v>
      </c>
      <c r="Q370" s="22">
        <v>1</v>
      </c>
      <c r="R370" s="16">
        <f>P370*Q370*Config!$B$19</f>
        <v>3.0180741039220413E-4</v>
      </c>
    </row>
    <row r="371" spans="1:18" x14ac:dyDescent="0.45">
      <c r="A371" s="9">
        <v>370</v>
      </c>
      <c r="B371" s="9" t="s">
        <v>1168</v>
      </c>
      <c r="C371" s="3" t="s">
        <v>1171</v>
      </c>
      <c r="D371" s="3" t="s">
        <v>1173</v>
      </c>
      <c r="E371" t="s">
        <v>1165</v>
      </c>
      <c r="F371" t="s">
        <v>990</v>
      </c>
      <c r="G371" t="s">
        <v>831</v>
      </c>
      <c r="H371" t="s">
        <v>808</v>
      </c>
      <c r="I371" t="s">
        <v>806</v>
      </c>
      <c r="K371" s="12" t="s">
        <v>1062</v>
      </c>
      <c r="L371" t="s">
        <v>1111</v>
      </c>
      <c r="M371" s="12" t="s">
        <v>838</v>
      </c>
      <c r="N371" s="12" t="s">
        <v>1190</v>
      </c>
      <c r="P371" s="16">
        <f>PRODUCT(_xlfn.XLOOKUP(F371,Config!$A$2:$A$15,Config!$B$2:$B$15),_xlfn.XLOOKUP(G371,Config!$C$2:$C$7,Config!$D$2:$D$7),_xlfn.XLOOKUP(H371,Config!$E$2:$E$5,Config!$F$2:$F$5),_xlfn.XLOOKUP(I371,Config!$G$2:$G$3,Config!$H$2:$H$3),_xlfn.XLOOKUP(J371,Config!$I$2:$I$3,Config!$J$2:$J$3),_xlfn.XLOOKUP(K371,Config!$K$2:$K$3,Config!$L$2:$L$3),_xlfn.XLOOKUP(L371,Config!$M$2:$M$3,Config!$N$2:$N$3),_xlfn.XLOOKUP(M371,Config!$O$2:$O$6,Config!$P$2:$P$6))</f>
        <v>4.1066902799999995E-4</v>
      </c>
      <c r="Q371" s="22">
        <v>1</v>
      </c>
      <c r="R371" s="16">
        <f>P371*Q371*Config!$B$19</f>
        <v>3.0180741039220413E-4</v>
      </c>
    </row>
    <row r="372" spans="1:18" x14ac:dyDescent="0.45">
      <c r="A372" s="9">
        <v>371</v>
      </c>
      <c r="B372" s="9" t="s">
        <v>1169</v>
      </c>
      <c r="C372" s="3" t="s">
        <v>1172</v>
      </c>
      <c r="D372" s="3" t="s">
        <v>1174</v>
      </c>
      <c r="E372" t="s">
        <v>1166</v>
      </c>
      <c r="F372" t="s">
        <v>988</v>
      </c>
      <c r="G372" t="s">
        <v>831</v>
      </c>
      <c r="H372" t="s">
        <v>808</v>
      </c>
      <c r="I372" t="s">
        <v>806</v>
      </c>
      <c r="K372" s="12" t="s">
        <v>1062</v>
      </c>
      <c r="L372" t="s">
        <v>1111</v>
      </c>
      <c r="M372" s="12" t="s">
        <v>838</v>
      </c>
      <c r="N372" s="12" t="s">
        <v>1190</v>
      </c>
      <c r="P372" s="16">
        <f>PRODUCT(_xlfn.XLOOKUP(F372,Config!$A$2:$A$15,Config!$B$2:$B$15),_xlfn.XLOOKUP(G372,Config!$C$2:$C$7,Config!$D$2:$D$7),_xlfn.XLOOKUP(H372,Config!$E$2:$E$5,Config!$F$2:$F$5),_xlfn.XLOOKUP(I372,Config!$G$2:$G$3,Config!$H$2:$H$3),_xlfn.XLOOKUP(J372,Config!$I$2:$I$3,Config!$J$2:$J$3),_xlfn.XLOOKUP(K372,Config!$K$2:$K$3,Config!$L$2:$L$3),_xlfn.XLOOKUP(L372,Config!$M$2:$M$3,Config!$N$2:$N$3),_xlfn.XLOOKUP(M372,Config!$O$2:$O$6,Config!$P$2:$P$6))</f>
        <v>4.1066902799999995E-4</v>
      </c>
      <c r="Q372" s="22">
        <v>1</v>
      </c>
      <c r="R372" s="16">
        <f>P372*Q372*Config!$B$19</f>
        <v>3.0180741039220413E-4</v>
      </c>
    </row>
    <row r="373" spans="1:18" x14ac:dyDescent="0.45">
      <c r="A373" s="9">
        <v>372</v>
      </c>
      <c r="B373" s="9" t="s">
        <v>1170</v>
      </c>
      <c r="C373" s="7" t="s">
        <v>1172</v>
      </c>
      <c r="D373" s="7" t="s">
        <v>1175</v>
      </c>
      <c r="E373" t="s">
        <v>1167</v>
      </c>
      <c r="F373" t="s">
        <v>989</v>
      </c>
      <c r="G373" t="s">
        <v>831</v>
      </c>
      <c r="H373" t="s">
        <v>808</v>
      </c>
      <c r="I373" t="s">
        <v>806</v>
      </c>
      <c r="K373" s="12" t="s">
        <v>1062</v>
      </c>
      <c r="L373" t="s">
        <v>1111</v>
      </c>
      <c r="M373" s="12" t="s">
        <v>838</v>
      </c>
      <c r="N373" s="12" t="s">
        <v>1190</v>
      </c>
      <c r="P373" s="16">
        <f>PRODUCT(_xlfn.XLOOKUP(F373,Config!$A$2:$A$15,Config!$B$2:$B$15),_xlfn.XLOOKUP(G373,Config!$C$2:$C$7,Config!$D$2:$D$7),_xlfn.XLOOKUP(H373,Config!$E$2:$E$5,Config!$F$2:$F$5),_xlfn.XLOOKUP(I373,Config!$G$2:$G$3,Config!$H$2:$H$3),_xlfn.XLOOKUP(J373,Config!$I$2:$I$3,Config!$J$2:$J$3),_xlfn.XLOOKUP(K373,Config!$K$2:$K$3,Config!$L$2:$L$3),_xlfn.XLOOKUP(L373,Config!$M$2:$M$3,Config!$N$2:$N$3),_xlfn.XLOOKUP(M373,Config!$O$2:$O$6,Config!$P$2:$P$6))</f>
        <v>4.1066902799999995E-4</v>
      </c>
      <c r="Q373" s="22">
        <v>1</v>
      </c>
      <c r="R373" s="16">
        <f>P373*Q373*Config!$B$19</f>
        <v>3.0180741039220413E-4</v>
      </c>
    </row>
    <row r="374" spans="1:18" x14ac:dyDescent="0.45">
      <c r="A374" s="7">
        <v>373</v>
      </c>
      <c r="B374" s="7" t="s">
        <v>1559</v>
      </c>
      <c r="C374" s="7" t="s">
        <v>1161</v>
      </c>
      <c r="D374" s="7" t="s">
        <v>1558</v>
      </c>
      <c r="F374" t="s">
        <v>984</v>
      </c>
      <c r="G374" t="s">
        <v>833</v>
      </c>
      <c r="H374" t="s">
        <v>808</v>
      </c>
      <c r="I374" s="12" t="s">
        <v>1107</v>
      </c>
      <c r="K374" s="12" t="s">
        <v>1062</v>
      </c>
      <c r="L374" t="s">
        <v>1111</v>
      </c>
      <c r="M374" s="12" t="s">
        <v>838</v>
      </c>
      <c r="N374" s="14" t="s">
        <v>1003</v>
      </c>
      <c r="P374" s="16">
        <f>PRODUCT(_xlfn.XLOOKUP(F374,Config!$A$2:$A$15,Config!$B$2:$B$15),_xlfn.XLOOKUP(G374,Config!$C$2:$C$7,Config!$D$2:$D$7),_xlfn.XLOOKUP(H374,Config!$E$2:$E$5,Config!$F$2:$F$5),_xlfn.XLOOKUP(I374,Config!$G$2:$G$3,Config!$H$2:$H$3),_xlfn.XLOOKUP(J374,Config!$I$2:$I$3,Config!$J$2:$J$3),_xlfn.XLOOKUP(K374,Config!$K$2:$K$3,Config!$L$2:$L$3),_xlfn.XLOOKUP(L374,Config!$M$2:$M$3,Config!$N$2:$N$3),_xlfn.XLOOKUP(M374,Config!$O$2:$O$6,Config!$P$2:$P$6))</f>
        <v>2.8584420480000009E-4</v>
      </c>
      <c r="Q374" s="22">
        <v>1</v>
      </c>
      <c r="R374" s="16">
        <f>P374*Q374*Config!$B$19</f>
        <v>2.1007159864587323E-4</v>
      </c>
    </row>
    <row r="375" spans="1:18" x14ac:dyDescent="0.45">
      <c r="A375" s="7">
        <v>374</v>
      </c>
      <c r="B375" s="7" t="s">
        <v>1559</v>
      </c>
      <c r="C375" s="7" t="s">
        <v>1161</v>
      </c>
      <c r="D375" s="7" t="s">
        <v>1558</v>
      </c>
      <c r="F375" t="s">
        <v>971</v>
      </c>
      <c r="G375" t="s">
        <v>833</v>
      </c>
      <c r="H375" t="s">
        <v>808</v>
      </c>
      <c r="I375" s="12" t="s">
        <v>1107</v>
      </c>
      <c r="K375" s="12" t="s">
        <v>1062</v>
      </c>
      <c r="L375" t="s">
        <v>1111</v>
      </c>
      <c r="M375" s="12" t="s">
        <v>838</v>
      </c>
      <c r="N375" s="14" t="s">
        <v>1003</v>
      </c>
      <c r="P375" s="16">
        <f>PRODUCT(_xlfn.XLOOKUP(F375,Config!$A$2:$A$15,Config!$B$2:$B$15),_xlfn.XLOOKUP(G375,Config!$C$2:$C$7,Config!$D$2:$D$7),_xlfn.XLOOKUP(H375,Config!$E$2:$E$5,Config!$F$2:$F$5),_xlfn.XLOOKUP(I375,Config!$G$2:$G$3,Config!$H$2:$H$3),_xlfn.XLOOKUP(J375,Config!$I$2:$I$3,Config!$J$2:$J$3),_xlfn.XLOOKUP(K375,Config!$K$2:$K$3,Config!$L$2:$L$3),_xlfn.XLOOKUP(L375,Config!$M$2:$M$3,Config!$N$2:$N$3),_xlfn.XLOOKUP(M375,Config!$O$2:$O$6,Config!$P$2:$P$6))</f>
        <v>1.6078736520000003E-4</v>
      </c>
      <c r="Q375" s="22">
        <v>1</v>
      </c>
      <c r="R375" s="16">
        <f>P375*Q375*Config!$B$19</f>
        <v>1.1816527423830369E-4</v>
      </c>
    </row>
    <row r="376" spans="1:18" x14ac:dyDescent="0.45">
      <c r="A376" s="7">
        <v>375</v>
      </c>
      <c r="B376" s="7" t="s">
        <v>1559</v>
      </c>
      <c r="C376" s="7" t="s">
        <v>1161</v>
      </c>
      <c r="D376" s="7" t="s">
        <v>1558</v>
      </c>
      <c r="F376" t="s">
        <v>985</v>
      </c>
      <c r="G376" t="s">
        <v>833</v>
      </c>
      <c r="H376" t="s">
        <v>808</v>
      </c>
      <c r="I376" s="12" t="s">
        <v>1107</v>
      </c>
      <c r="K376" s="12" t="s">
        <v>1062</v>
      </c>
      <c r="L376" t="s">
        <v>1111</v>
      </c>
      <c r="M376" s="12" t="s">
        <v>838</v>
      </c>
      <c r="N376" s="14" t="s">
        <v>1003</v>
      </c>
      <c r="P376" s="16">
        <f>PRODUCT(_xlfn.XLOOKUP(F376,Config!$A$2:$A$15,Config!$B$2:$B$15),_xlfn.XLOOKUP(G376,Config!$C$2:$C$7,Config!$D$2:$D$7),_xlfn.XLOOKUP(H376,Config!$E$2:$E$5,Config!$F$2:$F$5),_xlfn.XLOOKUP(I376,Config!$G$2:$G$3,Config!$H$2:$H$3),_xlfn.XLOOKUP(J376,Config!$I$2:$I$3,Config!$J$2:$J$3),_xlfn.XLOOKUP(K376,Config!$K$2:$K$3,Config!$L$2:$L$3),_xlfn.XLOOKUP(L376,Config!$M$2:$M$3,Config!$N$2:$N$3),_xlfn.XLOOKUP(M376,Config!$O$2:$O$6,Config!$P$2:$P$6))</f>
        <v>2.468654496E-4</v>
      </c>
      <c r="Q376" s="22">
        <v>1</v>
      </c>
      <c r="R376" s="16">
        <f>P376*Q376*Config!$B$19</f>
        <v>1.8142547155779957E-4</v>
      </c>
    </row>
    <row r="377" spans="1:18" x14ac:dyDescent="0.45">
      <c r="A377" s="7">
        <v>376</v>
      </c>
      <c r="B377" s="7" t="s">
        <v>1559</v>
      </c>
      <c r="C377" s="7" t="s">
        <v>1161</v>
      </c>
      <c r="D377" s="7" t="s">
        <v>1558</v>
      </c>
      <c r="F377" t="s">
        <v>986</v>
      </c>
      <c r="G377" t="s">
        <v>833</v>
      </c>
      <c r="H377" t="s">
        <v>808</v>
      </c>
      <c r="I377" s="12" t="s">
        <v>1107</v>
      </c>
      <c r="K377" s="12" t="s">
        <v>1062</v>
      </c>
      <c r="L377" t="s">
        <v>1111</v>
      </c>
      <c r="M377" s="12" t="s">
        <v>838</v>
      </c>
      <c r="N377" s="14" t="s">
        <v>1003</v>
      </c>
      <c r="P377" s="16">
        <f>PRODUCT(_xlfn.XLOOKUP(F377,Config!$A$2:$A$15,Config!$B$2:$B$15),_xlfn.XLOOKUP(G377,Config!$C$2:$C$7,Config!$D$2:$D$7),_xlfn.XLOOKUP(H377,Config!$E$2:$E$5,Config!$F$2:$F$5),_xlfn.XLOOKUP(I377,Config!$G$2:$G$3,Config!$H$2:$H$3),_xlfn.XLOOKUP(J377,Config!$I$2:$I$3,Config!$J$2:$J$3),_xlfn.XLOOKUP(K377,Config!$K$2:$K$3,Config!$L$2:$L$3),_xlfn.XLOOKUP(L377,Config!$M$2:$M$3,Config!$N$2:$N$3),_xlfn.XLOOKUP(M377,Config!$O$2:$O$6,Config!$P$2:$P$6))</f>
        <v>1.3886181540000004E-4</v>
      </c>
      <c r="Q377" s="22">
        <v>1</v>
      </c>
      <c r="R377" s="16">
        <f>P377*Q377*Config!$B$19</f>
        <v>1.0205182775126228E-4</v>
      </c>
    </row>
    <row r="378" spans="1:18" x14ac:dyDescent="0.45">
      <c r="A378" s="7">
        <v>377</v>
      </c>
      <c r="B378" s="7" t="s">
        <v>1559</v>
      </c>
      <c r="C378" s="7" t="s">
        <v>1161</v>
      </c>
      <c r="D378" s="7" t="s">
        <v>1558</v>
      </c>
      <c r="F378" t="s">
        <v>1010</v>
      </c>
      <c r="G378" t="s">
        <v>833</v>
      </c>
      <c r="H378" t="s">
        <v>808</v>
      </c>
      <c r="I378" s="12" t="s">
        <v>1107</v>
      </c>
      <c r="K378" s="12" t="s">
        <v>1062</v>
      </c>
      <c r="L378" t="s">
        <v>1111</v>
      </c>
      <c r="M378" s="12" t="s">
        <v>838</v>
      </c>
      <c r="N378" s="14" t="s">
        <v>1003</v>
      </c>
      <c r="P378" s="16">
        <f>PRODUCT(_xlfn.XLOOKUP(F378,Config!$A$2:$A$15,Config!$B$2:$B$15),_xlfn.XLOOKUP(G378,Config!$C$2:$C$7,Config!$D$2:$D$7),_xlfn.XLOOKUP(H378,Config!$E$2:$E$5,Config!$F$2:$F$5),_xlfn.XLOOKUP(I378,Config!$G$2:$G$3,Config!$H$2:$H$3),_xlfn.XLOOKUP(J378,Config!$I$2:$I$3,Config!$J$2:$J$3),_xlfn.XLOOKUP(K378,Config!$K$2:$K$3,Config!$L$2:$L$3),_xlfn.XLOOKUP(L378,Config!$M$2:$M$3,Config!$N$2:$N$3),_xlfn.XLOOKUP(M378,Config!$O$2:$O$6,Config!$P$2:$P$6))</f>
        <v>1.9164554640000006E-4</v>
      </c>
      <c r="Q378" s="22">
        <v>1</v>
      </c>
      <c r="R378" s="16">
        <f>P378*Q378*Config!$B$19</f>
        <v>1.4084345818302866E-4</v>
      </c>
    </row>
    <row r="379" spans="1:18" x14ac:dyDescent="0.45">
      <c r="A379" s="7">
        <v>378</v>
      </c>
      <c r="B379" s="7" t="s">
        <v>1559</v>
      </c>
      <c r="C379" s="7" t="s">
        <v>1161</v>
      </c>
      <c r="D379" s="7" t="s">
        <v>1558</v>
      </c>
      <c r="F379" t="s">
        <v>987</v>
      </c>
      <c r="G379" t="s">
        <v>833</v>
      </c>
      <c r="H379" t="s">
        <v>808</v>
      </c>
      <c r="I379" s="12" t="s">
        <v>1107</v>
      </c>
      <c r="K379" s="12" t="s">
        <v>1062</v>
      </c>
      <c r="L379" t="s">
        <v>1111</v>
      </c>
      <c r="M379" s="12" t="s">
        <v>838</v>
      </c>
      <c r="N379" s="14" t="s">
        <v>1003</v>
      </c>
      <c r="P379" s="16">
        <f>PRODUCT(_xlfn.XLOOKUP(F379,Config!$A$2:$A$15,Config!$B$2:$B$15),_xlfn.XLOOKUP(G379,Config!$C$2:$C$7,Config!$D$2:$D$7),_xlfn.XLOOKUP(H379,Config!$E$2:$E$5,Config!$F$2:$F$5),_xlfn.XLOOKUP(I379,Config!$G$2:$G$3,Config!$H$2:$H$3),_xlfn.XLOOKUP(J379,Config!$I$2:$I$3,Config!$J$2:$J$3),_xlfn.XLOOKUP(K379,Config!$K$2:$K$3,Config!$L$2:$L$3),_xlfn.XLOOKUP(L379,Config!$M$2:$M$3,Config!$N$2:$N$3),_xlfn.XLOOKUP(M379,Config!$O$2:$O$6,Config!$P$2:$P$6))</f>
        <v>7.1867079899999995E-5</v>
      </c>
      <c r="Q379" s="22">
        <v>1</v>
      </c>
      <c r="R379" s="16">
        <f>P379*Q379*Config!$B$19</f>
        <v>5.2816296818635721E-5</v>
      </c>
    </row>
    <row r="380" spans="1:18" x14ac:dyDescent="0.45">
      <c r="A380" s="3">
        <v>379</v>
      </c>
      <c r="B380" s="3" t="s">
        <v>1540</v>
      </c>
      <c r="C380" s="3" t="s">
        <v>1200</v>
      </c>
      <c r="D380" s="3" t="s">
        <v>1202</v>
      </c>
      <c r="E380" t="s">
        <v>1182</v>
      </c>
      <c r="F380" t="s">
        <v>1010</v>
      </c>
      <c r="G380" t="s">
        <v>830</v>
      </c>
      <c r="H380" t="s">
        <v>808</v>
      </c>
      <c r="I380" s="12" t="s">
        <v>1107</v>
      </c>
      <c r="K380" s="12" t="s">
        <v>1062</v>
      </c>
      <c r="L380" s="12" t="s">
        <v>1110</v>
      </c>
      <c r="M380" s="12" t="s">
        <v>838</v>
      </c>
      <c r="N380" s="12" t="s">
        <v>1190</v>
      </c>
      <c r="O380" s="14" t="s">
        <v>1186</v>
      </c>
      <c r="P380" s="16">
        <f>PRODUCT(_xlfn.XLOOKUP(F380,Config!$A$2:$A$15,Config!$B$2:$B$15),_xlfn.XLOOKUP(G380,Config!$C$2:$C$7,Config!$D$2:$D$7),_xlfn.XLOOKUP(H380,Config!$E$2:$E$5,Config!$F$2:$F$5),_xlfn.XLOOKUP(I380,Config!$G$2:$G$3,Config!$H$2:$H$3),_xlfn.XLOOKUP(J380,Config!$I$2:$I$3,Config!$J$2:$J$3),_xlfn.XLOOKUP(K380,Config!$K$2:$K$3,Config!$L$2:$L$3),_xlfn.XLOOKUP(L380,Config!$M$2:$M$3,Config!$N$2:$N$3),_xlfn.XLOOKUP(M380,Config!$O$2:$O$6,Config!$P$2:$P$6))</f>
        <v>2.7925493904000006E-3</v>
      </c>
      <c r="Q380" s="22">
        <v>1</v>
      </c>
      <c r="R380" s="16">
        <f>P380*Q380*Config!$B$19</f>
        <v>2.0522903906669888E-3</v>
      </c>
    </row>
    <row r="381" spans="1:18" x14ac:dyDescent="0.45">
      <c r="A381" s="9">
        <v>380</v>
      </c>
      <c r="B381" s="3" t="s">
        <v>1199</v>
      </c>
      <c r="C381" s="9" t="s">
        <v>1200</v>
      </c>
      <c r="D381" s="9" t="s">
        <v>1202</v>
      </c>
      <c r="E381" t="s">
        <v>1182</v>
      </c>
      <c r="F381" t="s">
        <v>971</v>
      </c>
      <c r="G381" t="s">
        <v>830</v>
      </c>
      <c r="H381" t="s">
        <v>808</v>
      </c>
      <c r="I381" s="12" t="s">
        <v>1107</v>
      </c>
      <c r="K381" s="12" t="s">
        <v>1062</v>
      </c>
      <c r="L381" s="12" t="s">
        <v>1110</v>
      </c>
      <c r="M381" s="12" t="s">
        <v>838</v>
      </c>
      <c r="N381" s="12" t="s">
        <v>1190</v>
      </c>
      <c r="O381" s="14" t="s">
        <v>1187</v>
      </c>
      <c r="P381" s="16">
        <f>PRODUCT(_xlfn.XLOOKUP(F381,Config!$A$2:$A$15,Config!$B$2:$B$15),_xlfn.XLOOKUP(G381,Config!$C$2:$C$7,Config!$D$2:$D$7),_xlfn.XLOOKUP(H381,Config!$E$2:$E$5,Config!$F$2:$F$5),_xlfn.XLOOKUP(I381,Config!$G$2:$G$3,Config!$H$2:$H$3),_xlfn.XLOOKUP(J381,Config!$I$2:$I$3,Config!$J$2:$J$3),_xlfn.XLOOKUP(K381,Config!$K$2:$K$3,Config!$L$2:$L$3),_xlfn.XLOOKUP(L381,Config!$M$2:$M$3,Config!$N$2:$N$3),_xlfn.XLOOKUP(M381,Config!$O$2:$O$6,Config!$P$2:$P$6))</f>
        <v>2.3429016072E-3</v>
      </c>
      <c r="Q381" s="22">
        <v>1</v>
      </c>
      <c r="R381" s="16">
        <f>P381*Q381*Config!$B$19</f>
        <v>1.7218368531867105E-3</v>
      </c>
    </row>
    <row r="382" spans="1:18" x14ac:dyDescent="0.45">
      <c r="A382" s="9">
        <v>381</v>
      </c>
      <c r="B382" s="3" t="s">
        <v>1199</v>
      </c>
      <c r="C382" s="9" t="s">
        <v>1200</v>
      </c>
      <c r="D382" s="9" t="s">
        <v>1202</v>
      </c>
      <c r="E382" t="s">
        <v>1182</v>
      </c>
      <c r="F382" t="s">
        <v>986</v>
      </c>
      <c r="G382" t="s">
        <v>830</v>
      </c>
      <c r="H382" t="s">
        <v>808</v>
      </c>
      <c r="I382" s="12" t="s">
        <v>1107</v>
      </c>
      <c r="K382" s="12" t="s">
        <v>1062</v>
      </c>
      <c r="L382" s="12" t="s">
        <v>1110</v>
      </c>
      <c r="M382" s="12" t="s">
        <v>838</v>
      </c>
      <c r="N382" s="12" t="s">
        <v>1190</v>
      </c>
      <c r="O382" s="14" t="s">
        <v>1188</v>
      </c>
      <c r="P382" s="16">
        <f>PRODUCT(_xlfn.XLOOKUP(F382,Config!$A$2:$A$15,Config!$B$2:$B$15),_xlfn.XLOOKUP(G382,Config!$C$2:$C$7,Config!$D$2:$D$7),_xlfn.XLOOKUP(H382,Config!$E$2:$E$5,Config!$F$2:$F$5),_xlfn.XLOOKUP(I382,Config!$G$2:$G$3,Config!$H$2:$H$3),_xlfn.XLOOKUP(J382,Config!$I$2:$I$3,Config!$J$2:$J$3),_xlfn.XLOOKUP(K382,Config!$K$2:$K$3,Config!$L$2:$L$3),_xlfn.XLOOKUP(L382,Config!$M$2:$M$3,Config!$N$2:$N$3),_xlfn.XLOOKUP(M382,Config!$O$2:$O$6,Config!$P$2:$P$6))</f>
        <v>2.0234150244E-3</v>
      </c>
      <c r="Q382" s="22">
        <v>1</v>
      </c>
      <c r="R382" s="16">
        <f>P382*Q382*Config!$B$19</f>
        <v>1.48704091866125E-3</v>
      </c>
    </row>
    <row r="383" spans="1:18" x14ac:dyDescent="0.45">
      <c r="A383" s="3">
        <v>382</v>
      </c>
      <c r="B383" s="11" t="s">
        <v>661</v>
      </c>
      <c r="C383" s="11" t="s">
        <v>549</v>
      </c>
      <c r="D383" s="3" t="s">
        <v>559</v>
      </c>
      <c r="E383" s="2" t="s">
        <v>1192</v>
      </c>
      <c r="F383" t="s">
        <v>984</v>
      </c>
      <c r="G383" t="s">
        <v>831</v>
      </c>
      <c r="H383" s="2" t="s">
        <v>808</v>
      </c>
      <c r="I383" s="12" t="s">
        <v>1107</v>
      </c>
      <c r="J383" s="2"/>
      <c r="K383" s="12" t="s">
        <v>1062</v>
      </c>
      <c r="L383" s="12" t="s">
        <v>1110</v>
      </c>
      <c r="M383" s="12" t="s">
        <v>838</v>
      </c>
      <c r="N383" s="14" t="s">
        <v>1003</v>
      </c>
      <c r="P383" s="16">
        <f>PRODUCT(_xlfn.XLOOKUP(F383,Config!$A$2:$A$15,Config!$B$2:$B$15),_xlfn.XLOOKUP(G383,Config!$C$2:$C$7,Config!$D$2:$D$7),_xlfn.XLOOKUP(H383,Config!$E$2:$E$5,Config!$F$2:$F$5),_xlfn.XLOOKUP(I383,Config!$G$2:$G$3,Config!$H$2:$H$3),_xlfn.XLOOKUP(J383,Config!$I$2:$I$3,Config!$J$2:$J$3),_xlfn.XLOOKUP(K383,Config!$K$2:$K$3,Config!$L$2:$L$3),_xlfn.XLOOKUP(L383,Config!$M$2:$M$3,Config!$N$2:$N$3),_xlfn.XLOOKUP(M383,Config!$O$2:$O$6,Config!$P$2:$P$6))</f>
        <v>8.0989191360000008E-3</v>
      </c>
      <c r="Q383" s="22">
        <v>0.75</v>
      </c>
      <c r="R383" s="16">
        <f>P383*Q383*Config!$B$19</f>
        <v>4.464021471224806E-3</v>
      </c>
    </row>
    <row r="384" spans="1:18" x14ac:dyDescent="0.45">
      <c r="A384" s="3">
        <v>383</v>
      </c>
      <c r="B384" s="11" t="s">
        <v>661</v>
      </c>
      <c r="C384" s="11" t="s">
        <v>549</v>
      </c>
      <c r="D384" s="3" t="s">
        <v>559</v>
      </c>
      <c r="E384" s="2" t="s">
        <v>1192</v>
      </c>
      <c r="F384" t="s">
        <v>985</v>
      </c>
      <c r="G384" t="s">
        <v>831</v>
      </c>
      <c r="H384" s="2" t="s">
        <v>808</v>
      </c>
      <c r="I384" s="12" t="s">
        <v>1107</v>
      </c>
      <c r="J384" s="2"/>
      <c r="K384" s="12" t="s">
        <v>1062</v>
      </c>
      <c r="L384" s="12" t="s">
        <v>1110</v>
      </c>
      <c r="M384" s="12" t="s">
        <v>838</v>
      </c>
      <c r="N384" s="14" t="s">
        <v>1003</v>
      </c>
      <c r="P384" s="16">
        <f>PRODUCT(_xlfn.XLOOKUP(F384,Config!$A$2:$A$15,Config!$B$2:$B$15),_xlfn.XLOOKUP(G384,Config!$C$2:$C$7,Config!$D$2:$D$7),_xlfn.XLOOKUP(H384,Config!$E$2:$E$5,Config!$F$2:$F$5),_xlfn.XLOOKUP(I384,Config!$G$2:$G$3,Config!$H$2:$H$3),_xlfn.XLOOKUP(J384,Config!$I$2:$I$3,Config!$J$2:$J$3),_xlfn.XLOOKUP(K384,Config!$K$2:$K$3,Config!$L$2:$L$3),_xlfn.XLOOKUP(L384,Config!$M$2:$M$3,Config!$N$2:$N$3),_xlfn.XLOOKUP(M384,Config!$O$2:$O$6,Config!$P$2:$P$6))</f>
        <v>6.9945210720000007E-3</v>
      </c>
      <c r="Q384" s="22">
        <v>0.75</v>
      </c>
      <c r="R384" s="16">
        <f>P384*Q384*Config!$B$19</f>
        <v>3.855291270603241E-3</v>
      </c>
    </row>
    <row r="385" spans="1:19" x14ac:dyDescent="0.45">
      <c r="A385" s="3">
        <v>384</v>
      </c>
      <c r="B385" s="11" t="s">
        <v>661</v>
      </c>
      <c r="C385" s="11" t="s">
        <v>549</v>
      </c>
      <c r="D385" s="3" t="s">
        <v>559</v>
      </c>
      <c r="E385" s="2" t="s">
        <v>1192</v>
      </c>
      <c r="F385" t="s">
        <v>986</v>
      </c>
      <c r="G385" t="s">
        <v>831</v>
      </c>
      <c r="H385" s="2" t="s">
        <v>808</v>
      </c>
      <c r="I385" s="12" t="s">
        <v>1107</v>
      </c>
      <c r="J385" s="2"/>
      <c r="K385" s="12" t="s">
        <v>1062</v>
      </c>
      <c r="L385" s="12" t="s">
        <v>1110</v>
      </c>
      <c r="M385" s="12" t="s">
        <v>838</v>
      </c>
      <c r="N385" s="14" t="s">
        <v>1003</v>
      </c>
      <c r="P385" s="16">
        <f>PRODUCT(_xlfn.XLOOKUP(F385,Config!$A$2:$A$15,Config!$B$2:$B$15),_xlfn.XLOOKUP(G385,Config!$C$2:$C$7,Config!$D$2:$D$7),_xlfn.XLOOKUP(H385,Config!$E$2:$E$5,Config!$F$2:$F$5),_xlfn.XLOOKUP(I385,Config!$G$2:$G$3,Config!$H$2:$H$3),_xlfn.XLOOKUP(J385,Config!$I$2:$I$3,Config!$J$2:$J$3),_xlfn.XLOOKUP(K385,Config!$K$2:$K$3,Config!$L$2:$L$3),_xlfn.XLOOKUP(L385,Config!$M$2:$M$3,Config!$N$2:$N$3),_xlfn.XLOOKUP(M385,Config!$O$2:$O$6,Config!$P$2:$P$6))</f>
        <v>3.9344181030000003E-3</v>
      </c>
      <c r="Q385" s="22">
        <v>0.75</v>
      </c>
      <c r="R385" s="16">
        <f>P385*Q385*Config!$B$19</f>
        <v>2.1686013397143231E-3</v>
      </c>
    </row>
    <row r="386" spans="1:19" x14ac:dyDescent="0.45">
      <c r="A386" s="3">
        <v>385</v>
      </c>
      <c r="B386" s="3" t="s">
        <v>1199</v>
      </c>
      <c r="C386" s="3" t="s">
        <v>1200</v>
      </c>
      <c r="D386" s="3" t="s">
        <v>1218</v>
      </c>
      <c r="E386" t="s">
        <v>1182</v>
      </c>
      <c r="F386" t="s">
        <v>984</v>
      </c>
      <c r="G386" t="s">
        <v>830</v>
      </c>
      <c r="H386" t="s">
        <v>808</v>
      </c>
      <c r="I386" s="12" t="s">
        <v>1107</v>
      </c>
      <c r="J386" s="12"/>
      <c r="K386" s="12" t="s">
        <v>1062</v>
      </c>
      <c r="L386" s="12" t="s">
        <v>1110</v>
      </c>
      <c r="M386" s="12" t="s">
        <v>838</v>
      </c>
      <c r="N386" s="14" t="s">
        <v>1003</v>
      </c>
      <c r="O386" t="s">
        <v>1184</v>
      </c>
      <c r="P386" s="16">
        <f>PRODUCT(_xlfn.XLOOKUP(F386,Config!$A$2:$A$15,Config!$B$2:$B$15),_xlfn.XLOOKUP(G386,Config!$C$2:$C$7,Config!$D$2:$D$7),_xlfn.XLOOKUP(H386,Config!$E$2:$E$5,Config!$F$2:$F$5),_xlfn.XLOOKUP(I386,Config!$G$2:$G$3,Config!$H$2:$H$3),_xlfn.XLOOKUP(J386,Config!$I$2:$I$3,Config!$J$2:$J$3),_xlfn.XLOOKUP(K386,Config!$K$2:$K$3,Config!$L$2:$L$3),_xlfn.XLOOKUP(L386,Config!$M$2:$M$3,Config!$N$2:$N$3),_xlfn.XLOOKUP(M386,Config!$O$2:$O$6,Config!$P$2:$P$6))</f>
        <v>4.1651584128000003E-3</v>
      </c>
      <c r="Q386">
        <v>0.5</v>
      </c>
      <c r="R386" s="16">
        <f>P386*Q386*Config!$B$19</f>
        <v>1.5305216472770761E-3</v>
      </c>
      <c r="S386" t="s">
        <v>1288</v>
      </c>
    </row>
    <row r="387" spans="1:19" x14ac:dyDescent="0.45">
      <c r="A387" s="3">
        <v>386</v>
      </c>
      <c r="B387" s="3" t="s">
        <v>1149</v>
      </c>
      <c r="C387" s="3" t="s">
        <v>840</v>
      </c>
      <c r="D387" s="3" t="s">
        <v>1219</v>
      </c>
      <c r="E387" t="s">
        <v>977</v>
      </c>
      <c r="F387" t="s">
        <v>984</v>
      </c>
      <c r="G387" t="s">
        <v>830</v>
      </c>
      <c r="H387" t="s">
        <v>808</v>
      </c>
      <c r="I387" s="12" t="s">
        <v>1107</v>
      </c>
      <c r="J387" s="12"/>
      <c r="K387" s="12" t="s">
        <v>1062</v>
      </c>
      <c r="L387" s="12" t="s">
        <v>1110</v>
      </c>
      <c r="M387" s="12" t="s">
        <v>838</v>
      </c>
      <c r="N387" s="14" t="s">
        <v>1003</v>
      </c>
      <c r="O387" t="s">
        <v>1004</v>
      </c>
      <c r="P387" s="16">
        <f>PRODUCT(_xlfn.XLOOKUP(F387,Config!$A$2:$A$15,Config!$B$2:$B$15),_xlfn.XLOOKUP(G387,Config!$C$2:$C$7,Config!$D$2:$D$7),_xlfn.XLOOKUP(H387,Config!$E$2:$E$5,Config!$F$2:$F$5),_xlfn.XLOOKUP(I387,Config!$G$2:$G$3,Config!$H$2:$H$3),_xlfn.XLOOKUP(J387,Config!$I$2:$I$3,Config!$J$2:$J$3),_xlfn.XLOOKUP(K387,Config!$K$2:$K$3,Config!$L$2:$L$3),_xlfn.XLOOKUP(L387,Config!$M$2:$M$3,Config!$N$2:$N$3),_xlfn.XLOOKUP(M387,Config!$O$2:$O$6,Config!$P$2:$P$6))</f>
        <v>4.1651584128000003E-3</v>
      </c>
      <c r="Q387">
        <v>0.5</v>
      </c>
      <c r="R387" s="16">
        <f>P387*Q387*Config!$B$19</f>
        <v>1.5305216472770761E-3</v>
      </c>
      <c r="S387" t="s">
        <v>1288</v>
      </c>
    </row>
    <row r="388" spans="1:19" x14ac:dyDescent="0.45">
      <c r="A388" s="3">
        <v>387</v>
      </c>
      <c r="B388" s="3" t="s">
        <v>1203</v>
      </c>
      <c r="C388" s="3" t="s">
        <v>1151</v>
      </c>
      <c r="D388" s="3" t="s">
        <v>1220</v>
      </c>
      <c r="E388" t="s">
        <v>1154</v>
      </c>
      <c r="F388" t="s">
        <v>984</v>
      </c>
      <c r="G388" t="s">
        <v>830</v>
      </c>
      <c r="H388" t="s">
        <v>808</v>
      </c>
      <c r="I388" s="12" t="s">
        <v>1107</v>
      </c>
      <c r="J388" s="12"/>
      <c r="K388" s="12" t="s">
        <v>1062</v>
      </c>
      <c r="L388" s="12" t="s">
        <v>1110</v>
      </c>
      <c r="M388" s="12" t="s">
        <v>838</v>
      </c>
      <c r="N388" t="s">
        <v>1229</v>
      </c>
      <c r="O388" t="s">
        <v>1155</v>
      </c>
      <c r="P388" s="16">
        <f>PRODUCT(_xlfn.XLOOKUP(F388,Config!$A$2:$A$15,Config!$B$2:$B$15),_xlfn.XLOOKUP(G388,Config!$C$2:$C$7,Config!$D$2:$D$7),_xlfn.XLOOKUP(H388,Config!$E$2:$E$5,Config!$F$2:$F$5),_xlfn.XLOOKUP(I388,Config!$G$2:$G$3,Config!$H$2:$H$3),_xlfn.XLOOKUP(J388,Config!$I$2:$I$3,Config!$J$2:$J$3),_xlfn.XLOOKUP(K388,Config!$K$2:$K$3,Config!$L$2:$L$3),_xlfn.XLOOKUP(L388,Config!$M$2:$M$3,Config!$N$2:$N$3),_xlfn.XLOOKUP(M388,Config!$O$2:$O$6,Config!$P$2:$P$6))</f>
        <v>4.1651584128000003E-3</v>
      </c>
      <c r="Q388">
        <v>0.5</v>
      </c>
      <c r="R388" s="16">
        <f>P388*Q388*Config!$B$19</f>
        <v>1.5305216472770761E-3</v>
      </c>
      <c r="S388" t="s">
        <v>1288</v>
      </c>
    </row>
    <row r="389" spans="1:19" x14ac:dyDescent="0.45">
      <c r="A389" s="3">
        <v>388</v>
      </c>
      <c r="B389" s="3" t="s">
        <v>1143</v>
      </c>
      <c r="C389" s="3" t="s">
        <v>975</v>
      </c>
      <c r="D389" s="3" t="s">
        <v>1221</v>
      </c>
      <c r="E389" t="s">
        <v>978</v>
      </c>
      <c r="F389" t="s">
        <v>984</v>
      </c>
      <c r="G389" t="s">
        <v>830</v>
      </c>
      <c r="H389" t="s">
        <v>808</v>
      </c>
      <c r="I389" s="12" t="s">
        <v>1107</v>
      </c>
      <c r="J389" s="12"/>
      <c r="K389" s="12" t="s">
        <v>1062</v>
      </c>
      <c r="L389" s="12" t="s">
        <v>1110</v>
      </c>
      <c r="M389" s="12" t="s">
        <v>838</v>
      </c>
      <c r="N389" t="s">
        <v>1230</v>
      </c>
      <c r="O389" t="s">
        <v>651</v>
      </c>
      <c r="P389" s="16">
        <f>PRODUCT(_xlfn.XLOOKUP(F389,Config!$A$2:$A$15,Config!$B$2:$B$15),_xlfn.XLOOKUP(G389,Config!$C$2:$C$7,Config!$D$2:$D$7),_xlfn.XLOOKUP(H389,Config!$E$2:$E$5,Config!$F$2:$F$5),_xlfn.XLOOKUP(I389,Config!$G$2:$G$3,Config!$H$2:$H$3),_xlfn.XLOOKUP(J389,Config!$I$2:$I$3,Config!$J$2:$J$3),_xlfn.XLOOKUP(K389,Config!$K$2:$K$3,Config!$L$2:$L$3),_xlfn.XLOOKUP(L389,Config!$M$2:$M$3,Config!$N$2:$N$3),_xlfn.XLOOKUP(M389,Config!$O$2:$O$6,Config!$P$2:$P$6))</f>
        <v>4.1651584128000003E-3</v>
      </c>
      <c r="Q389">
        <f>0.25*0.5</f>
        <v>0.125</v>
      </c>
      <c r="R389" s="16">
        <f>P389*Q389*Config!$B$19</f>
        <v>3.8263041181926902E-4</v>
      </c>
      <c r="S389" t="s">
        <v>1288</v>
      </c>
    </row>
    <row r="390" spans="1:19" x14ac:dyDescent="0.45">
      <c r="A390" s="3">
        <v>389</v>
      </c>
      <c r="B390" s="3" t="s">
        <v>1144</v>
      </c>
      <c r="C390" s="3" t="s">
        <v>975</v>
      </c>
      <c r="D390" s="3" t="s">
        <v>1221</v>
      </c>
      <c r="E390" t="s">
        <v>1147</v>
      </c>
      <c r="F390" t="s">
        <v>984</v>
      </c>
      <c r="G390" t="s">
        <v>830</v>
      </c>
      <c r="H390" t="s">
        <v>808</v>
      </c>
      <c r="I390" s="12" t="s">
        <v>1107</v>
      </c>
      <c r="J390" s="12"/>
      <c r="K390" s="12" t="s">
        <v>1062</v>
      </c>
      <c r="L390" s="12" t="s">
        <v>1110</v>
      </c>
      <c r="M390" s="12" t="s">
        <v>838</v>
      </c>
      <c r="N390" t="s">
        <v>1230</v>
      </c>
      <c r="O390" t="s">
        <v>651</v>
      </c>
      <c r="P390" s="16">
        <f>PRODUCT(_xlfn.XLOOKUP(F390,Config!$A$2:$A$15,Config!$B$2:$B$15),_xlfn.XLOOKUP(G390,Config!$C$2:$C$7,Config!$D$2:$D$7),_xlfn.XLOOKUP(H390,Config!$E$2:$E$5,Config!$F$2:$F$5),_xlfn.XLOOKUP(I390,Config!$G$2:$G$3,Config!$H$2:$H$3),_xlfn.XLOOKUP(J390,Config!$I$2:$I$3,Config!$J$2:$J$3),_xlfn.XLOOKUP(K390,Config!$K$2:$K$3,Config!$L$2:$L$3),_xlfn.XLOOKUP(L390,Config!$M$2:$M$3,Config!$N$2:$N$3),_xlfn.XLOOKUP(M390,Config!$O$2:$O$6,Config!$P$2:$P$6))</f>
        <v>4.1651584128000003E-3</v>
      </c>
      <c r="Q390">
        <f>0.75*0.5</f>
        <v>0.375</v>
      </c>
      <c r="R390" s="16">
        <f>P390*Q390*Config!$B$19</f>
        <v>1.147891235457807E-3</v>
      </c>
      <c r="S390" t="s">
        <v>1288</v>
      </c>
    </row>
    <row r="391" spans="1:19" x14ac:dyDescent="0.45">
      <c r="A391" s="3">
        <v>390</v>
      </c>
      <c r="B391" s="3" t="s">
        <v>1150</v>
      </c>
      <c r="C391" s="3" t="s">
        <v>1140</v>
      </c>
      <c r="D391" s="3" t="s">
        <v>1222</v>
      </c>
      <c r="E391" t="s">
        <v>1132</v>
      </c>
      <c r="F391" t="s">
        <v>984</v>
      </c>
      <c r="G391" t="s">
        <v>830</v>
      </c>
      <c r="H391" t="s">
        <v>808</v>
      </c>
      <c r="I391" s="12" t="s">
        <v>1107</v>
      </c>
      <c r="J391" s="12"/>
      <c r="K391" s="12" t="s">
        <v>1062</v>
      </c>
      <c r="L391" s="12" t="s">
        <v>1110</v>
      </c>
      <c r="M391" s="12" t="s">
        <v>838</v>
      </c>
      <c r="N391" t="s">
        <v>1231</v>
      </c>
      <c r="O391" t="s">
        <v>1133</v>
      </c>
      <c r="P391" s="16">
        <f>PRODUCT(_xlfn.XLOOKUP(F391,Config!$A$2:$A$15,Config!$B$2:$B$15),_xlfn.XLOOKUP(G391,Config!$C$2:$C$7,Config!$D$2:$D$7),_xlfn.XLOOKUP(H391,Config!$E$2:$E$5,Config!$F$2:$F$5),_xlfn.XLOOKUP(I391,Config!$G$2:$G$3,Config!$H$2:$H$3),_xlfn.XLOOKUP(J391,Config!$I$2:$I$3,Config!$J$2:$J$3),_xlfn.XLOOKUP(K391,Config!$K$2:$K$3,Config!$L$2:$L$3),_xlfn.XLOOKUP(L391,Config!$M$2:$M$3,Config!$N$2:$N$3),_xlfn.XLOOKUP(M391,Config!$O$2:$O$6,Config!$P$2:$P$6))</f>
        <v>4.1651584128000003E-3</v>
      </c>
      <c r="Q391">
        <v>0.5</v>
      </c>
      <c r="R391" s="16">
        <f>P391*Q391*Config!$B$19</f>
        <v>1.5305216472770761E-3</v>
      </c>
      <c r="S391" t="s">
        <v>1288</v>
      </c>
    </row>
    <row r="392" spans="1:19" x14ac:dyDescent="0.45">
      <c r="A392" s="3">
        <v>391</v>
      </c>
      <c r="B392" s="3" t="s">
        <v>1199</v>
      </c>
      <c r="C392" s="3" t="s">
        <v>1200</v>
      </c>
      <c r="D392" s="3" t="s">
        <v>1218</v>
      </c>
      <c r="E392" t="s">
        <v>1182</v>
      </c>
      <c r="F392" t="s">
        <v>985</v>
      </c>
      <c r="G392" t="s">
        <v>830</v>
      </c>
      <c r="H392" t="s">
        <v>808</v>
      </c>
      <c r="I392" s="12" t="s">
        <v>1107</v>
      </c>
      <c r="J392" s="12"/>
      <c r="K392" s="12" t="s">
        <v>1062</v>
      </c>
      <c r="L392" s="12" t="s">
        <v>1110</v>
      </c>
      <c r="M392" s="12" t="s">
        <v>838</v>
      </c>
      <c r="N392" s="14" t="s">
        <v>1003</v>
      </c>
      <c r="O392" t="s">
        <v>1185</v>
      </c>
      <c r="P392" s="16">
        <f>PRODUCT(_xlfn.XLOOKUP(F392,Config!$A$2:$A$15,Config!$B$2:$B$15),_xlfn.XLOOKUP(G392,Config!$C$2:$C$7,Config!$D$2:$D$7),_xlfn.XLOOKUP(H392,Config!$E$2:$E$5,Config!$F$2:$F$5),_xlfn.XLOOKUP(I392,Config!$G$2:$G$3,Config!$H$2:$H$3),_xlfn.XLOOKUP(J392,Config!$I$2:$I$3,Config!$J$2:$J$3),_xlfn.XLOOKUP(K392,Config!$K$2:$K$3,Config!$L$2:$L$3),_xlfn.XLOOKUP(L392,Config!$M$2:$M$3,Config!$N$2:$N$3),_xlfn.XLOOKUP(M392,Config!$O$2:$O$6,Config!$P$2:$P$6))</f>
        <v>3.5971822656000003E-3</v>
      </c>
      <c r="Q392">
        <v>1</v>
      </c>
      <c r="R392" s="16">
        <f>P392*Q392*Config!$B$19</f>
        <v>2.6436282998422225E-3</v>
      </c>
      <c r="S392" t="s">
        <v>1288</v>
      </c>
    </row>
    <row r="393" spans="1:19" x14ac:dyDescent="0.45">
      <c r="A393" s="3">
        <v>392</v>
      </c>
      <c r="B393" s="3" t="s">
        <v>1149</v>
      </c>
      <c r="C393" s="3" t="s">
        <v>840</v>
      </c>
      <c r="D393" s="3" t="s">
        <v>1219</v>
      </c>
      <c r="E393" t="s">
        <v>977</v>
      </c>
      <c r="F393" t="s">
        <v>985</v>
      </c>
      <c r="G393" t="s">
        <v>830</v>
      </c>
      <c r="H393" t="s">
        <v>808</v>
      </c>
      <c r="I393" s="12" t="s">
        <v>1107</v>
      </c>
      <c r="J393" s="12"/>
      <c r="K393" s="12" t="s">
        <v>1062</v>
      </c>
      <c r="L393" s="12" t="s">
        <v>1110</v>
      </c>
      <c r="M393" s="12" t="s">
        <v>838</v>
      </c>
      <c r="N393" s="14" t="s">
        <v>1003</v>
      </c>
      <c r="O393" t="s">
        <v>1007</v>
      </c>
      <c r="P393" s="16">
        <f>PRODUCT(_xlfn.XLOOKUP(F393,Config!$A$2:$A$15,Config!$B$2:$B$15),_xlfn.XLOOKUP(G393,Config!$C$2:$C$7,Config!$D$2:$D$7),_xlfn.XLOOKUP(H393,Config!$E$2:$E$5,Config!$F$2:$F$5),_xlfn.XLOOKUP(I393,Config!$G$2:$G$3,Config!$H$2:$H$3),_xlfn.XLOOKUP(J393,Config!$I$2:$I$3,Config!$J$2:$J$3),_xlfn.XLOOKUP(K393,Config!$K$2:$K$3,Config!$L$2:$L$3),_xlfn.XLOOKUP(L393,Config!$M$2:$M$3,Config!$N$2:$N$3),_xlfn.XLOOKUP(M393,Config!$O$2:$O$6,Config!$P$2:$P$6))</f>
        <v>3.5971822656000003E-3</v>
      </c>
      <c r="Q393">
        <v>1</v>
      </c>
      <c r="R393" s="16">
        <f>P393*Q393*Config!$B$19</f>
        <v>2.6436282998422225E-3</v>
      </c>
      <c r="S393" t="s">
        <v>1288</v>
      </c>
    </row>
    <row r="394" spans="1:19" x14ac:dyDescent="0.45">
      <c r="A394" s="3">
        <v>393</v>
      </c>
      <c r="B394" s="3" t="s">
        <v>1203</v>
      </c>
      <c r="C394" s="3" t="s">
        <v>1151</v>
      </c>
      <c r="D394" s="3" t="s">
        <v>1220</v>
      </c>
      <c r="E394" t="s">
        <v>1154</v>
      </c>
      <c r="F394" t="s">
        <v>985</v>
      </c>
      <c r="G394" t="s">
        <v>830</v>
      </c>
      <c r="H394" t="s">
        <v>808</v>
      </c>
      <c r="I394" s="12" t="s">
        <v>1107</v>
      </c>
      <c r="J394" s="12"/>
      <c r="K394" s="12" t="s">
        <v>1062</v>
      </c>
      <c r="L394" s="12" t="s">
        <v>1110</v>
      </c>
      <c r="M394" s="12" t="s">
        <v>838</v>
      </c>
      <c r="N394" t="s">
        <v>1229</v>
      </c>
      <c r="O394" t="s">
        <v>1178</v>
      </c>
      <c r="P394" s="16">
        <f>PRODUCT(_xlfn.XLOOKUP(F394,Config!$A$2:$A$15,Config!$B$2:$B$15),_xlfn.XLOOKUP(G394,Config!$C$2:$C$7,Config!$D$2:$D$7),_xlfn.XLOOKUP(H394,Config!$E$2:$E$5,Config!$F$2:$F$5),_xlfn.XLOOKUP(I394,Config!$G$2:$G$3,Config!$H$2:$H$3),_xlfn.XLOOKUP(J394,Config!$I$2:$I$3,Config!$J$2:$J$3),_xlfn.XLOOKUP(K394,Config!$K$2:$K$3,Config!$L$2:$L$3),_xlfn.XLOOKUP(L394,Config!$M$2:$M$3,Config!$N$2:$N$3),_xlfn.XLOOKUP(M394,Config!$O$2:$O$6,Config!$P$2:$P$6))</f>
        <v>3.5971822656000003E-3</v>
      </c>
      <c r="Q394">
        <v>1</v>
      </c>
      <c r="R394" s="16">
        <f>P394*Q394*Config!$B$19</f>
        <v>2.6436282998422225E-3</v>
      </c>
      <c r="S394" t="s">
        <v>1288</v>
      </c>
    </row>
    <row r="395" spans="1:19" x14ac:dyDescent="0.45">
      <c r="A395" s="3">
        <v>394</v>
      </c>
      <c r="B395" s="3" t="s">
        <v>1143</v>
      </c>
      <c r="C395" s="3" t="s">
        <v>975</v>
      </c>
      <c r="D395" s="3" t="s">
        <v>1221</v>
      </c>
      <c r="E395" t="s">
        <v>978</v>
      </c>
      <c r="F395" t="s">
        <v>985</v>
      </c>
      <c r="G395" t="s">
        <v>830</v>
      </c>
      <c r="H395" t="s">
        <v>808</v>
      </c>
      <c r="I395" s="12" t="s">
        <v>1107</v>
      </c>
      <c r="J395" s="12"/>
      <c r="K395" s="12" t="s">
        <v>1062</v>
      </c>
      <c r="L395" s="12" t="s">
        <v>1110</v>
      </c>
      <c r="M395" s="12" t="s">
        <v>838</v>
      </c>
      <c r="N395" t="s">
        <v>1230</v>
      </c>
      <c r="O395" t="s">
        <v>1006</v>
      </c>
      <c r="P395" s="16">
        <f>PRODUCT(_xlfn.XLOOKUP(F395,Config!$A$2:$A$15,Config!$B$2:$B$15),_xlfn.XLOOKUP(G395,Config!$C$2:$C$7,Config!$D$2:$D$7),_xlfn.XLOOKUP(H395,Config!$E$2:$E$5,Config!$F$2:$F$5),_xlfn.XLOOKUP(I395,Config!$G$2:$G$3,Config!$H$2:$H$3),_xlfn.XLOOKUP(J395,Config!$I$2:$I$3,Config!$J$2:$J$3),_xlfn.XLOOKUP(K395,Config!$K$2:$K$3,Config!$L$2:$L$3),_xlfn.XLOOKUP(L395,Config!$M$2:$M$3,Config!$N$2:$N$3),_xlfn.XLOOKUP(M395,Config!$O$2:$O$6,Config!$P$2:$P$6))</f>
        <v>3.5971822656000003E-3</v>
      </c>
      <c r="Q395">
        <v>0.25</v>
      </c>
      <c r="R395" s="16">
        <f>P395*Q395*Config!$B$19</f>
        <v>6.6090707496055563E-4</v>
      </c>
      <c r="S395" t="s">
        <v>1288</v>
      </c>
    </row>
    <row r="396" spans="1:19" x14ac:dyDescent="0.45">
      <c r="A396" s="3">
        <v>395</v>
      </c>
      <c r="B396" s="3" t="s">
        <v>1144</v>
      </c>
      <c r="C396" s="3" t="s">
        <v>975</v>
      </c>
      <c r="D396" s="3" t="s">
        <v>1221</v>
      </c>
      <c r="E396" t="s">
        <v>1147</v>
      </c>
      <c r="F396" t="s">
        <v>985</v>
      </c>
      <c r="G396" t="s">
        <v>830</v>
      </c>
      <c r="H396" t="s">
        <v>808</v>
      </c>
      <c r="I396" s="12" t="s">
        <v>1107</v>
      </c>
      <c r="J396" s="12"/>
      <c r="K396" s="12" t="s">
        <v>1062</v>
      </c>
      <c r="L396" s="12" t="s">
        <v>1110</v>
      </c>
      <c r="M396" s="12" t="s">
        <v>838</v>
      </c>
      <c r="N396" t="s">
        <v>1230</v>
      </c>
      <c r="O396" t="s">
        <v>1006</v>
      </c>
      <c r="P396" s="16">
        <f>PRODUCT(_xlfn.XLOOKUP(F396,Config!$A$2:$A$15,Config!$B$2:$B$15),_xlfn.XLOOKUP(G396,Config!$C$2:$C$7,Config!$D$2:$D$7),_xlfn.XLOOKUP(H396,Config!$E$2:$E$5,Config!$F$2:$F$5),_xlfn.XLOOKUP(I396,Config!$G$2:$G$3,Config!$H$2:$H$3),_xlfn.XLOOKUP(J396,Config!$I$2:$I$3,Config!$J$2:$J$3),_xlfn.XLOOKUP(K396,Config!$K$2:$K$3,Config!$L$2:$L$3),_xlfn.XLOOKUP(L396,Config!$M$2:$M$3,Config!$N$2:$N$3),_xlfn.XLOOKUP(M396,Config!$O$2:$O$6,Config!$P$2:$P$6))</f>
        <v>3.5971822656000003E-3</v>
      </c>
      <c r="Q396">
        <v>0.75</v>
      </c>
      <c r="R396" s="16">
        <f>P396*Q396*Config!$B$19</f>
        <v>1.9827212248816665E-3</v>
      </c>
      <c r="S396" t="s">
        <v>1288</v>
      </c>
    </row>
    <row r="397" spans="1:19" x14ac:dyDescent="0.45">
      <c r="A397" s="3">
        <v>396</v>
      </c>
      <c r="B397" s="3" t="s">
        <v>1150</v>
      </c>
      <c r="C397" s="3" t="s">
        <v>1140</v>
      </c>
      <c r="D397" s="3" t="s">
        <v>1222</v>
      </c>
      <c r="E397" t="s">
        <v>1132</v>
      </c>
      <c r="F397" t="s">
        <v>985</v>
      </c>
      <c r="G397" t="s">
        <v>830</v>
      </c>
      <c r="H397" t="s">
        <v>808</v>
      </c>
      <c r="I397" s="12" t="s">
        <v>1107</v>
      </c>
      <c r="J397" s="12"/>
      <c r="K397" s="12" t="s">
        <v>1062</v>
      </c>
      <c r="L397" s="12" t="s">
        <v>1110</v>
      </c>
      <c r="M397" s="12" t="s">
        <v>838</v>
      </c>
      <c r="N397" t="s">
        <v>1231</v>
      </c>
      <c r="O397" t="s">
        <v>1134</v>
      </c>
      <c r="P397" s="16">
        <f>PRODUCT(_xlfn.XLOOKUP(F397,Config!$A$2:$A$15,Config!$B$2:$B$15),_xlfn.XLOOKUP(G397,Config!$C$2:$C$7,Config!$D$2:$D$7),_xlfn.XLOOKUP(H397,Config!$E$2:$E$5,Config!$F$2:$F$5),_xlfn.XLOOKUP(I397,Config!$G$2:$G$3,Config!$H$2:$H$3),_xlfn.XLOOKUP(J397,Config!$I$2:$I$3,Config!$J$2:$J$3),_xlfn.XLOOKUP(K397,Config!$K$2:$K$3,Config!$L$2:$L$3),_xlfn.XLOOKUP(L397,Config!$M$2:$M$3,Config!$N$2:$N$3),_xlfn.XLOOKUP(M397,Config!$O$2:$O$6,Config!$P$2:$P$6))</f>
        <v>3.5971822656000003E-3</v>
      </c>
      <c r="Q397">
        <v>1</v>
      </c>
      <c r="R397" s="16">
        <f>P397*Q397*Config!$B$19</f>
        <v>2.6436282998422225E-3</v>
      </c>
      <c r="S397" t="s">
        <v>1288</v>
      </c>
    </row>
    <row r="398" spans="1:19" x14ac:dyDescent="0.45">
      <c r="A398" s="3">
        <v>397</v>
      </c>
      <c r="B398" s="3" t="s">
        <v>1199</v>
      </c>
      <c r="C398" s="3" t="s">
        <v>1200</v>
      </c>
      <c r="D398" s="3" t="s">
        <v>1218</v>
      </c>
      <c r="E398" t="s">
        <v>1182</v>
      </c>
      <c r="F398" t="s">
        <v>1010</v>
      </c>
      <c r="G398" t="s">
        <v>830</v>
      </c>
      <c r="H398" t="s">
        <v>808</v>
      </c>
      <c r="I398" s="12" t="s">
        <v>1107</v>
      </c>
      <c r="J398" s="12"/>
      <c r="K398" s="12" t="s">
        <v>1062</v>
      </c>
      <c r="L398" s="12" t="s">
        <v>1110</v>
      </c>
      <c r="M398" s="12" t="s">
        <v>838</v>
      </c>
      <c r="N398" s="14" t="s">
        <v>1003</v>
      </c>
      <c r="O398" t="s">
        <v>1186</v>
      </c>
      <c r="P398" s="16">
        <f>PRODUCT(_xlfn.XLOOKUP(F398,Config!$A$2:$A$15,Config!$B$2:$B$15),_xlfn.XLOOKUP(G398,Config!$C$2:$C$7,Config!$D$2:$D$7),_xlfn.XLOOKUP(H398,Config!$E$2:$E$5,Config!$F$2:$F$5),_xlfn.XLOOKUP(I398,Config!$G$2:$G$3,Config!$H$2:$H$3),_xlfn.XLOOKUP(J398,Config!$I$2:$I$3,Config!$J$2:$J$3),_xlfn.XLOOKUP(K398,Config!$K$2:$K$3,Config!$L$2:$L$3),_xlfn.XLOOKUP(L398,Config!$M$2:$M$3,Config!$N$2:$N$3),_xlfn.XLOOKUP(M398,Config!$O$2:$O$6,Config!$P$2:$P$6))</f>
        <v>2.7925493904000006E-3</v>
      </c>
      <c r="Q398">
        <v>1</v>
      </c>
      <c r="R398" s="16">
        <f>P398*Q398*Config!$B$19</f>
        <v>2.0522903906669888E-3</v>
      </c>
      <c r="S398" t="s">
        <v>1288</v>
      </c>
    </row>
    <row r="399" spans="1:19" x14ac:dyDescent="0.45">
      <c r="A399" s="3">
        <v>398</v>
      </c>
      <c r="B399" s="3" t="s">
        <v>1149</v>
      </c>
      <c r="C399" s="3" t="s">
        <v>840</v>
      </c>
      <c r="D399" s="3" t="s">
        <v>1219</v>
      </c>
      <c r="E399" t="s">
        <v>977</v>
      </c>
      <c r="F399" t="s">
        <v>1010</v>
      </c>
      <c r="G399" t="s">
        <v>830</v>
      </c>
      <c r="H399" t="s">
        <v>808</v>
      </c>
      <c r="I399" s="12" t="s">
        <v>1107</v>
      </c>
      <c r="J399" s="12"/>
      <c r="K399" s="12" t="s">
        <v>1062</v>
      </c>
      <c r="L399" s="12" t="s">
        <v>1110</v>
      </c>
      <c r="M399" s="12" t="s">
        <v>838</v>
      </c>
      <c r="N399" s="14" t="s">
        <v>1003</v>
      </c>
      <c r="O399" t="s">
        <v>1137</v>
      </c>
      <c r="P399" s="16">
        <f>PRODUCT(_xlfn.XLOOKUP(F399,Config!$A$2:$A$15,Config!$B$2:$B$15),_xlfn.XLOOKUP(G399,Config!$C$2:$C$7,Config!$D$2:$D$7),_xlfn.XLOOKUP(H399,Config!$E$2:$E$5,Config!$F$2:$F$5),_xlfn.XLOOKUP(I399,Config!$G$2:$G$3,Config!$H$2:$H$3),_xlfn.XLOOKUP(J399,Config!$I$2:$I$3,Config!$J$2:$J$3),_xlfn.XLOOKUP(K399,Config!$K$2:$K$3,Config!$L$2:$L$3),_xlfn.XLOOKUP(L399,Config!$M$2:$M$3,Config!$N$2:$N$3),_xlfn.XLOOKUP(M399,Config!$O$2:$O$6,Config!$P$2:$P$6))</f>
        <v>2.7925493904000006E-3</v>
      </c>
      <c r="Q399">
        <v>1</v>
      </c>
      <c r="R399" s="16">
        <f>P399*Q399*Config!$B$19</f>
        <v>2.0522903906669888E-3</v>
      </c>
      <c r="S399" t="s">
        <v>1288</v>
      </c>
    </row>
    <row r="400" spans="1:19" x14ac:dyDescent="0.45">
      <c r="A400" s="3">
        <v>399</v>
      </c>
      <c r="B400" s="3" t="s">
        <v>1541</v>
      </c>
      <c r="C400" s="3" t="s">
        <v>1151</v>
      </c>
      <c r="D400" s="3" t="s">
        <v>1220</v>
      </c>
      <c r="E400" t="s">
        <v>1154</v>
      </c>
      <c r="F400" t="s">
        <v>1010</v>
      </c>
      <c r="G400" t="s">
        <v>830</v>
      </c>
      <c r="H400" t="s">
        <v>808</v>
      </c>
      <c r="I400" s="12" t="s">
        <v>1107</v>
      </c>
      <c r="J400" s="12"/>
      <c r="K400" s="12" t="s">
        <v>1062</v>
      </c>
      <c r="L400" s="12" t="s">
        <v>1110</v>
      </c>
      <c r="M400" s="12" t="s">
        <v>838</v>
      </c>
      <c r="N400" t="s">
        <v>1229</v>
      </c>
      <c r="O400" t="s">
        <v>1180</v>
      </c>
      <c r="P400" s="16">
        <f>PRODUCT(_xlfn.XLOOKUP(F400,Config!$A$2:$A$15,Config!$B$2:$B$15),_xlfn.XLOOKUP(G400,Config!$C$2:$C$7,Config!$D$2:$D$7),_xlfn.XLOOKUP(H400,Config!$E$2:$E$5,Config!$F$2:$F$5),_xlfn.XLOOKUP(I400,Config!$G$2:$G$3,Config!$H$2:$H$3),_xlfn.XLOOKUP(J400,Config!$I$2:$I$3,Config!$J$2:$J$3),_xlfn.XLOOKUP(K400,Config!$K$2:$K$3,Config!$L$2:$L$3),_xlfn.XLOOKUP(L400,Config!$M$2:$M$3,Config!$N$2:$N$3),_xlfn.XLOOKUP(M400,Config!$O$2:$O$6,Config!$P$2:$P$6))</f>
        <v>2.7925493904000006E-3</v>
      </c>
      <c r="Q400">
        <v>1</v>
      </c>
      <c r="R400" s="16">
        <f>P400*Q400*Config!$B$19</f>
        <v>2.0522903906669888E-3</v>
      </c>
      <c r="S400" t="s">
        <v>1288</v>
      </c>
    </row>
    <row r="401" spans="1:19" x14ac:dyDescent="0.45">
      <c r="A401" s="9">
        <v>400</v>
      </c>
      <c r="B401" s="3" t="s">
        <v>1542</v>
      </c>
      <c r="C401" s="3" t="s">
        <v>975</v>
      </c>
      <c r="D401" s="9" t="s">
        <v>1221</v>
      </c>
      <c r="E401" t="s">
        <v>978</v>
      </c>
      <c r="F401" t="s">
        <v>1010</v>
      </c>
      <c r="G401" t="s">
        <v>830</v>
      </c>
      <c r="H401" t="s">
        <v>808</v>
      </c>
      <c r="I401" s="12" t="s">
        <v>1107</v>
      </c>
      <c r="J401" s="12"/>
      <c r="K401" s="12" t="s">
        <v>1062</v>
      </c>
      <c r="L401" s="12" t="s">
        <v>1110</v>
      </c>
      <c r="M401" s="12" t="s">
        <v>838</v>
      </c>
      <c r="N401" t="s">
        <v>1230</v>
      </c>
      <c r="O401" t="s">
        <v>1136</v>
      </c>
      <c r="P401" s="16">
        <f>PRODUCT(_xlfn.XLOOKUP(F401,Config!$A$2:$A$15,Config!$B$2:$B$15),_xlfn.XLOOKUP(G401,Config!$C$2:$C$7,Config!$D$2:$D$7),_xlfn.XLOOKUP(H401,Config!$E$2:$E$5,Config!$F$2:$F$5),_xlfn.XLOOKUP(I401,Config!$G$2:$G$3,Config!$H$2:$H$3),_xlfn.XLOOKUP(J401,Config!$I$2:$I$3,Config!$J$2:$J$3),_xlfn.XLOOKUP(K401,Config!$K$2:$K$3,Config!$L$2:$L$3),_xlfn.XLOOKUP(L401,Config!$M$2:$M$3,Config!$N$2:$N$3),_xlfn.XLOOKUP(M401,Config!$O$2:$O$6,Config!$P$2:$P$6))</f>
        <v>2.7925493904000006E-3</v>
      </c>
      <c r="Q401">
        <v>0.25</v>
      </c>
      <c r="R401" s="16">
        <f>P401*Q401*Config!$B$19</f>
        <v>5.130725976667472E-4</v>
      </c>
      <c r="S401" t="s">
        <v>1288</v>
      </c>
    </row>
    <row r="402" spans="1:19" x14ac:dyDescent="0.45">
      <c r="A402" s="9">
        <v>401</v>
      </c>
      <c r="B402" s="3" t="s">
        <v>1144</v>
      </c>
      <c r="C402" s="3" t="s">
        <v>975</v>
      </c>
      <c r="D402" s="9" t="s">
        <v>1221</v>
      </c>
      <c r="E402" t="s">
        <v>1147</v>
      </c>
      <c r="F402" t="s">
        <v>1010</v>
      </c>
      <c r="G402" t="s">
        <v>830</v>
      </c>
      <c r="H402" t="s">
        <v>808</v>
      </c>
      <c r="I402" s="12" t="s">
        <v>1107</v>
      </c>
      <c r="J402" s="12"/>
      <c r="K402" s="12" t="s">
        <v>1062</v>
      </c>
      <c r="L402" s="12" t="s">
        <v>1110</v>
      </c>
      <c r="M402" s="12" t="s">
        <v>838</v>
      </c>
      <c r="N402" t="s">
        <v>1230</v>
      </c>
      <c r="O402" t="s">
        <v>1136</v>
      </c>
      <c r="P402" s="16">
        <f>PRODUCT(_xlfn.XLOOKUP(F402,Config!$A$2:$A$15,Config!$B$2:$B$15),_xlfn.XLOOKUP(G402,Config!$C$2:$C$7,Config!$D$2:$D$7),_xlfn.XLOOKUP(H402,Config!$E$2:$E$5,Config!$F$2:$F$5),_xlfn.XLOOKUP(I402,Config!$G$2:$G$3,Config!$H$2:$H$3),_xlfn.XLOOKUP(J402,Config!$I$2:$I$3,Config!$J$2:$J$3),_xlfn.XLOOKUP(K402,Config!$K$2:$K$3,Config!$L$2:$L$3),_xlfn.XLOOKUP(L402,Config!$M$2:$M$3,Config!$N$2:$N$3),_xlfn.XLOOKUP(M402,Config!$O$2:$O$6,Config!$P$2:$P$6))</f>
        <v>2.7925493904000006E-3</v>
      </c>
      <c r="Q402">
        <v>0.75</v>
      </c>
      <c r="R402" s="16">
        <f>P402*Q402*Config!$B$19</f>
        <v>1.5392177930002415E-3</v>
      </c>
      <c r="S402" t="s">
        <v>1288</v>
      </c>
    </row>
    <row r="403" spans="1:19" x14ac:dyDescent="0.45">
      <c r="A403" s="3">
        <v>402</v>
      </c>
      <c r="B403" s="3" t="s">
        <v>1150</v>
      </c>
      <c r="C403" s="3" t="s">
        <v>1140</v>
      </c>
      <c r="D403" s="3" t="s">
        <v>1222</v>
      </c>
      <c r="E403" t="s">
        <v>1132</v>
      </c>
      <c r="F403" t="s">
        <v>1010</v>
      </c>
      <c r="G403" t="s">
        <v>830</v>
      </c>
      <c r="H403" t="s">
        <v>808</v>
      </c>
      <c r="I403" s="12" t="s">
        <v>1107</v>
      </c>
      <c r="J403" s="12"/>
      <c r="K403" s="12" t="s">
        <v>1062</v>
      </c>
      <c r="L403" s="12" t="s">
        <v>1110</v>
      </c>
      <c r="M403" s="12" t="s">
        <v>838</v>
      </c>
      <c r="N403" t="s">
        <v>1231</v>
      </c>
      <c r="O403" t="s">
        <v>1138</v>
      </c>
      <c r="P403" s="16">
        <f>PRODUCT(_xlfn.XLOOKUP(F403,Config!$A$2:$A$15,Config!$B$2:$B$15),_xlfn.XLOOKUP(G403,Config!$C$2:$C$7,Config!$D$2:$D$7),_xlfn.XLOOKUP(H403,Config!$E$2:$E$5,Config!$F$2:$F$5),_xlfn.XLOOKUP(I403,Config!$G$2:$G$3,Config!$H$2:$H$3),_xlfn.XLOOKUP(J403,Config!$I$2:$I$3,Config!$J$2:$J$3),_xlfn.XLOOKUP(K403,Config!$K$2:$K$3,Config!$L$2:$L$3),_xlfn.XLOOKUP(L403,Config!$M$2:$M$3,Config!$N$2:$N$3),_xlfn.XLOOKUP(M403,Config!$O$2:$O$6,Config!$P$2:$P$6))</f>
        <v>2.7925493904000006E-3</v>
      </c>
      <c r="Q403">
        <v>1</v>
      </c>
      <c r="R403" s="16">
        <f>P403*Q403*Config!$B$19</f>
        <v>2.0522903906669888E-3</v>
      </c>
      <c r="S403" t="s">
        <v>1288</v>
      </c>
    </row>
    <row r="404" spans="1:19" x14ac:dyDescent="0.45">
      <c r="A404" s="9">
        <v>403</v>
      </c>
      <c r="B404" s="3" t="s">
        <v>1199</v>
      </c>
      <c r="C404" s="9" t="s">
        <v>1200</v>
      </c>
      <c r="D404" s="9" t="s">
        <v>1218</v>
      </c>
      <c r="E404" t="s">
        <v>1182</v>
      </c>
      <c r="F404" t="s">
        <v>971</v>
      </c>
      <c r="G404" t="s">
        <v>830</v>
      </c>
      <c r="H404" t="s">
        <v>808</v>
      </c>
      <c r="I404" s="12" t="s">
        <v>1107</v>
      </c>
      <c r="J404" s="12"/>
      <c r="K404" s="12" t="s">
        <v>1062</v>
      </c>
      <c r="L404" s="12" t="s">
        <v>1110</v>
      </c>
      <c r="M404" s="12" t="s">
        <v>838</v>
      </c>
      <c r="N404" s="14" t="s">
        <v>1003</v>
      </c>
      <c r="O404" t="s">
        <v>1187</v>
      </c>
      <c r="P404" s="16">
        <f>PRODUCT(_xlfn.XLOOKUP(F404,Config!$A$2:$A$15,Config!$B$2:$B$15),_xlfn.XLOOKUP(G404,Config!$C$2:$C$7,Config!$D$2:$D$7),_xlfn.XLOOKUP(H404,Config!$E$2:$E$5,Config!$F$2:$F$5),_xlfn.XLOOKUP(I404,Config!$G$2:$G$3,Config!$H$2:$H$3),_xlfn.XLOOKUP(J404,Config!$I$2:$I$3,Config!$J$2:$J$3),_xlfn.XLOOKUP(K404,Config!$K$2:$K$3,Config!$L$2:$L$3),_xlfn.XLOOKUP(L404,Config!$M$2:$M$3,Config!$N$2:$N$3),_xlfn.XLOOKUP(M404,Config!$O$2:$O$6,Config!$P$2:$P$6))</f>
        <v>2.3429016072E-3</v>
      </c>
      <c r="Q404">
        <v>1</v>
      </c>
      <c r="R404" s="16">
        <f>P404*Q404*Config!$B$19</f>
        <v>1.7218368531867105E-3</v>
      </c>
      <c r="S404" t="s">
        <v>1288</v>
      </c>
    </row>
    <row r="405" spans="1:19" x14ac:dyDescent="0.45">
      <c r="A405" s="3">
        <v>404</v>
      </c>
      <c r="B405" s="3" t="s">
        <v>1149</v>
      </c>
      <c r="C405" s="3" t="s">
        <v>840</v>
      </c>
      <c r="D405" s="3" t="s">
        <v>1219</v>
      </c>
      <c r="E405" t="s">
        <v>977</v>
      </c>
      <c r="F405" t="s">
        <v>971</v>
      </c>
      <c r="G405" t="s">
        <v>830</v>
      </c>
      <c r="H405" t="s">
        <v>808</v>
      </c>
      <c r="I405" s="12" t="s">
        <v>1107</v>
      </c>
      <c r="J405" s="12"/>
      <c r="K405" s="12" t="s">
        <v>1062</v>
      </c>
      <c r="L405" s="12" t="s">
        <v>1110</v>
      </c>
      <c r="M405" s="12" t="s">
        <v>838</v>
      </c>
      <c r="N405" s="14" t="s">
        <v>1003</v>
      </c>
      <c r="O405" t="s">
        <v>1005</v>
      </c>
      <c r="P405" s="16">
        <f>PRODUCT(_xlfn.XLOOKUP(F405,Config!$A$2:$A$15,Config!$B$2:$B$15),_xlfn.XLOOKUP(G405,Config!$C$2:$C$7,Config!$D$2:$D$7),_xlfn.XLOOKUP(H405,Config!$E$2:$E$5,Config!$F$2:$F$5),_xlfn.XLOOKUP(I405,Config!$G$2:$G$3,Config!$H$2:$H$3),_xlfn.XLOOKUP(J405,Config!$I$2:$I$3,Config!$J$2:$J$3),_xlfn.XLOOKUP(K405,Config!$K$2:$K$3,Config!$L$2:$L$3),_xlfn.XLOOKUP(L405,Config!$M$2:$M$3,Config!$N$2:$N$3),_xlfn.XLOOKUP(M405,Config!$O$2:$O$6,Config!$P$2:$P$6))</f>
        <v>2.3429016072E-3</v>
      </c>
      <c r="Q405">
        <v>1</v>
      </c>
      <c r="R405" s="16">
        <f>P405*Q405*Config!$B$19</f>
        <v>1.7218368531867105E-3</v>
      </c>
      <c r="S405" t="s">
        <v>1288</v>
      </c>
    </row>
    <row r="406" spans="1:19" x14ac:dyDescent="0.45">
      <c r="A406" s="3">
        <v>405</v>
      </c>
      <c r="B406" s="3" t="s">
        <v>1203</v>
      </c>
      <c r="C406" s="3" t="s">
        <v>1151</v>
      </c>
      <c r="D406" s="3" t="s">
        <v>1220</v>
      </c>
      <c r="E406" t="s">
        <v>1154</v>
      </c>
      <c r="F406" t="s">
        <v>971</v>
      </c>
      <c r="G406" t="s">
        <v>830</v>
      </c>
      <c r="H406" t="s">
        <v>808</v>
      </c>
      <c r="I406" s="12" t="s">
        <v>1107</v>
      </c>
      <c r="J406" s="12"/>
      <c r="K406" s="12" t="s">
        <v>1062</v>
      </c>
      <c r="L406" s="12" t="s">
        <v>1110</v>
      </c>
      <c r="M406" s="12" t="s">
        <v>838</v>
      </c>
      <c r="N406" t="s">
        <v>1229</v>
      </c>
      <c r="O406" t="s">
        <v>1177</v>
      </c>
      <c r="P406" s="16">
        <f>PRODUCT(_xlfn.XLOOKUP(F406,Config!$A$2:$A$15,Config!$B$2:$B$15),_xlfn.XLOOKUP(G406,Config!$C$2:$C$7,Config!$D$2:$D$7),_xlfn.XLOOKUP(H406,Config!$E$2:$E$5,Config!$F$2:$F$5),_xlfn.XLOOKUP(I406,Config!$G$2:$G$3,Config!$H$2:$H$3),_xlfn.XLOOKUP(J406,Config!$I$2:$I$3,Config!$J$2:$J$3),_xlfn.XLOOKUP(K406,Config!$K$2:$K$3,Config!$L$2:$L$3),_xlfn.XLOOKUP(L406,Config!$M$2:$M$3,Config!$N$2:$N$3),_xlfn.XLOOKUP(M406,Config!$O$2:$O$6,Config!$P$2:$P$6))</f>
        <v>2.3429016072E-3</v>
      </c>
      <c r="Q406">
        <v>1</v>
      </c>
      <c r="R406" s="16">
        <f>P406*Q406*Config!$B$19</f>
        <v>1.7218368531867105E-3</v>
      </c>
      <c r="S406" t="s">
        <v>1288</v>
      </c>
    </row>
    <row r="407" spans="1:19" x14ac:dyDescent="0.45">
      <c r="A407" s="9">
        <v>406</v>
      </c>
      <c r="B407" s="3" t="s">
        <v>1199</v>
      </c>
      <c r="C407" s="9" t="s">
        <v>1200</v>
      </c>
      <c r="D407" s="9" t="s">
        <v>1218</v>
      </c>
      <c r="E407" t="s">
        <v>1182</v>
      </c>
      <c r="F407" t="s">
        <v>986</v>
      </c>
      <c r="G407" t="s">
        <v>830</v>
      </c>
      <c r="H407" t="s">
        <v>808</v>
      </c>
      <c r="I407" s="12" t="s">
        <v>1107</v>
      </c>
      <c r="J407" s="12"/>
      <c r="K407" s="12" t="s">
        <v>1062</v>
      </c>
      <c r="L407" s="12" t="s">
        <v>1110</v>
      </c>
      <c r="M407" s="12" t="s">
        <v>838</v>
      </c>
      <c r="N407" s="14" t="s">
        <v>1003</v>
      </c>
      <c r="O407" t="s">
        <v>1188</v>
      </c>
      <c r="P407" s="16">
        <f>PRODUCT(_xlfn.XLOOKUP(F407,Config!$A$2:$A$15,Config!$B$2:$B$15),_xlfn.XLOOKUP(G407,Config!$C$2:$C$7,Config!$D$2:$D$7),_xlfn.XLOOKUP(H407,Config!$E$2:$E$5,Config!$F$2:$F$5),_xlfn.XLOOKUP(I407,Config!$G$2:$G$3,Config!$H$2:$H$3),_xlfn.XLOOKUP(J407,Config!$I$2:$I$3,Config!$J$2:$J$3),_xlfn.XLOOKUP(K407,Config!$K$2:$K$3,Config!$L$2:$L$3),_xlfn.XLOOKUP(L407,Config!$M$2:$M$3,Config!$N$2:$N$3),_xlfn.XLOOKUP(M407,Config!$O$2:$O$6,Config!$P$2:$P$6))</f>
        <v>2.0234150244E-3</v>
      </c>
      <c r="Q407">
        <v>1</v>
      </c>
      <c r="R407" s="16">
        <f>P407*Q407*Config!$B$19</f>
        <v>1.48704091866125E-3</v>
      </c>
      <c r="S407" t="s">
        <v>1288</v>
      </c>
    </row>
    <row r="408" spans="1:19" x14ac:dyDescent="0.45">
      <c r="A408" s="3">
        <v>407</v>
      </c>
      <c r="B408" s="3" t="s">
        <v>1149</v>
      </c>
      <c r="C408" s="3" t="s">
        <v>840</v>
      </c>
      <c r="D408" s="3" t="s">
        <v>1219</v>
      </c>
      <c r="E408" t="s">
        <v>977</v>
      </c>
      <c r="F408" t="s">
        <v>986</v>
      </c>
      <c r="G408" t="s">
        <v>830</v>
      </c>
      <c r="H408" t="s">
        <v>808</v>
      </c>
      <c r="I408" s="12" t="s">
        <v>1107</v>
      </c>
      <c r="J408" s="12"/>
      <c r="K408" s="12" t="s">
        <v>1062</v>
      </c>
      <c r="L408" s="12" t="s">
        <v>1110</v>
      </c>
      <c r="M408" s="12" t="s">
        <v>838</v>
      </c>
      <c r="N408" s="14" t="s">
        <v>1003</v>
      </c>
      <c r="O408" t="s">
        <v>1008</v>
      </c>
      <c r="P408" s="16">
        <f>PRODUCT(_xlfn.XLOOKUP(F408,Config!$A$2:$A$15,Config!$B$2:$B$15),_xlfn.XLOOKUP(G408,Config!$C$2:$C$7,Config!$D$2:$D$7),_xlfn.XLOOKUP(H408,Config!$E$2:$E$5,Config!$F$2:$F$5),_xlfn.XLOOKUP(I408,Config!$G$2:$G$3,Config!$H$2:$H$3),_xlfn.XLOOKUP(J408,Config!$I$2:$I$3,Config!$J$2:$J$3),_xlfn.XLOOKUP(K408,Config!$K$2:$K$3,Config!$L$2:$L$3),_xlfn.XLOOKUP(L408,Config!$M$2:$M$3,Config!$N$2:$N$3),_xlfn.XLOOKUP(M408,Config!$O$2:$O$6,Config!$P$2:$P$6))</f>
        <v>2.0234150244E-3</v>
      </c>
      <c r="Q408">
        <v>1</v>
      </c>
      <c r="R408" s="16">
        <f>P408*Q408*Config!$B$19</f>
        <v>1.48704091866125E-3</v>
      </c>
      <c r="S408" t="s">
        <v>1288</v>
      </c>
    </row>
    <row r="409" spans="1:19" x14ac:dyDescent="0.45">
      <c r="A409" s="3">
        <v>408</v>
      </c>
      <c r="B409" s="3" t="s">
        <v>1203</v>
      </c>
      <c r="C409" s="3" t="s">
        <v>1151</v>
      </c>
      <c r="D409" s="3" t="s">
        <v>1220</v>
      </c>
      <c r="E409" t="s">
        <v>1154</v>
      </c>
      <c r="F409" t="s">
        <v>986</v>
      </c>
      <c r="G409" t="s">
        <v>830</v>
      </c>
      <c r="H409" t="s">
        <v>808</v>
      </c>
      <c r="I409" s="12" t="s">
        <v>1107</v>
      </c>
      <c r="J409" s="12"/>
      <c r="K409" s="12" t="s">
        <v>1062</v>
      </c>
      <c r="L409" s="12" t="s">
        <v>1110</v>
      </c>
      <c r="M409" s="12" t="s">
        <v>838</v>
      </c>
      <c r="N409" t="s">
        <v>1229</v>
      </c>
      <c r="O409" t="s">
        <v>1179</v>
      </c>
      <c r="P409" s="16">
        <f>PRODUCT(_xlfn.XLOOKUP(F409,Config!$A$2:$A$15,Config!$B$2:$B$15),_xlfn.XLOOKUP(G409,Config!$C$2:$C$7,Config!$D$2:$D$7),_xlfn.XLOOKUP(H409,Config!$E$2:$E$5,Config!$F$2:$F$5),_xlfn.XLOOKUP(I409,Config!$G$2:$G$3,Config!$H$2:$H$3),_xlfn.XLOOKUP(J409,Config!$I$2:$I$3,Config!$J$2:$J$3),_xlfn.XLOOKUP(K409,Config!$K$2:$K$3,Config!$L$2:$L$3),_xlfn.XLOOKUP(L409,Config!$M$2:$M$3,Config!$N$2:$N$3),_xlfn.XLOOKUP(M409,Config!$O$2:$O$6,Config!$P$2:$P$6))</f>
        <v>2.0234150244E-3</v>
      </c>
      <c r="Q409">
        <v>1</v>
      </c>
      <c r="R409" s="16">
        <f>P409*Q409*Config!$B$19</f>
        <v>1.48704091866125E-3</v>
      </c>
      <c r="S409" t="s">
        <v>1288</v>
      </c>
    </row>
    <row r="410" spans="1:19" x14ac:dyDescent="0.45">
      <c r="A410" s="7">
        <v>409</v>
      </c>
      <c r="B410" s="7" t="s">
        <v>1183</v>
      </c>
      <c r="C410" s="9" t="s">
        <v>1200</v>
      </c>
      <c r="D410" s="9" t="s">
        <v>1218</v>
      </c>
      <c r="E410" t="s">
        <v>1182</v>
      </c>
      <c r="F410" t="s">
        <v>987</v>
      </c>
      <c r="G410" t="s">
        <v>830</v>
      </c>
      <c r="H410" t="s">
        <v>808</v>
      </c>
      <c r="I410" s="12" t="s">
        <v>1107</v>
      </c>
      <c r="J410" s="12"/>
      <c r="K410" s="12" t="s">
        <v>1062</v>
      </c>
      <c r="L410" s="12" t="s">
        <v>1110</v>
      </c>
      <c r="M410" s="12" t="s">
        <v>838</v>
      </c>
      <c r="N410" s="14" t="s">
        <v>1003</v>
      </c>
      <c r="O410" t="s">
        <v>1189</v>
      </c>
      <c r="P410" s="16">
        <f>PRODUCT(_xlfn.XLOOKUP(F410,Config!$A$2:$A$15,Config!$B$2:$B$15),_xlfn.XLOOKUP(G410,Config!$C$2:$C$7,Config!$D$2:$D$7),_xlfn.XLOOKUP(H410,Config!$E$2:$E$5,Config!$F$2:$F$5),_xlfn.XLOOKUP(I410,Config!$G$2:$G$3,Config!$H$2:$H$3),_xlfn.XLOOKUP(J410,Config!$I$2:$I$3,Config!$J$2:$J$3),_xlfn.XLOOKUP(K410,Config!$K$2:$K$3,Config!$L$2:$L$3),_xlfn.XLOOKUP(L410,Config!$M$2:$M$3,Config!$N$2:$N$3),_xlfn.XLOOKUP(M410,Config!$O$2:$O$6,Config!$P$2:$P$6))</f>
        <v>1.0472060213999998E-3</v>
      </c>
      <c r="Q410">
        <v>1</v>
      </c>
      <c r="R410" s="16">
        <f>P410*Q410*Config!$B$19</f>
        <v>7.6960889650012042E-4</v>
      </c>
      <c r="S410" t="s">
        <v>1288</v>
      </c>
    </row>
    <row r="411" spans="1:19" x14ac:dyDescent="0.45">
      <c r="A411" s="7">
        <v>410</v>
      </c>
      <c r="B411" s="7" t="s">
        <v>1149</v>
      </c>
      <c r="C411" s="9" t="s">
        <v>840</v>
      </c>
      <c r="D411" s="7" t="s">
        <v>1219</v>
      </c>
      <c r="E411" t="s">
        <v>977</v>
      </c>
      <c r="F411" t="s">
        <v>987</v>
      </c>
      <c r="G411" t="s">
        <v>830</v>
      </c>
      <c r="H411" t="s">
        <v>808</v>
      </c>
      <c r="I411" s="12" t="s">
        <v>1107</v>
      </c>
      <c r="J411" s="12"/>
      <c r="K411" s="12" t="s">
        <v>1062</v>
      </c>
      <c r="L411" s="12" t="s">
        <v>1110</v>
      </c>
      <c r="M411" s="12" t="s">
        <v>838</v>
      </c>
      <c r="N411" s="14" t="s">
        <v>1003</v>
      </c>
      <c r="O411" t="s">
        <v>1131</v>
      </c>
      <c r="P411" s="16">
        <f>PRODUCT(_xlfn.XLOOKUP(F411,Config!$A$2:$A$15,Config!$B$2:$B$15),_xlfn.XLOOKUP(G411,Config!$C$2:$C$7,Config!$D$2:$D$7),_xlfn.XLOOKUP(H411,Config!$E$2:$E$5,Config!$F$2:$F$5),_xlfn.XLOOKUP(I411,Config!$G$2:$G$3,Config!$H$2:$H$3),_xlfn.XLOOKUP(J411,Config!$I$2:$I$3,Config!$J$2:$J$3),_xlfn.XLOOKUP(K411,Config!$K$2:$K$3,Config!$L$2:$L$3),_xlfn.XLOOKUP(L411,Config!$M$2:$M$3,Config!$N$2:$N$3),_xlfn.XLOOKUP(M411,Config!$O$2:$O$6,Config!$P$2:$P$6))</f>
        <v>1.0472060213999998E-3</v>
      </c>
      <c r="Q411">
        <v>1</v>
      </c>
      <c r="R411" s="16">
        <f>P411*Q411*Config!$B$19</f>
        <v>7.6960889650012042E-4</v>
      </c>
      <c r="S411" t="s">
        <v>1288</v>
      </c>
    </row>
    <row r="412" spans="1:19" x14ac:dyDescent="0.45">
      <c r="A412" s="3">
        <v>411</v>
      </c>
      <c r="B412" s="3" t="s">
        <v>1203</v>
      </c>
      <c r="C412" s="3" t="s">
        <v>1151</v>
      </c>
      <c r="D412" s="3" t="s">
        <v>1220</v>
      </c>
      <c r="E412" t="s">
        <v>1154</v>
      </c>
      <c r="F412" t="s">
        <v>987</v>
      </c>
      <c r="G412" t="s">
        <v>830</v>
      </c>
      <c r="H412" t="s">
        <v>808</v>
      </c>
      <c r="I412" s="12" t="s">
        <v>1107</v>
      </c>
      <c r="J412" s="12"/>
      <c r="K412" s="12" t="s">
        <v>1062</v>
      </c>
      <c r="L412" s="12" t="s">
        <v>1110</v>
      </c>
      <c r="M412" s="12" t="s">
        <v>838</v>
      </c>
      <c r="N412" t="s">
        <v>1229</v>
      </c>
      <c r="O412" t="s">
        <v>1181</v>
      </c>
      <c r="P412" s="16">
        <f>PRODUCT(_xlfn.XLOOKUP(F412,Config!$A$2:$A$15,Config!$B$2:$B$15),_xlfn.XLOOKUP(G412,Config!$C$2:$C$7,Config!$D$2:$D$7),_xlfn.XLOOKUP(H412,Config!$E$2:$E$5,Config!$F$2:$F$5),_xlfn.XLOOKUP(I412,Config!$G$2:$G$3,Config!$H$2:$H$3),_xlfn.XLOOKUP(J412,Config!$I$2:$I$3,Config!$J$2:$J$3),_xlfn.XLOOKUP(K412,Config!$K$2:$K$3,Config!$L$2:$L$3),_xlfn.XLOOKUP(L412,Config!$M$2:$M$3,Config!$N$2:$N$3),_xlfn.XLOOKUP(M412,Config!$O$2:$O$6,Config!$P$2:$P$6))</f>
        <v>1.0472060213999998E-3</v>
      </c>
      <c r="Q412">
        <v>1</v>
      </c>
      <c r="R412" s="16">
        <f>P412*Q412*Config!$B$19</f>
        <v>7.6960889650012042E-4</v>
      </c>
      <c r="S412" t="s">
        <v>1288</v>
      </c>
    </row>
    <row r="413" spans="1:19" x14ac:dyDescent="0.45">
      <c r="A413" s="3">
        <v>412</v>
      </c>
      <c r="B413" s="3" t="s">
        <v>1018</v>
      </c>
      <c r="C413" s="3" t="s">
        <v>1234</v>
      </c>
      <c r="D413" s="3" t="s">
        <v>671</v>
      </c>
      <c r="E413" t="s">
        <v>523</v>
      </c>
      <c r="F413" t="s">
        <v>984</v>
      </c>
      <c r="G413" t="s">
        <v>831</v>
      </c>
      <c r="H413" t="s">
        <v>808</v>
      </c>
      <c r="I413" t="s">
        <v>806</v>
      </c>
      <c r="J413" s="12"/>
      <c r="K413" s="12" t="s">
        <v>1062</v>
      </c>
      <c r="L413" s="12" t="s">
        <v>1110</v>
      </c>
      <c r="M413" s="12" t="s">
        <v>838</v>
      </c>
      <c r="N413" s="14" t="s">
        <v>1236</v>
      </c>
      <c r="P413" s="16">
        <f>PRODUCT(_xlfn.XLOOKUP(F413,Config!$A$2:$A$15,Config!$B$2:$B$15),_xlfn.XLOOKUP(G413,Config!$C$2:$C$7,Config!$D$2:$D$7),_xlfn.XLOOKUP(H413,Config!$E$2:$E$5,Config!$F$2:$F$5),_xlfn.XLOOKUP(I413,Config!$G$2:$G$3,Config!$H$2:$H$3),_xlfn.XLOOKUP(J413,Config!$I$2:$I$3,Config!$J$2:$J$3),_xlfn.XLOOKUP(K413,Config!$K$2:$K$3,Config!$L$2:$L$3),_xlfn.XLOOKUP(L413,Config!$M$2:$M$3,Config!$N$2:$N$3),_xlfn.XLOOKUP(M413,Config!$O$2:$O$6,Config!$P$2:$P$6))</f>
        <v>3.4709653440000003E-3</v>
      </c>
      <c r="Q413">
        <v>1</v>
      </c>
      <c r="R413" s="16">
        <f>P413*Q413*Config!$B$19</f>
        <v>2.5508694121284601E-3</v>
      </c>
      <c r="S413" t="s">
        <v>1288</v>
      </c>
    </row>
    <row r="414" spans="1:19" x14ac:dyDescent="0.45">
      <c r="A414" s="3">
        <v>413</v>
      </c>
      <c r="B414" s="3" t="s">
        <v>1018</v>
      </c>
      <c r="C414" s="3" t="s">
        <v>1235</v>
      </c>
      <c r="D414" s="3" t="s">
        <v>671</v>
      </c>
      <c r="E414" t="s">
        <v>523</v>
      </c>
      <c r="F414" t="s">
        <v>985</v>
      </c>
      <c r="G414" t="s">
        <v>831</v>
      </c>
      <c r="H414" t="s">
        <v>808</v>
      </c>
      <c r="I414" t="s">
        <v>806</v>
      </c>
      <c r="J414" s="12"/>
      <c r="K414" s="12" t="s">
        <v>1062</v>
      </c>
      <c r="L414" s="12" t="s">
        <v>1110</v>
      </c>
      <c r="M414" s="12" t="s">
        <v>838</v>
      </c>
      <c r="N414" s="14" t="s">
        <v>1236</v>
      </c>
      <c r="P414" s="16">
        <f>PRODUCT(_xlfn.XLOOKUP(F414,Config!$A$2:$A$15,Config!$B$2:$B$15),_xlfn.XLOOKUP(G414,Config!$C$2:$C$7,Config!$D$2:$D$7),_xlfn.XLOOKUP(H414,Config!$E$2:$E$5,Config!$F$2:$F$5),_xlfn.XLOOKUP(I414,Config!$G$2:$G$3,Config!$H$2:$H$3),_xlfn.XLOOKUP(J414,Config!$I$2:$I$3,Config!$J$2:$J$3),_xlfn.XLOOKUP(K414,Config!$K$2:$K$3,Config!$L$2:$L$3),_xlfn.XLOOKUP(L414,Config!$M$2:$M$3,Config!$N$2:$N$3),_xlfn.XLOOKUP(M414,Config!$O$2:$O$6,Config!$P$2:$P$6))</f>
        <v>2.9976518880000004E-3</v>
      </c>
      <c r="Q414">
        <v>1</v>
      </c>
      <c r="R414" s="16">
        <f>P414*Q414*Config!$B$19</f>
        <v>2.203023583201852E-3</v>
      </c>
      <c r="S414" t="s">
        <v>1288</v>
      </c>
    </row>
    <row r="415" spans="1:19" x14ac:dyDescent="0.45">
      <c r="A415" s="3">
        <v>414</v>
      </c>
      <c r="B415" s="3" t="s">
        <v>1018</v>
      </c>
      <c r="C415" s="3" t="s">
        <v>1237</v>
      </c>
      <c r="D415" s="3" t="s">
        <v>671</v>
      </c>
      <c r="E415" t="s">
        <v>523</v>
      </c>
      <c r="F415" t="s">
        <v>1010</v>
      </c>
      <c r="G415" t="s">
        <v>831</v>
      </c>
      <c r="H415" t="s">
        <v>808</v>
      </c>
      <c r="I415" t="s">
        <v>806</v>
      </c>
      <c r="J415" s="12"/>
      <c r="K415" s="12" t="s">
        <v>1062</v>
      </c>
      <c r="L415" s="12" t="s">
        <v>1110</v>
      </c>
      <c r="M415" s="12" t="s">
        <v>838</v>
      </c>
      <c r="N415" s="14" t="s">
        <v>1236</v>
      </c>
      <c r="O415" t="s">
        <v>1233</v>
      </c>
      <c r="P415" s="16">
        <f>PRODUCT(_xlfn.XLOOKUP(F415,Config!$A$2:$A$15,Config!$B$2:$B$15),_xlfn.XLOOKUP(G415,Config!$C$2:$C$7,Config!$D$2:$D$7),_xlfn.XLOOKUP(H415,Config!$E$2:$E$5,Config!$F$2:$F$5),_xlfn.XLOOKUP(I415,Config!$G$2:$G$3,Config!$H$2:$H$3),_xlfn.XLOOKUP(J415,Config!$I$2:$I$3,Config!$J$2:$J$3),_xlfn.XLOOKUP(K415,Config!$K$2:$K$3,Config!$L$2:$L$3),_xlfn.XLOOKUP(L415,Config!$M$2:$M$3,Config!$N$2:$N$3),_xlfn.XLOOKUP(M415,Config!$O$2:$O$6,Config!$P$2:$P$6))</f>
        <v>2.3271244920000001E-3</v>
      </c>
      <c r="Q415">
        <v>1</v>
      </c>
      <c r="R415" s="16">
        <f>P415*Q415*Config!$B$19</f>
        <v>1.7102419922224903E-3</v>
      </c>
      <c r="S415" t="s">
        <v>1288</v>
      </c>
    </row>
    <row r="416" spans="1:19" x14ac:dyDescent="0.45">
      <c r="A416" s="3">
        <v>415</v>
      </c>
      <c r="B416" s="3" t="s">
        <v>1018</v>
      </c>
      <c r="C416" s="3" t="s">
        <v>1238</v>
      </c>
      <c r="D416" s="3" t="s">
        <v>671</v>
      </c>
      <c r="E416" t="s">
        <v>523</v>
      </c>
      <c r="F416" t="s">
        <v>971</v>
      </c>
      <c r="G416" t="s">
        <v>831</v>
      </c>
      <c r="H416" t="s">
        <v>808</v>
      </c>
      <c r="I416" t="s">
        <v>806</v>
      </c>
      <c r="J416" s="12"/>
      <c r="K416" s="12" t="s">
        <v>1062</v>
      </c>
      <c r="L416" s="12" t="s">
        <v>1110</v>
      </c>
      <c r="M416" s="12" t="s">
        <v>838</v>
      </c>
      <c r="N416" s="14" t="s">
        <v>1236</v>
      </c>
      <c r="P416" s="16">
        <f>PRODUCT(_xlfn.XLOOKUP(F416,Config!$A$2:$A$15,Config!$B$2:$B$15),_xlfn.XLOOKUP(G416,Config!$C$2:$C$7,Config!$D$2:$D$7),_xlfn.XLOOKUP(H416,Config!$E$2:$E$5,Config!$F$2:$F$5),_xlfn.XLOOKUP(I416,Config!$G$2:$G$3,Config!$H$2:$H$3),_xlfn.XLOOKUP(J416,Config!$I$2:$I$3,Config!$J$2:$J$3),_xlfn.XLOOKUP(K416,Config!$K$2:$K$3,Config!$L$2:$L$3),_xlfn.XLOOKUP(L416,Config!$M$2:$M$3,Config!$N$2:$N$3),_xlfn.XLOOKUP(M416,Config!$O$2:$O$6,Config!$P$2:$P$6))</f>
        <v>1.952418006E-3</v>
      </c>
      <c r="Q416">
        <v>1</v>
      </c>
      <c r="R416" s="16">
        <f>P416*Q416*Config!$B$19</f>
        <v>1.4348640443222586E-3</v>
      </c>
      <c r="S416" t="s">
        <v>1288</v>
      </c>
    </row>
    <row r="417" spans="1:19" x14ac:dyDescent="0.45">
      <c r="A417" s="3">
        <v>416</v>
      </c>
      <c r="B417" s="3" t="s">
        <v>1018</v>
      </c>
      <c r="C417" s="3" t="s">
        <v>1235</v>
      </c>
      <c r="D417" s="3" t="s">
        <v>671</v>
      </c>
      <c r="E417" t="s">
        <v>523</v>
      </c>
      <c r="F417" t="s">
        <v>986</v>
      </c>
      <c r="G417" t="s">
        <v>831</v>
      </c>
      <c r="H417" t="s">
        <v>808</v>
      </c>
      <c r="I417" t="s">
        <v>806</v>
      </c>
      <c r="J417" s="12"/>
      <c r="K417" s="12" t="s">
        <v>1062</v>
      </c>
      <c r="L417" s="12" t="s">
        <v>1110</v>
      </c>
      <c r="M417" s="12" t="s">
        <v>838</v>
      </c>
      <c r="N417" s="14" t="s">
        <v>1236</v>
      </c>
      <c r="P417" s="16">
        <f>PRODUCT(_xlfn.XLOOKUP(F417,Config!$A$2:$A$15,Config!$B$2:$B$15),_xlfn.XLOOKUP(G417,Config!$C$2:$C$7,Config!$D$2:$D$7),_xlfn.XLOOKUP(H417,Config!$E$2:$E$5,Config!$F$2:$F$5),_xlfn.XLOOKUP(I417,Config!$G$2:$G$3,Config!$H$2:$H$3),_xlfn.XLOOKUP(J417,Config!$I$2:$I$3,Config!$J$2:$J$3),_xlfn.XLOOKUP(K417,Config!$K$2:$K$3,Config!$L$2:$L$3),_xlfn.XLOOKUP(L417,Config!$M$2:$M$3,Config!$N$2:$N$3),_xlfn.XLOOKUP(M417,Config!$O$2:$O$6,Config!$P$2:$P$6))</f>
        <v>1.6861791870000002E-3</v>
      </c>
      <c r="Q417">
        <v>1</v>
      </c>
      <c r="R417" s="16">
        <f>P417*Q417*Config!$B$19</f>
        <v>1.2392007655510418E-3</v>
      </c>
      <c r="S417" t="s">
        <v>1288</v>
      </c>
    </row>
    <row r="418" spans="1:19" x14ac:dyDescent="0.45">
      <c r="A418" s="3">
        <v>417</v>
      </c>
      <c r="B418" s="3" t="s">
        <v>1018</v>
      </c>
      <c r="C418" s="3" t="s">
        <v>1239</v>
      </c>
      <c r="D418" s="3" t="s">
        <v>671</v>
      </c>
      <c r="E418" t="s">
        <v>523</v>
      </c>
      <c r="F418" t="s">
        <v>987</v>
      </c>
      <c r="G418" t="s">
        <v>831</v>
      </c>
      <c r="H418" t="s">
        <v>808</v>
      </c>
      <c r="I418" t="s">
        <v>806</v>
      </c>
      <c r="J418" s="12"/>
      <c r="K418" s="12" t="s">
        <v>1062</v>
      </c>
      <c r="L418" s="12" t="s">
        <v>1110</v>
      </c>
      <c r="M418" s="12" t="s">
        <v>838</v>
      </c>
      <c r="N418" s="14" t="s">
        <v>1236</v>
      </c>
      <c r="P418" s="16">
        <f>PRODUCT(_xlfn.XLOOKUP(F418,Config!$A$2:$A$15,Config!$B$2:$B$15),_xlfn.XLOOKUP(G418,Config!$C$2:$C$7,Config!$D$2:$D$7),_xlfn.XLOOKUP(H418,Config!$E$2:$E$5,Config!$F$2:$F$5),_xlfn.XLOOKUP(I418,Config!$G$2:$G$3,Config!$H$2:$H$3),_xlfn.XLOOKUP(J418,Config!$I$2:$I$3,Config!$J$2:$J$3),_xlfn.XLOOKUP(K418,Config!$K$2:$K$3,Config!$L$2:$L$3),_xlfn.XLOOKUP(L418,Config!$M$2:$M$3,Config!$N$2:$N$3),_xlfn.XLOOKUP(M418,Config!$O$2:$O$6,Config!$P$2:$P$6))</f>
        <v>8.7267168449999986E-4</v>
      </c>
      <c r="Q418">
        <v>1</v>
      </c>
      <c r="R418" s="16">
        <f>P418*Q418*Config!$B$19</f>
        <v>6.4134074708343375E-4</v>
      </c>
      <c r="S418" t="s">
        <v>1288</v>
      </c>
    </row>
    <row r="419" spans="1:19" x14ac:dyDescent="0.45">
      <c r="A419" s="3">
        <v>418</v>
      </c>
      <c r="B419" s="3" t="s">
        <v>688</v>
      </c>
      <c r="C419" s="3" t="s">
        <v>1240</v>
      </c>
      <c r="D419" s="3" t="s">
        <v>1163</v>
      </c>
      <c r="E419" t="s">
        <v>979</v>
      </c>
      <c r="F419" t="s">
        <v>984</v>
      </c>
      <c r="G419" t="s">
        <v>831</v>
      </c>
      <c r="H419" t="s">
        <v>808</v>
      </c>
      <c r="I419" t="s">
        <v>806</v>
      </c>
      <c r="J419" s="12"/>
      <c r="K419" s="12" t="s">
        <v>1062</v>
      </c>
      <c r="L419" t="s">
        <v>1111</v>
      </c>
      <c r="M419" s="12" t="s">
        <v>838</v>
      </c>
      <c r="N419" s="14" t="s">
        <v>1236</v>
      </c>
      <c r="P419" s="16">
        <f>PRODUCT(_xlfn.XLOOKUP(F419,Config!$A$2:$A$15,Config!$B$2:$B$15),_xlfn.XLOOKUP(G419,Config!$C$2:$C$7,Config!$D$2:$D$7),_xlfn.XLOOKUP(H419,Config!$E$2:$E$5,Config!$F$2:$F$5),_xlfn.XLOOKUP(I419,Config!$G$2:$G$3,Config!$H$2:$H$3),_xlfn.XLOOKUP(J419,Config!$I$2:$I$3,Config!$J$2:$J$3),_xlfn.XLOOKUP(K419,Config!$K$2:$K$3,Config!$L$2:$L$3),_xlfn.XLOOKUP(L419,Config!$M$2:$M$3,Config!$N$2:$N$3),_xlfn.XLOOKUP(M419,Config!$O$2:$O$6,Config!$P$2:$P$6))</f>
        <v>6.1252329599999992E-4</v>
      </c>
      <c r="Q419">
        <v>1</v>
      </c>
      <c r="R419" s="16">
        <f>P419*Q419*Config!$B$19</f>
        <v>4.5015342566972816E-4</v>
      </c>
      <c r="S419" t="s">
        <v>1288</v>
      </c>
    </row>
    <row r="420" spans="1:19" x14ac:dyDescent="0.45">
      <c r="A420" s="3">
        <v>419</v>
      </c>
      <c r="B420" s="3" t="s">
        <v>688</v>
      </c>
      <c r="C420" s="3" t="s">
        <v>1241</v>
      </c>
      <c r="D420" s="3" t="s">
        <v>1163</v>
      </c>
      <c r="E420" t="s">
        <v>979</v>
      </c>
      <c r="F420" t="s">
        <v>985</v>
      </c>
      <c r="G420" t="s">
        <v>831</v>
      </c>
      <c r="H420" t="s">
        <v>808</v>
      </c>
      <c r="I420" t="s">
        <v>806</v>
      </c>
      <c r="J420" s="12"/>
      <c r="K420" s="12" t="s">
        <v>1062</v>
      </c>
      <c r="L420" t="s">
        <v>1111</v>
      </c>
      <c r="M420" s="12" t="s">
        <v>838</v>
      </c>
      <c r="N420" s="14" t="s">
        <v>1236</v>
      </c>
      <c r="P420" s="16">
        <f>PRODUCT(_xlfn.XLOOKUP(F420,Config!$A$2:$A$15,Config!$B$2:$B$15),_xlfn.XLOOKUP(G420,Config!$C$2:$C$7,Config!$D$2:$D$7),_xlfn.XLOOKUP(H420,Config!$E$2:$E$5,Config!$F$2:$F$5),_xlfn.XLOOKUP(I420,Config!$G$2:$G$3,Config!$H$2:$H$3),_xlfn.XLOOKUP(J420,Config!$I$2:$I$3,Config!$J$2:$J$3),_xlfn.XLOOKUP(K420,Config!$K$2:$K$3,Config!$L$2:$L$3),_xlfn.XLOOKUP(L420,Config!$M$2:$M$3,Config!$N$2:$N$3),_xlfn.XLOOKUP(M420,Config!$O$2:$O$6,Config!$P$2:$P$6))</f>
        <v>5.2899739200000008E-4</v>
      </c>
      <c r="Q420">
        <v>1</v>
      </c>
      <c r="R420" s="16">
        <f>P420*Q420*Config!$B$19</f>
        <v>3.8876886762385628E-4</v>
      </c>
      <c r="S420" t="s">
        <v>1288</v>
      </c>
    </row>
    <row r="421" spans="1:19" x14ac:dyDescent="0.45">
      <c r="A421" s="3">
        <v>420</v>
      </c>
      <c r="B421" s="3" t="s">
        <v>688</v>
      </c>
      <c r="C421" s="3" t="s">
        <v>1242</v>
      </c>
      <c r="D421" s="3" t="s">
        <v>1163</v>
      </c>
      <c r="E421" t="s">
        <v>979</v>
      </c>
      <c r="F421" t="s">
        <v>1010</v>
      </c>
      <c r="G421" t="s">
        <v>831</v>
      </c>
      <c r="H421" t="s">
        <v>808</v>
      </c>
      <c r="I421" t="s">
        <v>806</v>
      </c>
      <c r="J421" s="12"/>
      <c r="K421" s="12" t="s">
        <v>1062</v>
      </c>
      <c r="L421" t="s">
        <v>1111</v>
      </c>
      <c r="M421" s="12" t="s">
        <v>838</v>
      </c>
      <c r="N421" s="14" t="s">
        <v>1236</v>
      </c>
      <c r="O421" t="s">
        <v>607</v>
      </c>
      <c r="P421" s="16">
        <f>PRODUCT(_xlfn.XLOOKUP(F421,Config!$A$2:$A$15,Config!$B$2:$B$15),_xlfn.XLOOKUP(G421,Config!$C$2:$C$7,Config!$D$2:$D$7),_xlfn.XLOOKUP(H421,Config!$E$2:$E$5,Config!$F$2:$F$5),_xlfn.XLOOKUP(I421,Config!$G$2:$G$3,Config!$H$2:$H$3),_xlfn.XLOOKUP(J421,Config!$I$2:$I$3,Config!$J$2:$J$3),_xlfn.XLOOKUP(K421,Config!$K$2:$K$3,Config!$L$2:$L$3),_xlfn.XLOOKUP(L421,Config!$M$2:$M$3,Config!$N$2:$N$3),_xlfn.XLOOKUP(M421,Config!$O$2:$O$6,Config!$P$2:$P$6))</f>
        <v>4.1066902799999995E-4</v>
      </c>
      <c r="Q421">
        <v>1</v>
      </c>
      <c r="R421" s="16">
        <f>P421*Q421*Config!$B$19</f>
        <v>3.0180741039220413E-4</v>
      </c>
      <c r="S421" t="s">
        <v>1288</v>
      </c>
    </row>
    <row r="422" spans="1:19" x14ac:dyDescent="0.45">
      <c r="A422" s="3">
        <v>421</v>
      </c>
      <c r="B422" s="3" t="s">
        <v>688</v>
      </c>
      <c r="C422" s="3" t="s">
        <v>1243</v>
      </c>
      <c r="D422" s="3" t="s">
        <v>1163</v>
      </c>
      <c r="E422" t="s">
        <v>979</v>
      </c>
      <c r="F422" t="s">
        <v>971</v>
      </c>
      <c r="G422" t="s">
        <v>831</v>
      </c>
      <c r="H422" t="s">
        <v>808</v>
      </c>
      <c r="I422" t="s">
        <v>806</v>
      </c>
      <c r="J422" s="12"/>
      <c r="K422" s="12" t="s">
        <v>1062</v>
      </c>
      <c r="L422" t="s">
        <v>1111</v>
      </c>
      <c r="M422" s="12" t="s">
        <v>838</v>
      </c>
      <c r="N422" s="14" t="s">
        <v>1236</v>
      </c>
      <c r="P422" s="16">
        <f>PRODUCT(_xlfn.XLOOKUP(F422,Config!$A$2:$A$15,Config!$B$2:$B$15),_xlfn.XLOOKUP(G422,Config!$C$2:$C$7,Config!$D$2:$D$7),_xlfn.XLOOKUP(H422,Config!$E$2:$E$5,Config!$F$2:$F$5),_xlfn.XLOOKUP(I422,Config!$G$2:$G$3,Config!$H$2:$H$3),_xlfn.XLOOKUP(J422,Config!$I$2:$I$3,Config!$J$2:$J$3),_xlfn.XLOOKUP(K422,Config!$K$2:$K$3,Config!$L$2:$L$3),_xlfn.XLOOKUP(L422,Config!$M$2:$M$3,Config!$N$2:$N$3),_xlfn.XLOOKUP(M422,Config!$O$2:$O$6,Config!$P$2:$P$6))</f>
        <v>3.4454435399999995E-4</v>
      </c>
      <c r="Q422">
        <v>1</v>
      </c>
      <c r="R422" s="16">
        <f>P422*Q422*Config!$B$19</f>
        <v>2.5321130193922209E-4</v>
      </c>
      <c r="S422" t="s">
        <v>1288</v>
      </c>
    </row>
    <row r="423" spans="1:19" x14ac:dyDescent="0.45">
      <c r="A423" s="3">
        <v>422</v>
      </c>
      <c r="B423" s="3" t="s">
        <v>688</v>
      </c>
      <c r="C423" s="3" t="s">
        <v>1241</v>
      </c>
      <c r="D423" s="3" t="s">
        <v>1163</v>
      </c>
      <c r="E423" t="s">
        <v>979</v>
      </c>
      <c r="F423" t="s">
        <v>986</v>
      </c>
      <c r="G423" t="s">
        <v>831</v>
      </c>
      <c r="H423" t="s">
        <v>808</v>
      </c>
      <c r="I423" t="s">
        <v>806</v>
      </c>
      <c r="J423" s="12"/>
      <c r="K423" s="12" t="s">
        <v>1062</v>
      </c>
      <c r="L423" t="s">
        <v>1111</v>
      </c>
      <c r="M423" s="12" t="s">
        <v>838</v>
      </c>
      <c r="N423" s="14" t="s">
        <v>1236</v>
      </c>
      <c r="P423" s="16">
        <f>PRODUCT(_xlfn.XLOOKUP(F423,Config!$A$2:$A$15,Config!$B$2:$B$15),_xlfn.XLOOKUP(G423,Config!$C$2:$C$7,Config!$D$2:$D$7),_xlfn.XLOOKUP(H423,Config!$E$2:$E$5,Config!$F$2:$F$5),_xlfn.XLOOKUP(I423,Config!$G$2:$G$3,Config!$H$2:$H$3),_xlfn.XLOOKUP(J423,Config!$I$2:$I$3,Config!$J$2:$J$3),_xlfn.XLOOKUP(K423,Config!$K$2:$K$3,Config!$L$2:$L$3),_xlfn.XLOOKUP(L423,Config!$M$2:$M$3,Config!$N$2:$N$3),_xlfn.XLOOKUP(M423,Config!$O$2:$O$6,Config!$P$2:$P$6))</f>
        <v>2.9756103300000004E-4</v>
      </c>
      <c r="Q423">
        <v>1</v>
      </c>
      <c r="R423" s="16">
        <f>P423*Q423*Config!$B$19</f>
        <v>2.1868248803841913E-4</v>
      </c>
      <c r="S423" t="s">
        <v>1288</v>
      </c>
    </row>
    <row r="424" spans="1:19" x14ac:dyDescent="0.45">
      <c r="A424" s="3">
        <v>423</v>
      </c>
      <c r="B424" s="3" t="s">
        <v>688</v>
      </c>
      <c r="C424" s="3" t="s">
        <v>996</v>
      </c>
      <c r="D424" s="3" t="s">
        <v>1163</v>
      </c>
      <c r="E424" t="s">
        <v>979</v>
      </c>
      <c r="F424" t="s">
        <v>987</v>
      </c>
      <c r="G424" t="s">
        <v>831</v>
      </c>
      <c r="H424" t="s">
        <v>808</v>
      </c>
      <c r="I424" t="s">
        <v>806</v>
      </c>
      <c r="J424" s="12"/>
      <c r="K424" s="12" t="s">
        <v>1062</v>
      </c>
      <c r="L424" t="s">
        <v>1111</v>
      </c>
      <c r="M424" s="12" t="s">
        <v>838</v>
      </c>
      <c r="N424" s="14" t="s">
        <v>1003</v>
      </c>
      <c r="P424" s="16">
        <f>PRODUCT(_xlfn.XLOOKUP(F424,Config!$A$2:$A$15,Config!$B$2:$B$15),_xlfn.XLOOKUP(G424,Config!$C$2:$C$7,Config!$D$2:$D$7),_xlfn.XLOOKUP(H424,Config!$E$2:$E$5,Config!$F$2:$F$5),_xlfn.XLOOKUP(I424,Config!$G$2:$G$3,Config!$H$2:$H$3),_xlfn.XLOOKUP(J424,Config!$I$2:$I$3,Config!$J$2:$J$3),_xlfn.XLOOKUP(K424,Config!$K$2:$K$3,Config!$L$2:$L$3),_xlfn.XLOOKUP(L424,Config!$M$2:$M$3,Config!$N$2:$N$3),_xlfn.XLOOKUP(M424,Config!$O$2:$O$6,Config!$P$2:$P$6))</f>
        <v>1.5400088549999996E-4</v>
      </c>
      <c r="Q424">
        <v>1</v>
      </c>
      <c r="R424" s="16">
        <f>P424*Q424*Config!$B$19</f>
        <v>1.1317777889707653E-4</v>
      </c>
      <c r="S424" t="s">
        <v>1288</v>
      </c>
    </row>
    <row r="425" spans="1:19" x14ac:dyDescent="0.45">
      <c r="A425" s="3">
        <v>424</v>
      </c>
      <c r="B425" s="3" t="s">
        <v>688</v>
      </c>
      <c r="C425" s="3" t="s">
        <v>1244</v>
      </c>
      <c r="D425" s="3" t="s">
        <v>1163</v>
      </c>
      <c r="E425" t="s">
        <v>154</v>
      </c>
      <c r="F425" t="s">
        <v>987</v>
      </c>
      <c r="G425" t="s">
        <v>831</v>
      </c>
      <c r="H425" t="s">
        <v>808</v>
      </c>
      <c r="I425" t="s">
        <v>806</v>
      </c>
      <c r="J425" s="12"/>
      <c r="K425" s="12" t="s">
        <v>1062</v>
      </c>
      <c r="L425" t="s">
        <v>1111</v>
      </c>
      <c r="M425" s="12" t="s">
        <v>838</v>
      </c>
      <c r="N425" s="14" t="s">
        <v>1003</v>
      </c>
      <c r="P425" s="16">
        <f>PRODUCT(_xlfn.XLOOKUP(F425,Config!$A$2:$A$15,Config!$B$2:$B$15),_xlfn.XLOOKUP(G425,Config!$C$2:$C$7,Config!$D$2:$D$7),_xlfn.XLOOKUP(H425,Config!$E$2:$E$5,Config!$F$2:$F$5),_xlfn.XLOOKUP(I425,Config!$G$2:$G$3,Config!$H$2:$H$3),_xlfn.XLOOKUP(J425,Config!$I$2:$I$3,Config!$J$2:$J$3),_xlfn.XLOOKUP(K425,Config!$K$2:$K$3,Config!$L$2:$L$3),_xlfn.XLOOKUP(L425,Config!$M$2:$M$3,Config!$N$2:$N$3),_xlfn.XLOOKUP(M425,Config!$O$2:$O$6,Config!$P$2:$P$6))</f>
        <v>1.5400088549999996E-4</v>
      </c>
      <c r="Q425">
        <v>1</v>
      </c>
      <c r="R425" s="16">
        <f>P425*Q425*Config!$B$19</f>
        <v>1.1317777889707653E-4</v>
      </c>
      <c r="S425" t="s">
        <v>1288</v>
      </c>
    </row>
    <row r="426" spans="1:19" x14ac:dyDescent="0.45">
      <c r="A426" s="3">
        <v>425</v>
      </c>
      <c r="B426" s="3" t="s">
        <v>660</v>
      </c>
      <c r="C426" s="3" t="s">
        <v>750</v>
      </c>
      <c r="D426" s="3" t="s">
        <v>558</v>
      </c>
      <c r="E426" t="s">
        <v>105</v>
      </c>
      <c r="F426" t="s">
        <v>984</v>
      </c>
      <c r="G426" t="s">
        <v>831</v>
      </c>
      <c r="H426" t="s">
        <v>768</v>
      </c>
      <c r="I426" s="12" t="s">
        <v>1107</v>
      </c>
      <c r="J426" s="12"/>
      <c r="K426" s="12" t="s">
        <v>1062</v>
      </c>
      <c r="L426" s="12" t="s">
        <v>1110</v>
      </c>
      <c r="M426" s="12" t="s">
        <v>838</v>
      </c>
      <c r="N426" s="14" t="s">
        <v>1003</v>
      </c>
      <c r="P426" s="16">
        <f>PRODUCT(_xlfn.XLOOKUP(F426,Config!$A$2:$A$15,Config!$B$2:$B$15),_xlfn.XLOOKUP(G426,Config!$C$2:$C$7,Config!$D$2:$D$7),_xlfn.XLOOKUP(H426,Config!$E$2:$E$5,Config!$F$2:$F$5),_xlfn.XLOOKUP(I426,Config!$G$2:$G$3,Config!$H$2:$H$3),_xlfn.XLOOKUP(J426,Config!$I$2:$I$3,Config!$J$2:$J$3),_xlfn.XLOOKUP(K426,Config!$K$2:$K$3,Config!$L$2:$L$3),_xlfn.XLOOKUP(L426,Config!$M$2:$M$3,Config!$N$2:$N$3),_xlfn.XLOOKUP(M426,Config!$O$2:$O$6,Config!$P$2:$P$6))</f>
        <v>2.9450615039999994E-3</v>
      </c>
      <c r="Q426">
        <v>1</v>
      </c>
      <c r="R426" s="16">
        <f>P426*Q426*Config!$B$19</f>
        <v>2.1643740466544504E-3</v>
      </c>
      <c r="S426" t="s">
        <v>1288</v>
      </c>
    </row>
    <row r="427" spans="1:19" x14ac:dyDescent="0.45">
      <c r="A427" s="3">
        <v>426</v>
      </c>
      <c r="B427" s="3" t="s">
        <v>190</v>
      </c>
      <c r="C427" s="3" t="s">
        <v>759</v>
      </c>
      <c r="D427" s="3" t="s">
        <v>619</v>
      </c>
      <c r="E427" t="s">
        <v>154</v>
      </c>
      <c r="F427" t="s">
        <v>984</v>
      </c>
      <c r="G427" t="s">
        <v>831</v>
      </c>
      <c r="H427" t="s">
        <v>768</v>
      </c>
      <c r="I427" s="12" t="s">
        <v>1107</v>
      </c>
      <c r="J427" s="12"/>
      <c r="K427" s="12" t="s">
        <v>1062</v>
      </c>
      <c r="L427" s="12" t="s">
        <v>1110</v>
      </c>
      <c r="M427" s="12" t="s">
        <v>838</v>
      </c>
      <c r="N427" t="s">
        <v>1232</v>
      </c>
      <c r="P427" s="16">
        <f>PRODUCT(_xlfn.XLOOKUP(F427,Config!$A$2:$A$15,Config!$B$2:$B$15),_xlfn.XLOOKUP(G427,Config!$C$2:$C$7,Config!$D$2:$D$7),_xlfn.XLOOKUP(H427,Config!$E$2:$E$5,Config!$F$2:$F$5),_xlfn.XLOOKUP(I427,Config!$G$2:$G$3,Config!$H$2:$H$3),_xlfn.XLOOKUP(J427,Config!$I$2:$I$3,Config!$J$2:$J$3),_xlfn.XLOOKUP(K427,Config!$K$2:$K$3,Config!$L$2:$L$3),_xlfn.XLOOKUP(L427,Config!$M$2:$M$3,Config!$N$2:$N$3),_xlfn.XLOOKUP(M427,Config!$O$2:$O$6,Config!$P$2:$P$6))</f>
        <v>2.9450615039999994E-3</v>
      </c>
      <c r="Q427">
        <v>1</v>
      </c>
      <c r="R427" s="16">
        <f>P427*Q427*Config!$B$19</f>
        <v>2.1643740466544504E-3</v>
      </c>
      <c r="S427" t="s">
        <v>1288</v>
      </c>
    </row>
    <row r="428" spans="1:19" x14ac:dyDescent="0.45">
      <c r="A428" s="3">
        <v>427</v>
      </c>
      <c r="B428" s="3" t="s">
        <v>660</v>
      </c>
      <c r="C428" s="3" t="s">
        <v>750</v>
      </c>
      <c r="D428" s="3" t="s">
        <v>558</v>
      </c>
      <c r="E428" t="s">
        <v>105</v>
      </c>
      <c r="F428" t="s">
        <v>985</v>
      </c>
      <c r="G428" t="s">
        <v>831</v>
      </c>
      <c r="H428" t="s">
        <v>768</v>
      </c>
      <c r="I428" s="12" t="s">
        <v>1107</v>
      </c>
      <c r="J428" s="12"/>
      <c r="K428" s="12" t="s">
        <v>1062</v>
      </c>
      <c r="L428" s="12" t="s">
        <v>1110</v>
      </c>
      <c r="M428" s="12" t="s">
        <v>838</v>
      </c>
      <c r="N428" s="14" t="s">
        <v>1003</v>
      </c>
      <c r="P428" s="16">
        <f>PRODUCT(_xlfn.XLOOKUP(F428,Config!$A$2:$A$15,Config!$B$2:$B$15),_xlfn.XLOOKUP(G428,Config!$C$2:$C$7,Config!$D$2:$D$7),_xlfn.XLOOKUP(H428,Config!$E$2:$E$5,Config!$F$2:$F$5),_xlfn.XLOOKUP(I428,Config!$G$2:$G$3,Config!$H$2:$H$3),_xlfn.XLOOKUP(J428,Config!$I$2:$I$3,Config!$J$2:$J$3),_xlfn.XLOOKUP(K428,Config!$K$2:$K$3,Config!$L$2:$L$3),_xlfn.XLOOKUP(L428,Config!$M$2:$M$3,Config!$N$2:$N$3),_xlfn.XLOOKUP(M428,Config!$O$2:$O$6,Config!$P$2:$P$6))</f>
        <v>2.5434622079999998E-3</v>
      </c>
      <c r="Q428">
        <v>1</v>
      </c>
      <c r="R428" s="16">
        <f>P428*Q428*Config!$B$19</f>
        <v>1.8692321312015711E-3</v>
      </c>
      <c r="S428" t="s">
        <v>1288</v>
      </c>
    </row>
    <row r="429" spans="1:19" x14ac:dyDescent="0.45">
      <c r="A429" s="3">
        <v>428</v>
      </c>
      <c r="B429" s="3" t="s">
        <v>190</v>
      </c>
      <c r="C429" s="3" t="s">
        <v>759</v>
      </c>
      <c r="D429" s="3" t="s">
        <v>619</v>
      </c>
      <c r="E429" t="s">
        <v>154</v>
      </c>
      <c r="F429" t="s">
        <v>985</v>
      </c>
      <c r="G429" t="s">
        <v>831</v>
      </c>
      <c r="H429" t="s">
        <v>768</v>
      </c>
      <c r="I429" s="12" t="s">
        <v>1107</v>
      </c>
      <c r="J429" s="12"/>
      <c r="K429" s="12" t="s">
        <v>1062</v>
      </c>
      <c r="L429" s="12" t="s">
        <v>1110</v>
      </c>
      <c r="M429" s="12" t="s">
        <v>838</v>
      </c>
      <c r="N429" t="s">
        <v>1232</v>
      </c>
      <c r="P429" s="16">
        <f>PRODUCT(_xlfn.XLOOKUP(F429,Config!$A$2:$A$15,Config!$B$2:$B$15),_xlfn.XLOOKUP(G429,Config!$C$2:$C$7,Config!$D$2:$D$7),_xlfn.XLOOKUP(H429,Config!$E$2:$E$5,Config!$F$2:$F$5),_xlfn.XLOOKUP(I429,Config!$G$2:$G$3,Config!$H$2:$H$3),_xlfn.XLOOKUP(J429,Config!$I$2:$I$3,Config!$J$2:$J$3),_xlfn.XLOOKUP(K429,Config!$K$2:$K$3,Config!$L$2:$L$3),_xlfn.XLOOKUP(L429,Config!$M$2:$M$3,Config!$N$2:$N$3),_xlfn.XLOOKUP(M429,Config!$O$2:$O$6,Config!$P$2:$P$6))</f>
        <v>2.5434622079999998E-3</v>
      </c>
      <c r="Q429">
        <v>1</v>
      </c>
      <c r="R429" s="16">
        <f>P429*Q429*Config!$B$19</f>
        <v>1.8692321312015711E-3</v>
      </c>
      <c r="S429" t="s">
        <v>1288</v>
      </c>
    </row>
    <row r="430" spans="1:19" x14ac:dyDescent="0.45">
      <c r="A430" s="3">
        <v>429</v>
      </c>
      <c r="B430" s="3" t="s">
        <v>660</v>
      </c>
      <c r="C430" s="3" t="s">
        <v>1249</v>
      </c>
      <c r="D430" s="3" t="s">
        <v>558</v>
      </c>
      <c r="E430" t="s">
        <v>105</v>
      </c>
      <c r="F430" t="s">
        <v>1010</v>
      </c>
      <c r="G430" t="s">
        <v>831</v>
      </c>
      <c r="H430" t="s">
        <v>768</v>
      </c>
      <c r="I430" s="12" t="s">
        <v>1107</v>
      </c>
      <c r="J430" s="12"/>
      <c r="K430" s="12" t="s">
        <v>1062</v>
      </c>
      <c r="L430" s="12" t="s">
        <v>1110</v>
      </c>
      <c r="M430" s="12" t="s">
        <v>838</v>
      </c>
      <c r="N430" s="14" t="s">
        <v>1250</v>
      </c>
      <c r="O430" t="s">
        <v>1251</v>
      </c>
      <c r="P430" s="16">
        <f>PRODUCT(_xlfn.XLOOKUP(F430,Config!$A$2:$A$15,Config!$B$2:$B$15),_xlfn.XLOOKUP(G430,Config!$C$2:$C$7,Config!$D$2:$D$7),_xlfn.XLOOKUP(H430,Config!$E$2:$E$5,Config!$F$2:$F$5),_xlfn.XLOOKUP(I430,Config!$G$2:$G$3,Config!$H$2:$H$3),_xlfn.XLOOKUP(J430,Config!$I$2:$I$3,Config!$J$2:$J$3),_xlfn.XLOOKUP(K430,Config!$K$2:$K$3,Config!$L$2:$L$3),_xlfn.XLOOKUP(L430,Config!$M$2:$M$3,Config!$N$2:$N$3),_xlfn.XLOOKUP(M430,Config!$O$2:$O$6,Config!$P$2:$P$6))</f>
        <v>1.974529872E-3</v>
      </c>
      <c r="Q430">
        <v>1</v>
      </c>
      <c r="R430" s="16">
        <f>P430*Q430*Config!$B$19</f>
        <v>1.451114417643325E-3</v>
      </c>
      <c r="S430" t="s">
        <v>1288</v>
      </c>
    </row>
    <row r="431" spans="1:19" x14ac:dyDescent="0.45">
      <c r="A431" s="3">
        <v>430</v>
      </c>
      <c r="B431" s="3" t="s">
        <v>190</v>
      </c>
      <c r="C431" s="3" t="s">
        <v>1255</v>
      </c>
      <c r="D431" s="3" t="s">
        <v>619</v>
      </c>
      <c r="E431" t="s">
        <v>154</v>
      </c>
      <c r="F431" t="s">
        <v>1010</v>
      </c>
      <c r="G431" t="s">
        <v>831</v>
      </c>
      <c r="H431" t="s">
        <v>768</v>
      </c>
      <c r="I431" s="12" t="s">
        <v>1107</v>
      </c>
      <c r="J431" s="12"/>
      <c r="K431" s="12" t="s">
        <v>1062</v>
      </c>
      <c r="L431" s="12" t="s">
        <v>1110</v>
      </c>
      <c r="M431" s="12" t="s">
        <v>838</v>
      </c>
      <c r="N431" s="14" t="s">
        <v>1278</v>
      </c>
      <c r="O431" t="s">
        <v>1254</v>
      </c>
      <c r="P431" s="16">
        <f>PRODUCT(_xlfn.XLOOKUP(F431,Config!$A$2:$A$15,Config!$B$2:$B$15),_xlfn.XLOOKUP(G431,Config!$C$2:$C$7,Config!$D$2:$D$7),_xlfn.XLOOKUP(H431,Config!$E$2:$E$5,Config!$F$2:$F$5),_xlfn.XLOOKUP(I431,Config!$G$2:$G$3,Config!$H$2:$H$3),_xlfn.XLOOKUP(J431,Config!$I$2:$I$3,Config!$J$2:$J$3),_xlfn.XLOOKUP(K431,Config!$K$2:$K$3,Config!$L$2:$L$3),_xlfn.XLOOKUP(L431,Config!$M$2:$M$3,Config!$N$2:$N$3),_xlfn.XLOOKUP(M431,Config!$O$2:$O$6,Config!$P$2:$P$6))</f>
        <v>1.974529872E-3</v>
      </c>
      <c r="Q431">
        <v>1</v>
      </c>
      <c r="R431" s="16">
        <f>P431*Q431*Config!$B$19</f>
        <v>1.451114417643325E-3</v>
      </c>
      <c r="S431" t="s">
        <v>1288</v>
      </c>
    </row>
    <row r="432" spans="1:19" x14ac:dyDescent="0.45">
      <c r="A432" s="3">
        <v>431</v>
      </c>
      <c r="B432" s="3" t="s">
        <v>660</v>
      </c>
      <c r="C432" s="3" t="s">
        <v>750</v>
      </c>
      <c r="D432" s="3" t="s">
        <v>558</v>
      </c>
      <c r="E432" t="s">
        <v>105</v>
      </c>
      <c r="F432" t="s">
        <v>971</v>
      </c>
      <c r="G432" t="s">
        <v>831</v>
      </c>
      <c r="H432" t="s">
        <v>768</v>
      </c>
      <c r="I432" s="12" t="s">
        <v>1107</v>
      </c>
      <c r="J432" s="12"/>
      <c r="K432" s="12" t="s">
        <v>1062</v>
      </c>
      <c r="L432" s="12" t="s">
        <v>1110</v>
      </c>
      <c r="M432" s="12" t="s">
        <v>838</v>
      </c>
      <c r="N432" s="14" t="s">
        <v>1003</v>
      </c>
      <c r="P432" s="16">
        <f>PRODUCT(_xlfn.XLOOKUP(F432,Config!$A$2:$A$15,Config!$B$2:$B$15),_xlfn.XLOOKUP(G432,Config!$C$2:$C$7,Config!$D$2:$D$7),_xlfn.XLOOKUP(H432,Config!$E$2:$E$5,Config!$F$2:$F$5),_xlfn.XLOOKUP(I432,Config!$G$2:$G$3,Config!$H$2:$H$3),_xlfn.XLOOKUP(J432,Config!$I$2:$I$3,Config!$J$2:$J$3),_xlfn.XLOOKUP(K432,Config!$K$2:$K$3,Config!$L$2:$L$3),_xlfn.XLOOKUP(L432,Config!$M$2:$M$3,Config!$N$2:$N$3),_xlfn.XLOOKUP(M432,Config!$O$2:$O$6,Config!$P$2:$P$6))</f>
        <v>1.6565970959999999E-3</v>
      </c>
      <c r="Q432">
        <v>1</v>
      </c>
      <c r="R432" s="16">
        <f>P432*Q432*Config!$B$19</f>
        <v>1.2174604012431286E-3</v>
      </c>
      <c r="S432" t="s">
        <v>1288</v>
      </c>
    </row>
    <row r="433" spans="1:19" x14ac:dyDescent="0.45">
      <c r="A433" s="3">
        <v>432</v>
      </c>
      <c r="B433" s="3" t="s">
        <v>190</v>
      </c>
      <c r="C433" s="3" t="s">
        <v>759</v>
      </c>
      <c r="D433" s="3" t="s">
        <v>619</v>
      </c>
      <c r="E433" t="s">
        <v>154</v>
      </c>
      <c r="F433" t="s">
        <v>971</v>
      </c>
      <c r="G433" t="s">
        <v>831</v>
      </c>
      <c r="H433" t="s">
        <v>768</v>
      </c>
      <c r="I433" s="12" t="s">
        <v>1107</v>
      </c>
      <c r="J433" s="12"/>
      <c r="K433" s="12" t="s">
        <v>1062</v>
      </c>
      <c r="L433" s="12" t="s">
        <v>1110</v>
      </c>
      <c r="M433" s="12" t="s">
        <v>838</v>
      </c>
      <c r="N433" t="s">
        <v>1232</v>
      </c>
      <c r="P433" s="16">
        <f>PRODUCT(_xlfn.XLOOKUP(F433,Config!$A$2:$A$15,Config!$B$2:$B$15),_xlfn.XLOOKUP(G433,Config!$C$2:$C$7,Config!$D$2:$D$7),_xlfn.XLOOKUP(H433,Config!$E$2:$E$5,Config!$F$2:$F$5),_xlfn.XLOOKUP(I433,Config!$G$2:$G$3,Config!$H$2:$H$3),_xlfn.XLOOKUP(J433,Config!$I$2:$I$3,Config!$J$2:$J$3),_xlfn.XLOOKUP(K433,Config!$K$2:$K$3,Config!$L$2:$L$3),_xlfn.XLOOKUP(L433,Config!$M$2:$M$3,Config!$N$2:$N$3),_xlfn.XLOOKUP(M433,Config!$O$2:$O$6,Config!$P$2:$P$6))</f>
        <v>1.6565970959999999E-3</v>
      </c>
      <c r="Q433">
        <v>1</v>
      </c>
      <c r="R433" s="16">
        <f>P433*Q433*Config!$B$19</f>
        <v>1.2174604012431286E-3</v>
      </c>
      <c r="S433" t="s">
        <v>1288</v>
      </c>
    </row>
    <row r="434" spans="1:19" x14ac:dyDescent="0.45">
      <c r="A434" s="3">
        <v>433</v>
      </c>
      <c r="B434" s="3" t="s">
        <v>660</v>
      </c>
      <c r="C434" s="3" t="s">
        <v>750</v>
      </c>
      <c r="D434" s="3" t="s">
        <v>558</v>
      </c>
      <c r="E434" t="s">
        <v>105</v>
      </c>
      <c r="F434" t="s">
        <v>986</v>
      </c>
      <c r="G434" t="s">
        <v>831</v>
      </c>
      <c r="H434" t="s">
        <v>768</v>
      </c>
      <c r="I434" s="12" t="s">
        <v>1107</v>
      </c>
      <c r="J434" s="12"/>
      <c r="K434" s="12" t="s">
        <v>1062</v>
      </c>
      <c r="L434" s="12" t="s">
        <v>1110</v>
      </c>
      <c r="M434" s="12" t="s">
        <v>838</v>
      </c>
      <c r="N434" s="14" t="s">
        <v>1003</v>
      </c>
      <c r="O434" t="s">
        <v>1256</v>
      </c>
      <c r="P434" s="16">
        <f>PRODUCT(_xlfn.XLOOKUP(F434,Config!$A$2:$A$15,Config!$B$2:$B$15),_xlfn.XLOOKUP(G434,Config!$C$2:$C$7,Config!$D$2:$D$7),_xlfn.XLOOKUP(H434,Config!$E$2:$E$5,Config!$F$2:$F$5),_xlfn.XLOOKUP(I434,Config!$G$2:$G$3,Config!$H$2:$H$3),_xlfn.XLOOKUP(J434,Config!$I$2:$I$3,Config!$J$2:$J$3),_xlfn.XLOOKUP(K434,Config!$K$2:$K$3,Config!$L$2:$L$3),_xlfn.XLOOKUP(L434,Config!$M$2:$M$3,Config!$N$2:$N$3),_xlfn.XLOOKUP(M434,Config!$O$2:$O$6,Config!$P$2:$P$6))</f>
        <v>1.4306974919999999E-3</v>
      </c>
      <c r="Q434">
        <v>1</v>
      </c>
      <c r="R434" s="16">
        <f>P434*Q434*Config!$B$19</f>
        <v>1.0514430738008838E-3</v>
      </c>
      <c r="S434" t="s">
        <v>1288</v>
      </c>
    </row>
    <row r="435" spans="1:19" x14ac:dyDescent="0.45">
      <c r="A435" s="3">
        <v>434</v>
      </c>
      <c r="B435" s="3" t="s">
        <v>190</v>
      </c>
      <c r="C435" s="3" t="s">
        <v>759</v>
      </c>
      <c r="D435" s="3" t="s">
        <v>619</v>
      </c>
      <c r="E435" t="s">
        <v>154</v>
      </c>
      <c r="F435" t="s">
        <v>986</v>
      </c>
      <c r="G435" t="s">
        <v>831</v>
      </c>
      <c r="H435" t="s">
        <v>768</v>
      </c>
      <c r="I435" s="12" t="s">
        <v>1107</v>
      </c>
      <c r="J435" s="12"/>
      <c r="K435" s="12" t="s">
        <v>1062</v>
      </c>
      <c r="L435" s="12" t="s">
        <v>1110</v>
      </c>
      <c r="M435" s="12" t="s">
        <v>838</v>
      </c>
      <c r="N435" t="s">
        <v>1232</v>
      </c>
      <c r="P435" s="16">
        <f>PRODUCT(_xlfn.XLOOKUP(F435,Config!$A$2:$A$15,Config!$B$2:$B$15),_xlfn.XLOOKUP(G435,Config!$C$2:$C$7,Config!$D$2:$D$7),_xlfn.XLOOKUP(H435,Config!$E$2:$E$5,Config!$F$2:$F$5),_xlfn.XLOOKUP(I435,Config!$G$2:$G$3,Config!$H$2:$H$3),_xlfn.XLOOKUP(J435,Config!$I$2:$I$3,Config!$J$2:$J$3),_xlfn.XLOOKUP(K435,Config!$K$2:$K$3,Config!$L$2:$L$3),_xlfn.XLOOKUP(L435,Config!$M$2:$M$3,Config!$N$2:$N$3),_xlfn.XLOOKUP(M435,Config!$O$2:$O$6,Config!$P$2:$P$6))</f>
        <v>1.4306974919999999E-3</v>
      </c>
      <c r="Q435">
        <v>1</v>
      </c>
      <c r="R435" s="16">
        <f>P435*Q435*Config!$B$19</f>
        <v>1.0514430738008838E-3</v>
      </c>
      <c r="S435" t="s">
        <v>1288</v>
      </c>
    </row>
    <row r="436" spans="1:19" x14ac:dyDescent="0.45">
      <c r="A436" s="3">
        <v>435</v>
      </c>
      <c r="B436" s="3" t="s">
        <v>660</v>
      </c>
      <c r="C436" s="3" t="s">
        <v>750</v>
      </c>
      <c r="D436" s="3" t="s">
        <v>558</v>
      </c>
      <c r="E436" t="s">
        <v>105</v>
      </c>
      <c r="F436" t="s">
        <v>987</v>
      </c>
      <c r="G436" t="s">
        <v>831</v>
      </c>
      <c r="H436" t="s">
        <v>768</v>
      </c>
      <c r="I436" s="12" t="s">
        <v>1107</v>
      </c>
      <c r="J436" s="12"/>
      <c r="K436" s="12" t="s">
        <v>1062</v>
      </c>
      <c r="L436" s="12" t="s">
        <v>1110</v>
      </c>
      <c r="M436" s="12" t="s">
        <v>838</v>
      </c>
      <c r="N436" s="14" t="s">
        <v>1003</v>
      </c>
      <c r="P436" s="16">
        <f>PRODUCT(_xlfn.XLOOKUP(F436,Config!$A$2:$A$15,Config!$B$2:$B$15),_xlfn.XLOOKUP(G436,Config!$C$2:$C$7,Config!$D$2:$D$7),_xlfn.XLOOKUP(H436,Config!$E$2:$E$5,Config!$F$2:$F$5),_xlfn.XLOOKUP(I436,Config!$G$2:$G$3,Config!$H$2:$H$3),_xlfn.XLOOKUP(J436,Config!$I$2:$I$3,Config!$J$2:$J$3),_xlfn.XLOOKUP(K436,Config!$K$2:$K$3,Config!$L$2:$L$3),_xlfn.XLOOKUP(L436,Config!$M$2:$M$3,Config!$N$2:$N$3),_xlfn.XLOOKUP(M436,Config!$O$2:$O$6,Config!$P$2:$P$6))</f>
        <v>7.4044870199999979E-4</v>
      </c>
      <c r="Q436">
        <v>1</v>
      </c>
      <c r="R436" s="16">
        <f>P436*Q436*Config!$B$19</f>
        <v>5.4416790661624673E-4</v>
      </c>
      <c r="S436" t="s">
        <v>1288</v>
      </c>
    </row>
    <row r="437" spans="1:19" x14ac:dyDescent="0.45">
      <c r="A437" s="3">
        <v>436</v>
      </c>
      <c r="B437" s="3" t="s">
        <v>190</v>
      </c>
      <c r="C437" s="3" t="s">
        <v>759</v>
      </c>
      <c r="D437" s="3" t="s">
        <v>619</v>
      </c>
      <c r="E437" t="s">
        <v>154</v>
      </c>
      <c r="F437" t="s">
        <v>987</v>
      </c>
      <c r="G437" t="s">
        <v>831</v>
      </c>
      <c r="H437" t="s">
        <v>768</v>
      </c>
      <c r="I437" s="12" t="s">
        <v>1107</v>
      </c>
      <c r="J437" s="12"/>
      <c r="K437" s="12" t="s">
        <v>1062</v>
      </c>
      <c r="L437" s="12" t="s">
        <v>1110</v>
      </c>
      <c r="M437" s="12" t="s">
        <v>838</v>
      </c>
      <c r="N437" t="s">
        <v>1232</v>
      </c>
      <c r="P437" s="16">
        <f>PRODUCT(_xlfn.XLOOKUP(F437,Config!$A$2:$A$15,Config!$B$2:$B$15),_xlfn.XLOOKUP(G437,Config!$C$2:$C$7,Config!$D$2:$D$7),_xlfn.XLOOKUP(H437,Config!$E$2:$E$5,Config!$F$2:$F$5),_xlfn.XLOOKUP(I437,Config!$G$2:$G$3,Config!$H$2:$H$3),_xlfn.XLOOKUP(J437,Config!$I$2:$I$3,Config!$J$2:$J$3),_xlfn.XLOOKUP(K437,Config!$K$2:$K$3,Config!$L$2:$L$3),_xlfn.XLOOKUP(L437,Config!$M$2:$M$3,Config!$N$2:$N$3),_xlfn.XLOOKUP(M437,Config!$O$2:$O$6,Config!$P$2:$P$6))</f>
        <v>7.4044870199999979E-4</v>
      </c>
      <c r="Q437">
        <v>1</v>
      </c>
      <c r="R437" s="16">
        <f>P437*Q437*Config!$B$19</f>
        <v>5.4416790661624673E-4</v>
      </c>
      <c r="S437" t="s">
        <v>1288</v>
      </c>
    </row>
    <row r="438" spans="1:19" x14ac:dyDescent="0.45">
      <c r="A438" s="3">
        <v>437</v>
      </c>
      <c r="B438" s="3" t="s">
        <v>1150</v>
      </c>
      <c r="C438" s="3" t="s">
        <v>1140</v>
      </c>
      <c r="D438" s="3" t="s">
        <v>1145</v>
      </c>
      <c r="E438" t="s">
        <v>1132</v>
      </c>
      <c r="F438" t="s">
        <v>1010</v>
      </c>
      <c r="G438" t="s">
        <v>830</v>
      </c>
      <c r="H438" t="s">
        <v>808</v>
      </c>
      <c r="I438" s="12" t="s">
        <v>1107</v>
      </c>
      <c r="K438" s="12" t="s">
        <v>1062</v>
      </c>
      <c r="L438" s="12" t="s">
        <v>1110</v>
      </c>
      <c r="M438" s="12" t="s">
        <v>838</v>
      </c>
      <c r="N438" s="14" t="s">
        <v>1129</v>
      </c>
      <c r="O438" s="14" t="s">
        <v>1138</v>
      </c>
      <c r="P438" s="16">
        <f>PRODUCT(_xlfn.XLOOKUP(F438,Config!$A$2:$A$15,Config!$B$2:$B$15),_xlfn.XLOOKUP(G438,Config!$C$2:$C$7,Config!$D$2:$D$7),_xlfn.XLOOKUP(H438,Config!$E$2:$E$5,Config!$F$2:$F$5),_xlfn.XLOOKUP(I438,Config!$G$2:$G$3,Config!$H$2:$H$3),_xlfn.XLOOKUP(J438,Config!$I$2:$I$3,Config!$J$2:$J$3),_xlfn.XLOOKUP(K438,Config!$K$2:$K$3,Config!$L$2:$L$3),_xlfn.XLOOKUP(L438,Config!$M$2:$M$3,Config!$N$2:$N$3),_xlfn.XLOOKUP(M438,Config!$O$2:$O$6,Config!$P$2:$P$6))</f>
        <v>2.7925493904000006E-3</v>
      </c>
      <c r="Q438" s="22">
        <v>1</v>
      </c>
      <c r="R438" s="16">
        <f>P438*Q438*Config!$B$19</f>
        <v>2.0522903906669888E-3</v>
      </c>
    </row>
    <row r="439" spans="1:19" x14ac:dyDescent="0.45">
      <c r="A439" s="7">
        <v>438</v>
      </c>
      <c r="B439" s="7" t="s">
        <v>1247</v>
      </c>
      <c r="C439" s="7" t="s">
        <v>1246</v>
      </c>
      <c r="D439" s="7" t="s">
        <v>1245</v>
      </c>
      <c r="E439" t="s">
        <v>1248</v>
      </c>
      <c r="F439" t="s">
        <v>987</v>
      </c>
      <c r="G439" t="s">
        <v>831</v>
      </c>
      <c r="H439" t="s">
        <v>808</v>
      </c>
      <c r="I439" t="s">
        <v>806</v>
      </c>
      <c r="K439" s="12" t="s">
        <v>1062</v>
      </c>
      <c r="L439" t="s">
        <v>1111</v>
      </c>
      <c r="M439" s="12" t="s">
        <v>838</v>
      </c>
      <c r="N439" t="s">
        <v>997</v>
      </c>
      <c r="P439" s="16">
        <f>PRODUCT(_xlfn.XLOOKUP(F439,Config!$A$2:$A$15,Config!$B$2:$B$15),_xlfn.XLOOKUP(G439,Config!$C$2:$C$7,Config!$D$2:$D$7),_xlfn.XLOOKUP(H439,Config!$E$2:$E$5,Config!$F$2:$F$5),_xlfn.XLOOKUP(I439,Config!$G$2:$G$3,Config!$H$2:$H$3),_xlfn.XLOOKUP(J439,Config!$I$2:$I$3,Config!$J$2:$J$3),_xlfn.XLOOKUP(K439,Config!$K$2:$K$3,Config!$L$2:$L$3),_xlfn.XLOOKUP(L439,Config!$M$2:$M$3,Config!$N$2:$N$3),_xlfn.XLOOKUP(M439,Config!$O$2:$O$6,Config!$P$2:$P$6))</f>
        <v>1.5400088549999996E-4</v>
      </c>
      <c r="Q439" s="22">
        <v>1</v>
      </c>
      <c r="R439" s="16">
        <f>P439*Q439*Config!$B$19</f>
        <v>1.1317777889707653E-4</v>
      </c>
    </row>
    <row r="440" spans="1:19" x14ac:dyDescent="0.45">
      <c r="A440" s="9">
        <v>439</v>
      </c>
      <c r="B440" s="3" t="s">
        <v>1183</v>
      </c>
      <c r="C440" s="9" t="s">
        <v>1200</v>
      </c>
      <c r="D440" s="9" t="s">
        <v>1201</v>
      </c>
      <c r="E440" t="s">
        <v>1182</v>
      </c>
      <c r="F440" t="s">
        <v>987</v>
      </c>
      <c r="G440" t="s">
        <v>830</v>
      </c>
      <c r="H440" t="s">
        <v>808</v>
      </c>
      <c r="I440" s="12" t="s">
        <v>1107</v>
      </c>
      <c r="K440" s="12" t="s">
        <v>1062</v>
      </c>
      <c r="L440" s="12" t="s">
        <v>1110</v>
      </c>
      <c r="M440" s="12" t="s">
        <v>838</v>
      </c>
      <c r="N440" s="12" t="s">
        <v>1190</v>
      </c>
      <c r="O440" s="14" t="s">
        <v>1189</v>
      </c>
      <c r="P440" s="16">
        <f>PRODUCT(_xlfn.XLOOKUP(F440,Config!$A$2:$A$15,Config!$B$2:$B$15),_xlfn.XLOOKUP(G440,Config!$C$2:$C$7,Config!$D$2:$D$7),_xlfn.XLOOKUP(H440,Config!$E$2:$E$5,Config!$F$2:$F$5),_xlfn.XLOOKUP(I440,Config!$G$2:$G$3,Config!$H$2:$H$3),_xlfn.XLOOKUP(J440,Config!$I$2:$I$3,Config!$J$2:$J$3),_xlfn.XLOOKUP(K440,Config!$K$2:$K$3,Config!$L$2:$L$3),_xlfn.XLOOKUP(L440,Config!$M$2:$M$3,Config!$N$2:$N$3),_xlfn.XLOOKUP(M440,Config!$O$2:$O$6,Config!$P$2:$P$6))</f>
        <v>1.0472060213999998E-3</v>
      </c>
      <c r="Q440" s="22">
        <v>1</v>
      </c>
      <c r="R440" s="16">
        <f>P440*Q440*Config!$B$19</f>
        <v>7.6960889650012042E-4</v>
      </c>
    </row>
    <row r="441" spans="1:19" x14ac:dyDescent="0.45">
      <c r="A441" s="7">
        <v>440</v>
      </c>
      <c r="B441" s="7" t="s">
        <v>663</v>
      </c>
      <c r="C441" s="3" t="s">
        <v>1264</v>
      </c>
      <c r="D441" s="3" t="s">
        <v>561</v>
      </c>
      <c r="E441" t="s">
        <v>982</v>
      </c>
      <c r="F441" t="s">
        <v>1010</v>
      </c>
      <c r="G441" t="s">
        <v>831</v>
      </c>
      <c r="H441" t="s">
        <v>808</v>
      </c>
      <c r="I441" s="12" t="s">
        <v>1107</v>
      </c>
      <c r="J441" s="12"/>
      <c r="K441" s="12" t="s">
        <v>1062</v>
      </c>
      <c r="L441" s="12" t="s">
        <v>1111</v>
      </c>
      <c r="M441" s="12" t="s">
        <v>838</v>
      </c>
      <c r="N441" s="14" t="s">
        <v>1259</v>
      </c>
      <c r="O441" t="s">
        <v>1263</v>
      </c>
      <c r="P441" s="16">
        <f>PRODUCT(_xlfn.XLOOKUP(F441,Config!$A$2:$A$15,Config!$B$2:$B$15),_xlfn.XLOOKUP(G441,Config!$C$2:$C$7,Config!$D$2:$D$7),_xlfn.XLOOKUP(H441,Config!$E$2:$E$5,Config!$F$2:$F$5),_xlfn.XLOOKUP(I441,Config!$G$2:$G$3,Config!$H$2:$H$3),_xlfn.XLOOKUP(J441,Config!$I$2:$I$3,Config!$J$2:$J$3),_xlfn.XLOOKUP(K441,Config!$K$2:$K$3,Config!$L$2:$L$3),_xlfn.XLOOKUP(L441,Config!$M$2:$M$3,Config!$N$2:$N$3),_xlfn.XLOOKUP(M441,Config!$O$2:$O$6,Config!$P$2:$P$6))</f>
        <v>9.5822773199999997E-4</v>
      </c>
      <c r="R441" s="16">
        <f>P441*Q441*Config!$B$19</f>
        <v>0</v>
      </c>
    </row>
    <row r="442" spans="1:19" x14ac:dyDescent="0.45">
      <c r="A442" s="7">
        <v>441</v>
      </c>
      <c r="B442" s="7" t="s">
        <v>663</v>
      </c>
      <c r="C442" s="3" t="s">
        <v>1257</v>
      </c>
      <c r="D442" s="3" t="s">
        <v>561</v>
      </c>
      <c r="E442" t="s">
        <v>982</v>
      </c>
      <c r="F442" t="s">
        <v>985</v>
      </c>
      <c r="G442" t="s">
        <v>831</v>
      </c>
      <c r="H442" t="s">
        <v>808</v>
      </c>
      <c r="I442" s="12" t="s">
        <v>1107</v>
      </c>
      <c r="J442" s="12"/>
      <c r="K442" s="12" t="s">
        <v>1062</v>
      </c>
      <c r="L442" s="12" t="s">
        <v>1111</v>
      </c>
      <c r="M442" s="12" t="s">
        <v>838</v>
      </c>
      <c r="N442" s="14" t="s">
        <v>1259</v>
      </c>
      <c r="O442" t="s">
        <v>1261</v>
      </c>
      <c r="P442" s="16">
        <f>PRODUCT(_xlfn.XLOOKUP(F442,Config!$A$2:$A$15,Config!$B$2:$B$15),_xlfn.XLOOKUP(G442,Config!$C$2:$C$7,Config!$D$2:$D$7),_xlfn.XLOOKUP(H442,Config!$E$2:$E$5,Config!$F$2:$F$5),_xlfn.XLOOKUP(I442,Config!$G$2:$G$3,Config!$H$2:$H$3),_xlfn.XLOOKUP(J442,Config!$I$2:$I$3,Config!$J$2:$J$3),_xlfn.XLOOKUP(K442,Config!$K$2:$K$3,Config!$L$2:$L$3),_xlfn.XLOOKUP(L442,Config!$M$2:$M$3,Config!$N$2:$N$3),_xlfn.XLOOKUP(M442,Config!$O$2:$O$6,Config!$P$2:$P$6))</f>
        <v>1.234327248E-3</v>
      </c>
      <c r="R442" s="16">
        <f>P442*Q442*Config!$B$19</f>
        <v>0</v>
      </c>
    </row>
    <row r="443" spans="1:19" x14ac:dyDescent="0.45">
      <c r="A443" s="7">
        <v>442</v>
      </c>
      <c r="B443" s="7" t="s">
        <v>663</v>
      </c>
      <c r="C443" s="3" t="s">
        <v>1257</v>
      </c>
      <c r="D443" s="3" t="s">
        <v>561</v>
      </c>
      <c r="E443" t="s">
        <v>982</v>
      </c>
      <c r="F443" t="s">
        <v>984</v>
      </c>
      <c r="G443" t="s">
        <v>831</v>
      </c>
      <c r="H443" t="s">
        <v>808</v>
      </c>
      <c r="I443" s="12" t="s">
        <v>1107</v>
      </c>
      <c r="J443" s="12"/>
      <c r="K443" s="12" t="s">
        <v>1062</v>
      </c>
      <c r="L443" s="12" t="s">
        <v>1111</v>
      </c>
      <c r="M443" s="12" t="s">
        <v>838</v>
      </c>
      <c r="N443" s="14" t="s">
        <v>1259</v>
      </c>
      <c r="O443" t="s">
        <v>109</v>
      </c>
      <c r="P443" s="16">
        <f>PRODUCT(_xlfn.XLOOKUP(F443,Config!$A$2:$A$15,Config!$B$2:$B$15),_xlfn.XLOOKUP(G443,Config!$C$2:$C$7,Config!$D$2:$D$7),_xlfn.XLOOKUP(H443,Config!$E$2:$E$5,Config!$F$2:$F$5),_xlfn.XLOOKUP(I443,Config!$G$2:$G$3,Config!$H$2:$H$3),_xlfn.XLOOKUP(J443,Config!$I$2:$I$3,Config!$J$2:$J$3),_xlfn.XLOOKUP(K443,Config!$K$2:$K$3,Config!$L$2:$L$3),_xlfn.XLOOKUP(L443,Config!$M$2:$M$3,Config!$N$2:$N$3),_xlfn.XLOOKUP(M443,Config!$O$2:$O$6,Config!$P$2:$P$6))</f>
        <v>1.429221024E-3</v>
      </c>
      <c r="R443" s="16">
        <f>P443*Q443*Config!$B$19</f>
        <v>0</v>
      </c>
    </row>
    <row r="444" spans="1:19" x14ac:dyDescent="0.45">
      <c r="A444" s="7">
        <v>443</v>
      </c>
      <c r="B444" s="7" t="s">
        <v>663</v>
      </c>
      <c r="C444" s="3" t="s">
        <v>617</v>
      </c>
      <c r="D444" s="3" t="s">
        <v>561</v>
      </c>
      <c r="E444" t="s">
        <v>982</v>
      </c>
      <c r="F444" t="s">
        <v>984</v>
      </c>
      <c r="G444" t="s">
        <v>831</v>
      </c>
      <c r="H444" t="s">
        <v>808</v>
      </c>
      <c r="I444" s="12" t="s">
        <v>1107</v>
      </c>
      <c r="J444" s="12"/>
      <c r="K444" s="12" t="s">
        <v>1062</v>
      </c>
      <c r="L444" s="12" t="s">
        <v>1111</v>
      </c>
      <c r="M444" s="12" t="s">
        <v>838</v>
      </c>
      <c r="N444" s="14" t="s">
        <v>1003</v>
      </c>
      <c r="O444" t="s">
        <v>1258</v>
      </c>
      <c r="P444" s="16">
        <f>PRODUCT(_xlfn.XLOOKUP(F444,Config!$A$2:$A$15,Config!$B$2:$B$15),_xlfn.XLOOKUP(G444,Config!$C$2:$C$7,Config!$D$2:$D$7),_xlfn.XLOOKUP(H444,Config!$E$2:$E$5,Config!$F$2:$F$5),_xlfn.XLOOKUP(I444,Config!$G$2:$G$3,Config!$H$2:$H$3),_xlfn.XLOOKUP(J444,Config!$I$2:$I$3,Config!$J$2:$J$3),_xlfn.XLOOKUP(K444,Config!$K$2:$K$3,Config!$L$2:$L$3),_xlfn.XLOOKUP(L444,Config!$M$2:$M$3,Config!$N$2:$N$3),_xlfn.XLOOKUP(M444,Config!$O$2:$O$6,Config!$P$2:$P$6))</f>
        <v>1.429221024E-3</v>
      </c>
      <c r="Q444">
        <v>1</v>
      </c>
      <c r="R444" s="16">
        <f>P444*Q444*Config!$B$19</f>
        <v>1.0503579932293658E-3</v>
      </c>
      <c r="S444" t="s">
        <v>1288</v>
      </c>
    </row>
    <row r="445" spans="1:19" x14ac:dyDescent="0.45">
      <c r="A445" s="3">
        <v>444</v>
      </c>
      <c r="B445" s="3" t="s">
        <v>663</v>
      </c>
      <c r="C445" s="3" t="s">
        <v>617</v>
      </c>
      <c r="D445" s="3" t="s">
        <v>561</v>
      </c>
      <c r="E445" t="s">
        <v>982</v>
      </c>
      <c r="F445" t="s">
        <v>985</v>
      </c>
      <c r="G445" t="s">
        <v>831</v>
      </c>
      <c r="H445" t="s">
        <v>808</v>
      </c>
      <c r="I445" s="12" t="s">
        <v>1107</v>
      </c>
      <c r="J445" s="12"/>
      <c r="K445" s="12" t="s">
        <v>1062</v>
      </c>
      <c r="L445" s="12" t="s">
        <v>1111</v>
      </c>
      <c r="M445" s="12" t="s">
        <v>838</v>
      </c>
      <c r="N445" s="14" t="s">
        <v>1003</v>
      </c>
      <c r="O445" t="s">
        <v>1260</v>
      </c>
      <c r="P445" s="16">
        <f>PRODUCT(_xlfn.XLOOKUP(F445,Config!$A$2:$A$15,Config!$B$2:$B$15),_xlfn.XLOOKUP(G445,Config!$C$2:$C$7,Config!$D$2:$D$7),_xlfn.XLOOKUP(H445,Config!$E$2:$E$5,Config!$F$2:$F$5),_xlfn.XLOOKUP(I445,Config!$G$2:$G$3,Config!$H$2:$H$3),_xlfn.XLOOKUP(J445,Config!$I$2:$I$3,Config!$J$2:$J$3),_xlfn.XLOOKUP(K445,Config!$K$2:$K$3,Config!$L$2:$L$3),_xlfn.XLOOKUP(L445,Config!$M$2:$M$3,Config!$N$2:$N$3),_xlfn.XLOOKUP(M445,Config!$O$2:$O$6,Config!$P$2:$P$6))</f>
        <v>1.234327248E-3</v>
      </c>
      <c r="Q445">
        <v>1</v>
      </c>
      <c r="R445" s="16">
        <f>P445*Q445*Config!$B$19</f>
        <v>9.0712735778899784E-4</v>
      </c>
      <c r="S445" t="s">
        <v>1288</v>
      </c>
    </row>
    <row r="446" spans="1:19" x14ac:dyDescent="0.45">
      <c r="A446" s="3">
        <v>445</v>
      </c>
      <c r="B446" s="3" t="s">
        <v>663</v>
      </c>
      <c r="C446" s="3" t="s">
        <v>617</v>
      </c>
      <c r="D446" s="3" t="s">
        <v>561</v>
      </c>
      <c r="E446" t="s">
        <v>982</v>
      </c>
      <c r="F446" t="s">
        <v>1010</v>
      </c>
      <c r="G446" t="s">
        <v>831</v>
      </c>
      <c r="H446" t="s">
        <v>808</v>
      </c>
      <c r="I446" s="12" t="s">
        <v>1107</v>
      </c>
      <c r="J446" s="12"/>
      <c r="K446" s="12" t="s">
        <v>1062</v>
      </c>
      <c r="L446" s="12" t="s">
        <v>1111</v>
      </c>
      <c r="M446" s="12" t="s">
        <v>838</v>
      </c>
      <c r="N446" s="14" t="s">
        <v>1003</v>
      </c>
      <c r="O446" t="s">
        <v>1262</v>
      </c>
      <c r="P446" s="16">
        <f>PRODUCT(_xlfn.XLOOKUP(F446,Config!$A$2:$A$15,Config!$B$2:$B$15),_xlfn.XLOOKUP(G446,Config!$C$2:$C$7,Config!$D$2:$D$7),_xlfn.XLOOKUP(H446,Config!$E$2:$E$5,Config!$F$2:$F$5),_xlfn.XLOOKUP(I446,Config!$G$2:$G$3,Config!$H$2:$H$3),_xlfn.XLOOKUP(J446,Config!$I$2:$I$3,Config!$J$2:$J$3),_xlfn.XLOOKUP(K446,Config!$K$2:$K$3,Config!$L$2:$L$3),_xlfn.XLOOKUP(L446,Config!$M$2:$M$3,Config!$N$2:$N$3),_xlfn.XLOOKUP(M446,Config!$O$2:$O$6,Config!$P$2:$P$6))</f>
        <v>9.5822773199999997E-4</v>
      </c>
      <c r="Q446">
        <v>1</v>
      </c>
      <c r="R446" s="16">
        <f>P446*Q446*Config!$B$19</f>
        <v>7.0421729091514303E-4</v>
      </c>
      <c r="S446" t="s">
        <v>1288</v>
      </c>
    </row>
    <row r="447" spans="1:19" x14ac:dyDescent="0.45">
      <c r="A447" s="3">
        <v>446</v>
      </c>
      <c r="B447" s="3" t="s">
        <v>663</v>
      </c>
      <c r="C447" s="3" t="s">
        <v>617</v>
      </c>
      <c r="D447" s="3" t="s">
        <v>561</v>
      </c>
      <c r="E447" t="s">
        <v>982</v>
      </c>
      <c r="F447" t="s">
        <v>971</v>
      </c>
      <c r="G447" t="s">
        <v>831</v>
      </c>
      <c r="H447" t="s">
        <v>808</v>
      </c>
      <c r="I447" s="12" t="s">
        <v>1107</v>
      </c>
      <c r="J447" s="12"/>
      <c r="K447" s="12" t="s">
        <v>1062</v>
      </c>
      <c r="L447" s="12" t="s">
        <v>1111</v>
      </c>
      <c r="M447" s="12" t="s">
        <v>838</v>
      </c>
      <c r="N447" s="14" t="s">
        <v>1003</v>
      </c>
      <c r="P447" s="16">
        <f>PRODUCT(_xlfn.XLOOKUP(F447,Config!$A$2:$A$15,Config!$B$2:$B$15),_xlfn.XLOOKUP(G447,Config!$C$2:$C$7,Config!$D$2:$D$7),_xlfn.XLOOKUP(H447,Config!$E$2:$E$5,Config!$F$2:$F$5),_xlfn.XLOOKUP(I447,Config!$G$2:$G$3,Config!$H$2:$H$3),_xlfn.XLOOKUP(J447,Config!$I$2:$I$3,Config!$J$2:$J$3),_xlfn.XLOOKUP(K447,Config!$K$2:$K$3,Config!$L$2:$L$3),_xlfn.XLOOKUP(L447,Config!$M$2:$M$3,Config!$N$2:$N$3),_xlfn.XLOOKUP(M447,Config!$O$2:$O$6,Config!$P$2:$P$6))</f>
        <v>8.0393682599999995E-4</v>
      </c>
      <c r="Q447">
        <v>1</v>
      </c>
      <c r="R447" s="16">
        <f>P447*Q447*Config!$B$19</f>
        <v>5.908263711915183E-4</v>
      </c>
      <c r="S447" t="s">
        <v>1288</v>
      </c>
    </row>
    <row r="448" spans="1:19" x14ac:dyDescent="0.45">
      <c r="A448" s="3">
        <v>447</v>
      </c>
      <c r="B448" s="3" t="s">
        <v>663</v>
      </c>
      <c r="C448" s="3" t="s">
        <v>617</v>
      </c>
      <c r="D448" s="3" t="s">
        <v>561</v>
      </c>
      <c r="E448" t="s">
        <v>982</v>
      </c>
      <c r="F448" t="s">
        <v>986</v>
      </c>
      <c r="G448" t="s">
        <v>831</v>
      </c>
      <c r="H448" t="s">
        <v>808</v>
      </c>
      <c r="I448" s="12" t="s">
        <v>1107</v>
      </c>
      <c r="J448" s="12"/>
      <c r="K448" s="12" t="s">
        <v>1062</v>
      </c>
      <c r="L448" s="12" t="s">
        <v>1111</v>
      </c>
      <c r="M448" s="12" t="s">
        <v>838</v>
      </c>
      <c r="N448" s="14" t="s">
        <v>1003</v>
      </c>
      <c r="P448" s="16">
        <f>PRODUCT(_xlfn.XLOOKUP(F448,Config!$A$2:$A$15,Config!$B$2:$B$15),_xlfn.XLOOKUP(G448,Config!$C$2:$C$7,Config!$D$2:$D$7),_xlfn.XLOOKUP(H448,Config!$E$2:$E$5,Config!$F$2:$F$5),_xlfn.XLOOKUP(I448,Config!$G$2:$G$3,Config!$H$2:$H$3),_xlfn.XLOOKUP(J448,Config!$I$2:$I$3,Config!$J$2:$J$3),_xlfn.XLOOKUP(K448,Config!$K$2:$K$3,Config!$L$2:$L$3),_xlfn.XLOOKUP(L448,Config!$M$2:$M$3,Config!$N$2:$N$3),_xlfn.XLOOKUP(M448,Config!$O$2:$O$6,Config!$P$2:$P$6))</f>
        <v>6.9430907699999996E-4</v>
      </c>
      <c r="Q448">
        <v>1</v>
      </c>
      <c r="R448" s="16">
        <f>P448*Q448*Config!$B$19</f>
        <v>5.1025913875631123E-4</v>
      </c>
      <c r="S448" t="s">
        <v>1288</v>
      </c>
    </row>
    <row r="449" spans="1:19" x14ac:dyDescent="0.45">
      <c r="A449" s="3">
        <v>448</v>
      </c>
      <c r="B449" s="3" t="s">
        <v>663</v>
      </c>
      <c r="C449" s="3" t="s">
        <v>617</v>
      </c>
      <c r="D449" s="3" t="s">
        <v>561</v>
      </c>
      <c r="E449" t="s">
        <v>982</v>
      </c>
      <c r="F449" t="s">
        <v>987</v>
      </c>
      <c r="G449" t="s">
        <v>831</v>
      </c>
      <c r="H449" t="s">
        <v>808</v>
      </c>
      <c r="I449" s="12" t="s">
        <v>1107</v>
      </c>
      <c r="J449" s="12"/>
      <c r="K449" s="12" t="s">
        <v>1062</v>
      </c>
      <c r="L449" s="12" t="s">
        <v>1111</v>
      </c>
      <c r="M449" s="12" t="s">
        <v>838</v>
      </c>
      <c r="N449" s="14" t="s">
        <v>1003</v>
      </c>
      <c r="P449" s="16">
        <f>PRODUCT(_xlfn.XLOOKUP(F449,Config!$A$2:$A$15,Config!$B$2:$B$15),_xlfn.XLOOKUP(G449,Config!$C$2:$C$7,Config!$D$2:$D$7),_xlfn.XLOOKUP(H449,Config!$E$2:$E$5,Config!$F$2:$F$5),_xlfn.XLOOKUP(I449,Config!$G$2:$G$3,Config!$H$2:$H$3),_xlfn.XLOOKUP(J449,Config!$I$2:$I$3,Config!$J$2:$J$3),_xlfn.XLOOKUP(K449,Config!$K$2:$K$3,Config!$L$2:$L$3),_xlfn.XLOOKUP(L449,Config!$M$2:$M$3,Config!$N$2:$N$3),_xlfn.XLOOKUP(M449,Config!$O$2:$O$6,Config!$P$2:$P$6))</f>
        <v>3.5933539949999988E-4</v>
      </c>
      <c r="Q449">
        <v>1</v>
      </c>
      <c r="R449" s="16">
        <f>P449*Q449*Config!$B$19</f>
        <v>2.6408148409317857E-4</v>
      </c>
      <c r="S449" t="s">
        <v>1288</v>
      </c>
    </row>
    <row r="450" spans="1:19" x14ac:dyDescent="0.45">
      <c r="A450" s="3">
        <v>449</v>
      </c>
      <c r="B450" s="3" t="s">
        <v>662</v>
      </c>
      <c r="C450" s="3" t="s">
        <v>550</v>
      </c>
      <c r="D450" s="3" t="s">
        <v>560</v>
      </c>
      <c r="E450" t="s">
        <v>107</v>
      </c>
      <c r="F450" t="s">
        <v>984</v>
      </c>
      <c r="G450" t="s">
        <v>831</v>
      </c>
      <c r="H450" t="s">
        <v>783</v>
      </c>
      <c r="I450" s="12" t="s">
        <v>1107</v>
      </c>
      <c r="J450" s="12"/>
      <c r="K450" s="12" t="s">
        <v>1062</v>
      </c>
      <c r="L450" s="12" t="s">
        <v>1110</v>
      </c>
      <c r="M450" s="12" t="s">
        <v>838</v>
      </c>
      <c r="N450" s="14" t="s">
        <v>1003</v>
      </c>
      <c r="O450" t="s">
        <v>128</v>
      </c>
      <c r="P450" s="16">
        <f>PRODUCT(_xlfn.XLOOKUP(F450,Config!$A$2:$A$15,Config!$B$2:$B$15),_xlfn.XLOOKUP(G450,Config!$C$2:$C$7,Config!$D$2:$D$7),_xlfn.XLOOKUP(H450,Config!$E$2:$E$5,Config!$F$2:$F$5),_xlfn.XLOOKUP(I450,Config!$G$2:$G$3,Config!$H$2:$H$3),_xlfn.XLOOKUP(J450,Config!$I$2:$I$3,Config!$J$2:$J$3),_xlfn.XLOOKUP(K450,Config!$K$2:$K$3,Config!$L$2:$L$3),_xlfn.XLOOKUP(L450,Config!$M$2:$M$3,Config!$N$2:$N$3),_xlfn.XLOOKUP(M450,Config!$O$2:$O$6,Config!$P$2:$P$6))</f>
        <v>2.9450615039999994E-3</v>
      </c>
      <c r="Q450">
        <v>1</v>
      </c>
      <c r="R450" s="16">
        <f>P450*Q450*Config!$B$19</f>
        <v>2.1643740466544504E-3</v>
      </c>
      <c r="S450" t="s">
        <v>1288</v>
      </c>
    </row>
    <row r="451" spans="1:19" x14ac:dyDescent="0.45">
      <c r="A451" s="3">
        <v>450</v>
      </c>
      <c r="B451" s="3" t="s">
        <v>189</v>
      </c>
      <c r="C451" s="3" t="s">
        <v>551</v>
      </c>
      <c r="D451" s="3" t="s">
        <v>618</v>
      </c>
      <c r="E451" t="s">
        <v>156</v>
      </c>
      <c r="F451" t="s">
        <v>984</v>
      </c>
      <c r="G451" t="s">
        <v>831</v>
      </c>
      <c r="H451" t="s">
        <v>783</v>
      </c>
      <c r="I451" s="12" t="s">
        <v>1107</v>
      </c>
      <c r="J451" s="12"/>
      <c r="K451" s="12" t="s">
        <v>1062</v>
      </c>
      <c r="L451" s="12" t="s">
        <v>1110</v>
      </c>
      <c r="M451" s="12" t="s">
        <v>838</v>
      </c>
      <c r="N451" t="s">
        <v>1232</v>
      </c>
      <c r="O451" t="s">
        <v>155</v>
      </c>
      <c r="P451" s="16">
        <f>PRODUCT(_xlfn.XLOOKUP(F451,Config!$A$2:$A$15,Config!$B$2:$B$15),_xlfn.XLOOKUP(G451,Config!$C$2:$C$7,Config!$D$2:$D$7),_xlfn.XLOOKUP(H451,Config!$E$2:$E$5,Config!$F$2:$F$5),_xlfn.XLOOKUP(I451,Config!$G$2:$G$3,Config!$H$2:$H$3),_xlfn.XLOOKUP(J451,Config!$I$2:$I$3,Config!$J$2:$J$3),_xlfn.XLOOKUP(K451,Config!$K$2:$K$3,Config!$L$2:$L$3),_xlfn.XLOOKUP(L451,Config!$M$2:$M$3,Config!$N$2:$N$3),_xlfn.XLOOKUP(M451,Config!$O$2:$O$6,Config!$P$2:$P$6))</f>
        <v>2.9450615039999994E-3</v>
      </c>
      <c r="Q451">
        <v>1</v>
      </c>
      <c r="R451" s="16">
        <f>P451*Q451*Config!$B$19</f>
        <v>2.1643740466544504E-3</v>
      </c>
      <c r="S451" t="s">
        <v>1288</v>
      </c>
    </row>
    <row r="452" spans="1:19" x14ac:dyDescent="0.45">
      <c r="A452" s="3">
        <v>451</v>
      </c>
      <c r="B452" s="3" t="s">
        <v>662</v>
      </c>
      <c r="C452" s="3" t="s">
        <v>550</v>
      </c>
      <c r="D452" s="3" t="s">
        <v>560</v>
      </c>
      <c r="E452" t="s">
        <v>107</v>
      </c>
      <c r="F452" t="s">
        <v>985</v>
      </c>
      <c r="G452" t="s">
        <v>831</v>
      </c>
      <c r="H452" t="s">
        <v>783</v>
      </c>
      <c r="I452" s="12" t="s">
        <v>1107</v>
      </c>
      <c r="J452" s="12"/>
      <c r="K452" s="12" t="s">
        <v>1062</v>
      </c>
      <c r="L452" s="12" t="s">
        <v>1110</v>
      </c>
      <c r="M452" s="12" t="s">
        <v>838</v>
      </c>
      <c r="N452" s="14" t="s">
        <v>1003</v>
      </c>
      <c r="P452" s="16">
        <f>PRODUCT(_xlfn.XLOOKUP(F452,Config!$A$2:$A$15,Config!$B$2:$B$15),_xlfn.XLOOKUP(G452,Config!$C$2:$C$7,Config!$D$2:$D$7),_xlfn.XLOOKUP(H452,Config!$E$2:$E$5,Config!$F$2:$F$5),_xlfn.XLOOKUP(I452,Config!$G$2:$G$3,Config!$H$2:$H$3),_xlfn.XLOOKUP(J452,Config!$I$2:$I$3,Config!$J$2:$J$3),_xlfn.XLOOKUP(K452,Config!$K$2:$K$3,Config!$L$2:$L$3),_xlfn.XLOOKUP(L452,Config!$M$2:$M$3,Config!$N$2:$N$3),_xlfn.XLOOKUP(M452,Config!$O$2:$O$6,Config!$P$2:$P$6))</f>
        <v>2.5434622079999998E-3</v>
      </c>
      <c r="Q452">
        <v>1</v>
      </c>
      <c r="R452" s="16">
        <f>P452*Q452*Config!$B$19</f>
        <v>1.8692321312015711E-3</v>
      </c>
      <c r="S452" t="s">
        <v>1288</v>
      </c>
    </row>
    <row r="453" spans="1:19" x14ac:dyDescent="0.45">
      <c r="A453" s="3">
        <v>452</v>
      </c>
      <c r="B453" s="3" t="s">
        <v>189</v>
      </c>
      <c r="C453" s="3" t="s">
        <v>551</v>
      </c>
      <c r="D453" s="3" t="s">
        <v>618</v>
      </c>
      <c r="E453" t="s">
        <v>156</v>
      </c>
      <c r="F453" t="s">
        <v>985</v>
      </c>
      <c r="G453" t="s">
        <v>831</v>
      </c>
      <c r="H453" t="s">
        <v>783</v>
      </c>
      <c r="I453" s="12" t="s">
        <v>1107</v>
      </c>
      <c r="J453" s="12"/>
      <c r="K453" s="12" t="s">
        <v>1062</v>
      </c>
      <c r="L453" s="12" t="s">
        <v>1110</v>
      </c>
      <c r="M453" s="12" t="s">
        <v>838</v>
      </c>
      <c r="N453" t="s">
        <v>1232</v>
      </c>
      <c r="P453" s="16">
        <f>PRODUCT(_xlfn.XLOOKUP(F453,Config!$A$2:$A$15,Config!$B$2:$B$15),_xlfn.XLOOKUP(G453,Config!$C$2:$C$7,Config!$D$2:$D$7),_xlfn.XLOOKUP(H453,Config!$E$2:$E$5,Config!$F$2:$F$5),_xlfn.XLOOKUP(I453,Config!$G$2:$G$3,Config!$H$2:$H$3),_xlfn.XLOOKUP(J453,Config!$I$2:$I$3,Config!$J$2:$J$3),_xlfn.XLOOKUP(K453,Config!$K$2:$K$3,Config!$L$2:$L$3),_xlfn.XLOOKUP(L453,Config!$M$2:$M$3,Config!$N$2:$N$3),_xlfn.XLOOKUP(M453,Config!$O$2:$O$6,Config!$P$2:$P$6))</f>
        <v>2.5434622079999998E-3</v>
      </c>
      <c r="Q453">
        <v>1</v>
      </c>
      <c r="R453" s="16">
        <f>P453*Q453*Config!$B$19</f>
        <v>1.8692321312015711E-3</v>
      </c>
      <c r="S453" t="s">
        <v>1288</v>
      </c>
    </row>
    <row r="454" spans="1:19" x14ac:dyDescent="0.45">
      <c r="A454" s="3">
        <v>453</v>
      </c>
      <c r="B454" s="3" t="s">
        <v>662</v>
      </c>
      <c r="C454" s="3" t="s">
        <v>550</v>
      </c>
      <c r="D454" s="3" t="s">
        <v>560</v>
      </c>
      <c r="E454" t="s">
        <v>107</v>
      </c>
      <c r="F454" t="s">
        <v>1010</v>
      </c>
      <c r="G454" t="s">
        <v>831</v>
      </c>
      <c r="H454" t="s">
        <v>783</v>
      </c>
      <c r="I454" s="12" t="s">
        <v>1107</v>
      </c>
      <c r="J454" s="12"/>
      <c r="K454" s="12" t="s">
        <v>1062</v>
      </c>
      <c r="L454" s="12" t="s">
        <v>1110</v>
      </c>
      <c r="M454" s="12" t="s">
        <v>838</v>
      </c>
      <c r="N454" s="14" t="s">
        <v>1003</v>
      </c>
      <c r="P454" s="16">
        <f>PRODUCT(_xlfn.XLOOKUP(F454,Config!$A$2:$A$15,Config!$B$2:$B$15),_xlfn.XLOOKUP(G454,Config!$C$2:$C$7,Config!$D$2:$D$7),_xlfn.XLOOKUP(H454,Config!$E$2:$E$5,Config!$F$2:$F$5),_xlfn.XLOOKUP(I454,Config!$G$2:$G$3,Config!$H$2:$H$3),_xlfn.XLOOKUP(J454,Config!$I$2:$I$3,Config!$J$2:$J$3),_xlfn.XLOOKUP(K454,Config!$K$2:$K$3,Config!$L$2:$L$3),_xlfn.XLOOKUP(L454,Config!$M$2:$M$3,Config!$N$2:$N$3),_xlfn.XLOOKUP(M454,Config!$O$2:$O$6,Config!$P$2:$P$6))</f>
        <v>1.974529872E-3</v>
      </c>
      <c r="Q454">
        <v>1</v>
      </c>
      <c r="R454" s="16">
        <f>P454*Q454*Config!$B$19</f>
        <v>1.451114417643325E-3</v>
      </c>
      <c r="S454" t="s">
        <v>1288</v>
      </c>
    </row>
    <row r="455" spans="1:19" x14ac:dyDescent="0.45">
      <c r="A455" s="3">
        <v>454</v>
      </c>
      <c r="B455" s="3" t="s">
        <v>189</v>
      </c>
      <c r="C455" s="3" t="s">
        <v>551</v>
      </c>
      <c r="D455" s="3" t="s">
        <v>618</v>
      </c>
      <c r="E455" t="s">
        <v>156</v>
      </c>
      <c r="F455" t="s">
        <v>1010</v>
      </c>
      <c r="G455" t="s">
        <v>831</v>
      </c>
      <c r="H455" t="s">
        <v>783</v>
      </c>
      <c r="I455" s="12" t="s">
        <v>1107</v>
      </c>
      <c r="J455" s="12"/>
      <c r="K455" s="12" t="s">
        <v>1062</v>
      </c>
      <c r="L455" s="12" t="s">
        <v>1110</v>
      </c>
      <c r="M455" s="12" t="s">
        <v>838</v>
      </c>
      <c r="N455" t="s">
        <v>1232</v>
      </c>
      <c r="P455" s="16">
        <f>PRODUCT(_xlfn.XLOOKUP(F455,Config!$A$2:$A$15,Config!$B$2:$B$15),_xlfn.XLOOKUP(G455,Config!$C$2:$C$7,Config!$D$2:$D$7),_xlfn.XLOOKUP(H455,Config!$E$2:$E$5,Config!$F$2:$F$5),_xlfn.XLOOKUP(I455,Config!$G$2:$G$3,Config!$H$2:$H$3),_xlfn.XLOOKUP(J455,Config!$I$2:$I$3,Config!$J$2:$J$3),_xlfn.XLOOKUP(K455,Config!$K$2:$K$3,Config!$L$2:$L$3),_xlfn.XLOOKUP(L455,Config!$M$2:$M$3,Config!$N$2:$N$3),_xlfn.XLOOKUP(M455,Config!$O$2:$O$6,Config!$P$2:$P$6))</f>
        <v>1.974529872E-3</v>
      </c>
      <c r="Q455">
        <v>1</v>
      </c>
      <c r="R455" s="16">
        <f>P455*Q455*Config!$B$19</f>
        <v>1.451114417643325E-3</v>
      </c>
      <c r="S455" t="s">
        <v>1288</v>
      </c>
    </row>
    <row r="456" spans="1:19" x14ac:dyDescent="0.45">
      <c r="A456" s="9">
        <v>455</v>
      </c>
      <c r="B456" s="9" t="s">
        <v>662</v>
      </c>
      <c r="C456" s="7" t="s">
        <v>550</v>
      </c>
      <c r="D456" s="7" t="s">
        <v>560</v>
      </c>
      <c r="E456" t="s">
        <v>107</v>
      </c>
      <c r="F456" t="s">
        <v>971</v>
      </c>
      <c r="G456" t="s">
        <v>831</v>
      </c>
      <c r="H456" t="s">
        <v>783</v>
      </c>
      <c r="I456" s="12" t="s">
        <v>1107</v>
      </c>
      <c r="J456" s="12"/>
      <c r="K456" s="12" t="s">
        <v>1062</v>
      </c>
      <c r="L456" s="12" t="s">
        <v>1110</v>
      </c>
      <c r="M456" s="12" t="s">
        <v>838</v>
      </c>
      <c r="N456" s="14" t="s">
        <v>1003</v>
      </c>
      <c r="P456" s="16">
        <f>PRODUCT(_xlfn.XLOOKUP(F456,Config!$A$2:$A$15,Config!$B$2:$B$15),_xlfn.XLOOKUP(G456,Config!$C$2:$C$7,Config!$D$2:$D$7),_xlfn.XLOOKUP(H456,Config!$E$2:$E$5,Config!$F$2:$F$5),_xlfn.XLOOKUP(I456,Config!$G$2:$G$3,Config!$H$2:$H$3),_xlfn.XLOOKUP(J456,Config!$I$2:$I$3,Config!$J$2:$J$3),_xlfn.XLOOKUP(K456,Config!$K$2:$K$3,Config!$L$2:$L$3),_xlfn.XLOOKUP(L456,Config!$M$2:$M$3,Config!$N$2:$N$3),_xlfn.XLOOKUP(M456,Config!$O$2:$O$6,Config!$P$2:$P$6))</f>
        <v>1.6565970959999999E-3</v>
      </c>
      <c r="Q456">
        <v>1</v>
      </c>
      <c r="R456" s="16">
        <f>P456*Q456*Config!$B$19</f>
        <v>1.2174604012431286E-3</v>
      </c>
      <c r="S456" t="s">
        <v>1288</v>
      </c>
    </row>
    <row r="457" spans="1:19" x14ac:dyDescent="0.45">
      <c r="A457" s="3">
        <v>456</v>
      </c>
      <c r="B457" s="3" t="s">
        <v>189</v>
      </c>
      <c r="C457" s="7" t="s">
        <v>551</v>
      </c>
      <c r="D457" s="7" t="s">
        <v>618</v>
      </c>
      <c r="E457" t="s">
        <v>156</v>
      </c>
      <c r="F457" t="s">
        <v>971</v>
      </c>
      <c r="G457" t="s">
        <v>831</v>
      </c>
      <c r="H457" t="s">
        <v>783</v>
      </c>
      <c r="I457" s="12" t="s">
        <v>1107</v>
      </c>
      <c r="J457" s="12"/>
      <c r="K457" s="12" t="s">
        <v>1062</v>
      </c>
      <c r="L457" s="12" t="s">
        <v>1110</v>
      </c>
      <c r="M457" s="12" t="s">
        <v>838</v>
      </c>
      <c r="N457" t="s">
        <v>1232</v>
      </c>
      <c r="P457" s="16">
        <f>PRODUCT(_xlfn.XLOOKUP(F457,Config!$A$2:$A$15,Config!$B$2:$B$15),_xlfn.XLOOKUP(G457,Config!$C$2:$C$7,Config!$D$2:$D$7),_xlfn.XLOOKUP(H457,Config!$E$2:$E$5,Config!$F$2:$F$5),_xlfn.XLOOKUP(I457,Config!$G$2:$G$3,Config!$H$2:$H$3),_xlfn.XLOOKUP(J457,Config!$I$2:$I$3,Config!$J$2:$J$3),_xlfn.XLOOKUP(K457,Config!$K$2:$K$3,Config!$L$2:$L$3),_xlfn.XLOOKUP(L457,Config!$M$2:$M$3,Config!$N$2:$N$3),_xlfn.XLOOKUP(M457,Config!$O$2:$O$6,Config!$P$2:$P$6))</f>
        <v>1.6565970959999999E-3</v>
      </c>
      <c r="Q457">
        <v>1</v>
      </c>
      <c r="R457" s="16">
        <f>P457*Q457*Config!$B$19</f>
        <v>1.2174604012431286E-3</v>
      </c>
      <c r="S457" t="s">
        <v>1288</v>
      </c>
    </row>
    <row r="458" spans="1:19" x14ac:dyDescent="0.45">
      <c r="A458" s="3">
        <v>457</v>
      </c>
      <c r="B458" s="3" t="s">
        <v>662</v>
      </c>
      <c r="C458" s="3" t="s">
        <v>550</v>
      </c>
      <c r="D458" s="3" t="s">
        <v>560</v>
      </c>
      <c r="E458" t="s">
        <v>107</v>
      </c>
      <c r="F458" t="s">
        <v>986</v>
      </c>
      <c r="G458" t="s">
        <v>831</v>
      </c>
      <c r="H458" t="s">
        <v>783</v>
      </c>
      <c r="I458" s="12" t="s">
        <v>1107</v>
      </c>
      <c r="J458" s="12"/>
      <c r="K458" s="12" t="s">
        <v>1062</v>
      </c>
      <c r="L458" s="12" t="s">
        <v>1110</v>
      </c>
      <c r="M458" s="12" t="s">
        <v>838</v>
      </c>
      <c r="N458" s="14" t="s">
        <v>1003</v>
      </c>
      <c r="P458" s="16">
        <f>PRODUCT(_xlfn.XLOOKUP(F458,Config!$A$2:$A$15,Config!$B$2:$B$15),_xlfn.XLOOKUP(G458,Config!$C$2:$C$7,Config!$D$2:$D$7),_xlfn.XLOOKUP(H458,Config!$E$2:$E$5,Config!$F$2:$F$5),_xlfn.XLOOKUP(I458,Config!$G$2:$G$3,Config!$H$2:$H$3),_xlfn.XLOOKUP(J458,Config!$I$2:$I$3,Config!$J$2:$J$3),_xlfn.XLOOKUP(K458,Config!$K$2:$K$3,Config!$L$2:$L$3),_xlfn.XLOOKUP(L458,Config!$M$2:$M$3,Config!$N$2:$N$3),_xlfn.XLOOKUP(M458,Config!$O$2:$O$6,Config!$P$2:$P$6))</f>
        <v>1.4306974919999999E-3</v>
      </c>
      <c r="Q458">
        <v>1</v>
      </c>
      <c r="R458" s="16">
        <f>P458*Q458*Config!$B$19</f>
        <v>1.0514430738008838E-3</v>
      </c>
      <c r="S458" t="s">
        <v>1288</v>
      </c>
    </row>
    <row r="459" spans="1:19" x14ac:dyDescent="0.45">
      <c r="A459" s="3">
        <v>458</v>
      </c>
      <c r="B459" s="3" t="s">
        <v>189</v>
      </c>
      <c r="C459" s="3" t="s">
        <v>551</v>
      </c>
      <c r="D459" s="3" t="s">
        <v>618</v>
      </c>
      <c r="E459" t="s">
        <v>156</v>
      </c>
      <c r="F459" t="s">
        <v>986</v>
      </c>
      <c r="G459" t="s">
        <v>831</v>
      </c>
      <c r="H459" t="s">
        <v>783</v>
      </c>
      <c r="I459" s="12" t="s">
        <v>1107</v>
      </c>
      <c r="J459" s="12"/>
      <c r="K459" s="12" t="s">
        <v>1062</v>
      </c>
      <c r="L459" s="12" t="s">
        <v>1110</v>
      </c>
      <c r="M459" s="12" t="s">
        <v>838</v>
      </c>
      <c r="N459" t="s">
        <v>1232</v>
      </c>
      <c r="P459" s="16">
        <f>PRODUCT(_xlfn.XLOOKUP(F459,Config!$A$2:$A$15,Config!$B$2:$B$15),_xlfn.XLOOKUP(G459,Config!$C$2:$C$7,Config!$D$2:$D$7),_xlfn.XLOOKUP(H459,Config!$E$2:$E$5,Config!$F$2:$F$5),_xlfn.XLOOKUP(I459,Config!$G$2:$G$3,Config!$H$2:$H$3),_xlfn.XLOOKUP(J459,Config!$I$2:$I$3,Config!$J$2:$J$3),_xlfn.XLOOKUP(K459,Config!$K$2:$K$3,Config!$L$2:$L$3),_xlfn.XLOOKUP(L459,Config!$M$2:$M$3,Config!$N$2:$N$3),_xlfn.XLOOKUP(M459,Config!$O$2:$O$6,Config!$P$2:$P$6))</f>
        <v>1.4306974919999999E-3</v>
      </c>
      <c r="Q459">
        <v>1</v>
      </c>
      <c r="R459" s="16">
        <f>P459*Q459*Config!$B$19</f>
        <v>1.0514430738008838E-3</v>
      </c>
      <c r="S459" t="s">
        <v>1288</v>
      </c>
    </row>
    <row r="460" spans="1:19" x14ac:dyDescent="0.45">
      <c r="A460" s="3">
        <v>459</v>
      </c>
      <c r="B460" s="3" t="s">
        <v>662</v>
      </c>
      <c r="C460" s="3" t="s">
        <v>550</v>
      </c>
      <c r="D460" s="3" t="s">
        <v>560</v>
      </c>
      <c r="E460" t="s">
        <v>107</v>
      </c>
      <c r="F460" t="s">
        <v>987</v>
      </c>
      <c r="G460" t="s">
        <v>831</v>
      </c>
      <c r="H460" t="s">
        <v>783</v>
      </c>
      <c r="I460" s="12" t="s">
        <v>1107</v>
      </c>
      <c r="J460" s="12"/>
      <c r="K460" s="12" t="s">
        <v>1062</v>
      </c>
      <c r="L460" s="12" t="s">
        <v>1110</v>
      </c>
      <c r="M460" s="12" t="s">
        <v>838</v>
      </c>
      <c r="N460" s="14" t="s">
        <v>1003</v>
      </c>
      <c r="P460" s="16">
        <f>PRODUCT(_xlfn.XLOOKUP(F460,Config!$A$2:$A$15,Config!$B$2:$B$15),_xlfn.XLOOKUP(G460,Config!$C$2:$C$7,Config!$D$2:$D$7),_xlfn.XLOOKUP(H460,Config!$E$2:$E$5,Config!$F$2:$F$5),_xlfn.XLOOKUP(I460,Config!$G$2:$G$3,Config!$H$2:$H$3),_xlfn.XLOOKUP(J460,Config!$I$2:$I$3,Config!$J$2:$J$3),_xlfn.XLOOKUP(K460,Config!$K$2:$K$3,Config!$L$2:$L$3),_xlfn.XLOOKUP(L460,Config!$M$2:$M$3,Config!$N$2:$N$3),_xlfn.XLOOKUP(M460,Config!$O$2:$O$6,Config!$P$2:$P$6))</f>
        <v>7.4044870199999979E-4</v>
      </c>
      <c r="Q460">
        <v>1</v>
      </c>
      <c r="R460" s="16">
        <f>P460*Q460*Config!$B$19</f>
        <v>5.4416790661624673E-4</v>
      </c>
      <c r="S460" t="s">
        <v>1288</v>
      </c>
    </row>
    <row r="461" spans="1:19" x14ac:dyDescent="0.45">
      <c r="A461" s="3">
        <v>460</v>
      </c>
      <c r="B461" s="3" t="s">
        <v>189</v>
      </c>
      <c r="C461" s="3" t="s">
        <v>551</v>
      </c>
      <c r="D461" s="3" t="s">
        <v>618</v>
      </c>
      <c r="E461" t="s">
        <v>156</v>
      </c>
      <c r="F461" t="s">
        <v>987</v>
      </c>
      <c r="G461" t="s">
        <v>831</v>
      </c>
      <c r="H461" t="s">
        <v>783</v>
      </c>
      <c r="I461" s="12" t="s">
        <v>1107</v>
      </c>
      <c r="J461" s="12"/>
      <c r="K461" s="12" t="s">
        <v>1062</v>
      </c>
      <c r="L461" s="12" t="s">
        <v>1110</v>
      </c>
      <c r="M461" s="12" t="s">
        <v>838</v>
      </c>
      <c r="N461" t="s">
        <v>1232</v>
      </c>
      <c r="P461" s="16">
        <f>PRODUCT(_xlfn.XLOOKUP(F461,Config!$A$2:$A$15,Config!$B$2:$B$15),_xlfn.XLOOKUP(G461,Config!$C$2:$C$7,Config!$D$2:$D$7),_xlfn.XLOOKUP(H461,Config!$E$2:$E$5,Config!$F$2:$F$5),_xlfn.XLOOKUP(I461,Config!$G$2:$G$3,Config!$H$2:$H$3),_xlfn.XLOOKUP(J461,Config!$I$2:$I$3,Config!$J$2:$J$3),_xlfn.XLOOKUP(K461,Config!$K$2:$K$3,Config!$L$2:$L$3),_xlfn.XLOOKUP(L461,Config!$M$2:$M$3,Config!$N$2:$N$3),_xlfn.XLOOKUP(M461,Config!$O$2:$O$6,Config!$P$2:$P$6))</f>
        <v>7.4044870199999979E-4</v>
      </c>
      <c r="Q461">
        <v>1</v>
      </c>
      <c r="R461" s="16">
        <f>P461*Q461*Config!$B$19</f>
        <v>5.4416790661624673E-4</v>
      </c>
      <c r="S461" t="s">
        <v>1288</v>
      </c>
    </row>
    <row r="462" spans="1:19" x14ac:dyDescent="0.45">
      <c r="A462" s="3">
        <v>461</v>
      </c>
      <c r="B462" s="3" t="s">
        <v>664</v>
      </c>
      <c r="C462" s="3" t="s">
        <v>745</v>
      </c>
      <c r="D462" s="3" t="s">
        <v>562</v>
      </c>
      <c r="E462" t="s">
        <v>983</v>
      </c>
      <c r="F462" t="s">
        <v>984</v>
      </c>
      <c r="G462" t="s">
        <v>831</v>
      </c>
      <c r="H462" t="s">
        <v>783</v>
      </c>
      <c r="I462" s="12" t="s">
        <v>1107</v>
      </c>
      <c r="J462" s="12"/>
      <c r="K462" s="12" t="s">
        <v>1062</v>
      </c>
      <c r="L462" s="12" t="s">
        <v>1111</v>
      </c>
      <c r="M462" s="12" t="s">
        <v>838</v>
      </c>
      <c r="N462" s="14" t="s">
        <v>1003</v>
      </c>
      <c r="O462" t="s">
        <v>111</v>
      </c>
      <c r="P462" s="16">
        <f>PRODUCT(_xlfn.XLOOKUP(F462,Config!$A$2:$A$15,Config!$B$2:$B$15),_xlfn.XLOOKUP(G462,Config!$C$2:$C$7,Config!$D$2:$D$7),_xlfn.XLOOKUP(H462,Config!$E$2:$E$5,Config!$F$2:$F$5),_xlfn.XLOOKUP(I462,Config!$G$2:$G$3,Config!$H$2:$H$3),_xlfn.XLOOKUP(J462,Config!$I$2:$I$3,Config!$J$2:$J$3),_xlfn.XLOOKUP(K462,Config!$K$2:$K$3,Config!$L$2:$L$3),_xlfn.XLOOKUP(L462,Config!$M$2:$M$3,Config!$N$2:$N$3),_xlfn.XLOOKUP(M462,Config!$O$2:$O$6,Config!$P$2:$P$6))</f>
        <v>5.1971673599999991E-4</v>
      </c>
      <c r="Q462">
        <v>1</v>
      </c>
      <c r="R462" s="16">
        <f>P462*Q462*Config!$B$19</f>
        <v>3.819483611743148E-4</v>
      </c>
      <c r="S462" t="s">
        <v>1288</v>
      </c>
    </row>
    <row r="463" spans="1:19" x14ac:dyDescent="0.45">
      <c r="A463" s="3">
        <v>462</v>
      </c>
      <c r="B463" s="3" t="s">
        <v>664</v>
      </c>
      <c r="C463" s="3" t="s">
        <v>745</v>
      </c>
      <c r="D463" s="3" t="s">
        <v>562</v>
      </c>
      <c r="E463" t="s">
        <v>983</v>
      </c>
      <c r="F463" t="s">
        <v>985</v>
      </c>
      <c r="G463" t="s">
        <v>831</v>
      </c>
      <c r="H463" t="s">
        <v>783</v>
      </c>
      <c r="I463" s="12" t="s">
        <v>1107</v>
      </c>
      <c r="J463" s="12"/>
      <c r="K463" s="12" t="s">
        <v>1062</v>
      </c>
      <c r="L463" s="12" t="s">
        <v>1111</v>
      </c>
      <c r="M463" s="12" t="s">
        <v>838</v>
      </c>
      <c r="N463" s="14" t="s">
        <v>1003</v>
      </c>
      <c r="P463" s="16">
        <f>PRODUCT(_xlfn.XLOOKUP(F463,Config!$A$2:$A$15,Config!$B$2:$B$15),_xlfn.XLOOKUP(G463,Config!$C$2:$C$7,Config!$D$2:$D$7),_xlfn.XLOOKUP(H463,Config!$E$2:$E$5,Config!$F$2:$F$5),_xlfn.XLOOKUP(I463,Config!$G$2:$G$3,Config!$H$2:$H$3),_xlfn.XLOOKUP(J463,Config!$I$2:$I$3,Config!$J$2:$J$3),_xlfn.XLOOKUP(K463,Config!$K$2:$K$3,Config!$L$2:$L$3),_xlfn.XLOOKUP(L463,Config!$M$2:$M$3,Config!$N$2:$N$3),_xlfn.XLOOKUP(M463,Config!$O$2:$O$6,Config!$P$2:$P$6))</f>
        <v>4.4884627200000003E-4</v>
      </c>
      <c r="Q463">
        <v>1</v>
      </c>
      <c r="R463" s="16">
        <f>P463*Q463*Config!$B$19</f>
        <v>3.2986449374145378E-4</v>
      </c>
      <c r="S463" t="s">
        <v>1288</v>
      </c>
    </row>
    <row r="464" spans="1:19" x14ac:dyDescent="0.45">
      <c r="A464" s="3">
        <v>463</v>
      </c>
      <c r="B464" s="3" t="s">
        <v>664</v>
      </c>
      <c r="C464" s="3" t="s">
        <v>745</v>
      </c>
      <c r="D464" s="3" t="s">
        <v>562</v>
      </c>
      <c r="E464" t="s">
        <v>983</v>
      </c>
      <c r="F464" t="s">
        <v>1010</v>
      </c>
      <c r="G464" t="s">
        <v>831</v>
      </c>
      <c r="H464" t="s">
        <v>783</v>
      </c>
      <c r="I464" s="12" t="s">
        <v>1107</v>
      </c>
      <c r="J464" s="12"/>
      <c r="K464" s="12" t="s">
        <v>1062</v>
      </c>
      <c r="L464" s="12" t="s">
        <v>1111</v>
      </c>
      <c r="M464" s="12" t="s">
        <v>838</v>
      </c>
      <c r="N464" s="14" t="s">
        <v>1003</v>
      </c>
      <c r="P464" s="16">
        <f>PRODUCT(_xlfn.XLOOKUP(F464,Config!$A$2:$A$15,Config!$B$2:$B$15),_xlfn.XLOOKUP(G464,Config!$C$2:$C$7,Config!$D$2:$D$7),_xlfn.XLOOKUP(H464,Config!$E$2:$E$5,Config!$F$2:$F$5),_xlfn.XLOOKUP(I464,Config!$G$2:$G$3,Config!$H$2:$H$3),_xlfn.XLOOKUP(J464,Config!$I$2:$I$3,Config!$J$2:$J$3),_xlfn.XLOOKUP(K464,Config!$K$2:$K$3,Config!$L$2:$L$3),_xlfn.XLOOKUP(L464,Config!$M$2:$M$3,Config!$N$2:$N$3),_xlfn.XLOOKUP(M464,Config!$O$2:$O$6,Config!$P$2:$P$6))</f>
        <v>3.4844644799999998E-4</v>
      </c>
      <c r="Q464">
        <v>1</v>
      </c>
      <c r="R464" s="16">
        <f>P464*Q464*Config!$B$19</f>
        <v>2.5607901487823383E-4</v>
      </c>
      <c r="S464" t="s">
        <v>1288</v>
      </c>
    </row>
    <row r="465" spans="1:19" x14ac:dyDescent="0.45">
      <c r="A465" s="7">
        <v>464</v>
      </c>
      <c r="B465" s="3" t="s">
        <v>664</v>
      </c>
      <c r="C465" s="7" t="s">
        <v>745</v>
      </c>
      <c r="D465" s="7" t="s">
        <v>562</v>
      </c>
      <c r="E465" t="s">
        <v>983</v>
      </c>
      <c r="F465" t="s">
        <v>971</v>
      </c>
      <c r="G465" t="s">
        <v>831</v>
      </c>
      <c r="H465" t="s">
        <v>783</v>
      </c>
      <c r="I465" s="12" t="s">
        <v>1107</v>
      </c>
      <c r="J465" s="12"/>
      <c r="K465" s="12" t="s">
        <v>1062</v>
      </c>
      <c r="L465" s="12" t="s">
        <v>1111</v>
      </c>
      <c r="M465" s="12" t="s">
        <v>838</v>
      </c>
      <c r="N465" s="14" t="s">
        <v>1003</v>
      </c>
      <c r="P465" s="16">
        <f>PRODUCT(_xlfn.XLOOKUP(F465,Config!$A$2:$A$15,Config!$B$2:$B$15),_xlfn.XLOOKUP(G465,Config!$C$2:$C$7,Config!$D$2:$D$7),_xlfn.XLOOKUP(H465,Config!$E$2:$E$5,Config!$F$2:$F$5),_xlfn.XLOOKUP(I465,Config!$G$2:$G$3,Config!$H$2:$H$3),_xlfn.XLOOKUP(J465,Config!$I$2:$I$3,Config!$J$2:$J$3),_xlfn.XLOOKUP(K465,Config!$K$2:$K$3,Config!$L$2:$L$3),_xlfn.XLOOKUP(L465,Config!$M$2:$M$3,Config!$N$2:$N$3),_xlfn.XLOOKUP(M465,Config!$O$2:$O$6,Config!$P$2:$P$6))</f>
        <v>2.9234066399999993E-4</v>
      </c>
      <c r="Q465">
        <v>1</v>
      </c>
      <c r="R465" s="16">
        <f>P465*Q465*Config!$B$19</f>
        <v>2.1484595316055205E-4</v>
      </c>
      <c r="S465" t="s">
        <v>1288</v>
      </c>
    </row>
    <row r="466" spans="1:19" x14ac:dyDescent="0.45">
      <c r="A466" s="7">
        <v>465</v>
      </c>
      <c r="B466" s="3" t="s">
        <v>664</v>
      </c>
      <c r="C466" s="7" t="s">
        <v>745</v>
      </c>
      <c r="D466" s="7" t="s">
        <v>562</v>
      </c>
      <c r="E466" t="s">
        <v>983</v>
      </c>
      <c r="F466" t="s">
        <v>986</v>
      </c>
      <c r="G466" t="s">
        <v>831</v>
      </c>
      <c r="H466" t="s">
        <v>783</v>
      </c>
      <c r="I466" s="12" t="s">
        <v>1107</v>
      </c>
      <c r="J466" s="12"/>
      <c r="K466" s="12" t="s">
        <v>1062</v>
      </c>
      <c r="L466" s="12" t="s">
        <v>1111</v>
      </c>
      <c r="M466" s="12" t="s">
        <v>838</v>
      </c>
      <c r="N466" s="14" t="s">
        <v>1003</v>
      </c>
      <c r="P466" s="16">
        <f>PRODUCT(_xlfn.XLOOKUP(F466,Config!$A$2:$A$15,Config!$B$2:$B$15),_xlfn.XLOOKUP(G466,Config!$C$2:$C$7,Config!$D$2:$D$7),_xlfn.XLOOKUP(H466,Config!$E$2:$E$5,Config!$F$2:$F$5),_xlfn.XLOOKUP(I466,Config!$G$2:$G$3,Config!$H$2:$H$3),_xlfn.XLOOKUP(J466,Config!$I$2:$I$3,Config!$J$2:$J$3),_xlfn.XLOOKUP(K466,Config!$K$2:$K$3,Config!$L$2:$L$3),_xlfn.XLOOKUP(L466,Config!$M$2:$M$3,Config!$N$2:$N$3),_xlfn.XLOOKUP(M466,Config!$O$2:$O$6,Config!$P$2:$P$6))</f>
        <v>2.5247602799999996E-4</v>
      </c>
      <c r="Q466">
        <v>1</v>
      </c>
      <c r="R466" s="16">
        <f>P466*Q466*Config!$B$19</f>
        <v>1.8554877772956771E-4</v>
      </c>
      <c r="S466" t="s">
        <v>1288</v>
      </c>
    </row>
    <row r="467" spans="1:19" x14ac:dyDescent="0.45">
      <c r="A467" s="3">
        <v>466</v>
      </c>
      <c r="B467" s="3" t="s">
        <v>664</v>
      </c>
      <c r="C467" s="3" t="s">
        <v>745</v>
      </c>
      <c r="D467" s="3" t="s">
        <v>562</v>
      </c>
      <c r="E467" t="s">
        <v>983</v>
      </c>
      <c r="F467" t="s">
        <v>987</v>
      </c>
      <c r="G467" t="s">
        <v>831</v>
      </c>
      <c r="H467" t="s">
        <v>783</v>
      </c>
      <c r="I467" s="12" t="s">
        <v>1107</v>
      </c>
      <c r="J467" s="12"/>
      <c r="K467" s="12" t="s">
        <v>1062</v>
      </c>
      <c r="L467" s="12" t="s">
        <v>1111</v>
      </c>
      <c r="M467" s="12" t="s">
        <v>838</v>
      </c>
      <c r="N467" s="14" t="s">
        <v>1003</v>
      </c>
      <c r="P467" s="16">
        <f>PRODUCT(_xlfn.XLOOKUP(F467,Config!$A$2:$A$15,Config!$B$2:$B$15),_xlfn.XLOOKUP(G467,Config!$C$2:$C$7,Config!$D$2:$D$7),_xlfn.XLOOKUP(H467,Config!$E$2:$E$5,Config!$F$2:$F$5),_xlfn.XLOOKUP(I467,Config!$G$2:$G$3,Config!$H$2:$H$3),_xlfn.XLOOKUP(J467,Config!$I$2:$I$3,Config!$J$2:$J$3),_xlfn.XLOOKUP(K467,Config!$K$2:$K$3,Config!$L$2:$L$3),_xlfn.XLOOKUP(L467,Config!$M$2:$M$3,Config!$N$2:$N$3),_xlfn.XLOOKUP(M467,Config!$O$2:$O$6,Config!$P$2:$P$6))</f>
        <v>1.3066741799999996E-4</v>
      </c>
      <c r="Q467">
        <v>1</v>
      </c>
      <c r="R467" s="16">
        <f>P467*Q467*Config!$B$19</f>
        <v>9.6029630579337659E-5</v>
      </c>
      <c r="S467" t="s">
        <v>1288</v>
      </c>
    </row>
    <row r="468" spans="1:19" x14ac:dyDescent="0.45">
      <c r="A468" s="9">
        <v>467</v>
      </c>
      <c r="B468" s="9" t="s">
        <v>1586</v>
      </c>
      <c r="C468" s="7" t="s">
        <v>1084</v>
      </c>
      <c r="D468" s="7" t="s">
        <v>1223</v>
      </c>
      <c r="E468" t="s">
        <v>875</v>
      </c>
      <c r="F468" t="s">
        <v>984</v>
      </c>
      <c r="G468" t="s">
        <v>832</v>
      </c>
      <c r="H468" t="s">
        <v>808</v>
      </c>
      <c r="I468" t="s">
        <v>806</v>
      </c>
      <c r="J468" s="12"/>
      <c r="K468" s="12" t="s">
        <v>1062</v>
      </c>
      <c r="L468" s="12" t="s">
        <v>1110</v>
      </c>
      <c r="M468" s="12" t="s">
        <v>838</v>
      </c>
      <c r="N468" s="14" t="s">
        <v>1003</v>
      </c>
      <c r="P468" s="16">
        <f>PRODUCT(_xlfn.XLOOKUP(F468,Config!$A$2:$A$15,Config!$B$2:$B$15),_xlfn.XLOOKUP(G468,Config!$C$2:$C$7,Config!$D$2:$D$7),_xlfn.XLOOKUP(H468,Config!$E$2:$E$5,Config!$F$2:$F$5),_xlfn.XLOOKUP(I468,Config!$G$2:$G$3,Config!$H$2:$H$3),_xlfn.XLOOKUP(J468,Config!$I$2:$I$3,Config!$J$2:$J$3),_xlfn.XLOOKUP(K468,Config!$K$2:$K$3,Config!$L$2:$L$3),_xlfn.XLOOKUP(L468,Config!$M$2:$M$3,Config!$N$2:$N$3),_xlfn.XLOOKUP(M468,Config!$O$2:$O$6,Config!$P$2:$P$6))</f>
        <v>2.6776018368000008E-3</v>
      </c>
      <c r="Q468">
        <v>1</v>
      </c>
      <c r="R468" s="16">
        <f>P468*Q468*Config!$B$19</f>
        <v>1.9678135464990983E-3</v>
      </c>
      <c r="S468" t="s">
        <v>1288</v>
      </c>
    </row>
    <row r="469" spans="1:19" x14ac:dyDescent="0.45">
      <c r="A469" s="9">
        <v>468</v>
      </c>
      <c r="B469" s="9" t="s">
        <v>1586</v>
      </c>
      <c r="C469" s="7" t="s">
        <v>1084</v>
      </c>
      <c r="D469" s="7" t="s">
        <v>1223</v>
      </c>
      <c r="E469" t="s">
        <v>875</v>
      </c>
      <c r="F469" t="s">
        <v>985</v>
      </c>
      <c r="G469" t="s">
        <v>832</v>
      </c>
      <c r="H469" t="s">
        <v>808</v>
      </c>
      <c r="I469" t="s">
        <v>806</v>
      </c>
      <c r="J469" s="12"/>
      <c r="K469" s="12" t="s">
        <v>1062</v>
      </c>
      <c r="L469" s="12" t="s">
        <v>1110</v>
      </c>
      <c r="M469" s="12" t="s">
        <v>838</v>
      </c>
      <c r="N469" s="14" t="s">
        <v>1003</v>
      </c>
      <c r="P469" s="16">
        <f>PRODUCT(_xlfn.XLOOKUP(F469,Config!$A$2:$A$15,Config!$B$2:$B$15),_xlfn.XLOOKUP(G469,Config!$C$2:$C$7,Config!$D$2:$D$7),_xlfn.XLOOKUP(H469,Config!$E$2:$E$5,Config!$F$2:$F$5),_xlfn.XLOOKUP(I469,Config!$G$2:$G$3,Config!$H$2:$H$3),_xlfn.XLOOKUP(J469,Config!$I$2:$I$3,Config!$J$2:$J$3),_xlfn.XLOOKUP(K469,Config!$K$2:$K$3,Config!$L$2:$L$3),_xlfn.XLOOKUP(L469,Config!$M$2:$M$3,Config!$N$2:$N$3),_xlfn.XLOOKUP(M469,Config!$O$2:$O$6,Config!$P$2:$P$6))</f>
        <v>2.3124743135999998E-3</v>
      </c>
      <c r="Q469">
        <v>1</v>
      </c>
      <c r="R469" s="16">
        <f>P469*Q469*Config!$B$19</f>
        <v>1.6994753356128569E-3</v>
      </c>
      <c r="S469" t="s">
        <v>1288</v>
      </c>
    </row>
    <row r="470" spans="1:19" x14ac:dyDescent="0.45">
      <c r="A470" s="9">
        <v>469</v>
      </c>
      <c r="B470" s="9" t="s">
        <v>1586</v>
      </c>
      <c r="C470" s="7" t="s">
        <v>1084</v>
      </c>
      <c r="D470" s="7" t="s">
        <v>1223</v>
      </c>
      <c r="E470" t="s">
        <v>875</v>
      </c>
      <c r="F470" t="s">
        <v>1010</v>
      </c>
      <c r="G470" t="s">
        <v>832</v>
      </c>
      <c r="H470" t="s">
        <v>808</v>
      </c>
      <c r="I470" t="s">
        <v>806</v>
      </c>
      <c r="J470" s="12"/>
      <c r="K470" s="12" t="s">
        <v>1062</v>
      </c>
      <c r="L470" s="12" t="s">
        <v>1110</v>
      </c>
      <c r="M470" s="12" t="s">
        <v>838</v>
      </c>
      <c r="N470" s="14" t="s">
        <v>1003</v>
      </c>
      <c r="O470" t="s">
        <v>876</v>
      </c>
      <c r="P470" s="16">
        <f>PRODUCT(_xlfn.XLOOKUP(F470,Config!$A$2:$A$15,Config!$B$2:$B$15),_xlfn.XLOOKUP(G470,Config!$C$2:$C$7,Config!$D$2:$D$7),_xlfn.XLOOKUP(H470,Config!$E$2:$E$5,Config!$F$2:$F$5),_xlfn.XLOOKUP(I470,Config!$G$2:$G$3,Config!$H$2:$H$3),_xlfn.XLOOKUP(J470,Config!$I$2:$I$3,Config!$J$2:$J$3),_xlfn.XLOOKUP(K470,Config!$K$2:$K$3,Config!$L$2:$L$3),_xlfn.XLOOKUP(L470,Config!$M$2:$M$3,Config!$N$2:$N$3),_xlfn.XLOOKUP(M470,Config!$O$2:$O$6,Config!$P$2:$P$6))</f>
        <v>1.7952103224000006E-3</v>
      </c>
      <c r="Q470">
        <v>1</v>
      </c>
      <c r="R470" s="16">
        <f>P470*Q470*Config!$B$19</f>
        <v>1.31932953685735E-3</v>
      </c>
      <c r="S470" t="s">
        <v>1288</v>
      </c>
    </row>
    <row r="471" spans="1:19" x14ac:dyDescent="0.45">
      <c r="A471" s="9">
        <v>470</v>
      </c>
      <c r="B471" s="9" t="s">
        <v>1586</v>
      </c>
      <c r="C471" s="7" t="s">
        <v>1084</v>
      </c>
      <c r="D471" s="7" t="s">
        <v>1223</v>
      </c>
      <c r="E471" t="s">
        <v>875</v>
      </c>
      <c r="F471" t="s">
        <v>971</v>
      </c>
      <c r="G471" t="s">
        <v>832</v>
      </c>
      <c r="H471" t="s">
        <v>808</v>
      </c>
      <c r="I471" t="s">
        <v>806</v>
      </c>
      <c r="J471" s="12"/>
      <c r="K471" s="12" t="s">
        <v>1062</v>
      </c>
      <c r="L471" s="12" t="s">
        <v>1110</v>
      </c>
      <c r="M471" s="12" t="s">
        <v>838</v>
      </c>
      <c r="N471" s="14" t="s">
        <v>1003</v>
      </c>
      <c r="P471" s="16">
        <f>PRODUCT(_xlfn.XLOOKUP(F471,Config!$A$2:$A$15,Config!$B$2:$B$15),_xlfn.XLOOKUP(G471,Config!$C$2:$C$7,Config!$D$2:$D$7),_xlfn.XLOOKUP(H471,Config!$E$2:$E$5,Config!$F$2:$F$5),_xlfn.XLOOKUP(I471,Config!$G$2:$G$3,Config!$H$2:$H$3),_xlfn.XLOOKUP(J471,Config!$I$2:$I$3,Config!$J$2:$J$3),_xlfn.XLOOKUP(K471,Config!$K$2:$K$3,Config!$L$2:$L$3),_xlfn.XLOOKUP(L471,Config!$M$2:$M$3,Config!$N$2:$N$3),_xlfn.XLOOKUP(M471,Config!$O$2:$O$6,Config!$P$2:$P$6))</f>
        <v>1.5061510332000001E-3</v>
      </c>
      <c r="Q471">
        <v>1</v>
      </c>
      <c r="R471" s="16">
        <f>P471*Q471*Config!$B$19</f>
        <v>1.1068951199057426E-3</v>
      </c>
      <c r="S471" t="s">
        <v>1288</v>
      </c>
    </row>
    <row r="472" spans="1:19" x14ac:dyDescent="0.45">
      <c r="A472" s="9">
        <v>471</v>
      </c>
      <c r="B472" s="9" t="s">
        <v>1586</v>
      </c>
      <c r="C472" s="7" t="s">
        <v>1084</v>
      </c>
      <c r="D472" s="7" t="s">
        <v>1223</v>
      </c>
      <c r="E472" t="s">
        <v>875</v>
      </c>
      <c r="F472" t="s">
        <v>986</v>
      </c>
      <c r="G472" t="s">
        <v>832</v>
      </c>
      <c r="H472" t="s">
        <v>808</v>
      </c>
      <c r="I472" t="s">
        <v>806</v>
      </c>
      <c r="J472" s="12"/>
      <c r="K472" s="12" t="s">
        <v>1062</v>
      </c>
      <c r="L472" s="12" t="s">
        <v>1110</v>
      </c>
      <c r="M472" s="12" t="s">
        <v>838</v>
      </c>
      <c r="N472" s="14" t="s">
        <v>1003</v>
      </c>
      <c r="P472" s="16">
        <f>PRODUCT(_xlfn.XLOOKUP(F472,Config!$A$2:$A$15,Config!$B$2:$B$15),_xlfn.XLOOKUP(G472,Config!$C$2:$C$7,Config!$D$2:$D$7),_xlfn.XLOOKUP(H472,Config!$E$2:$E$5,Config!$F$2:$F$5),_xlfn.XLOOKUP(I472,Config!$G$2:$G$3,Config!$H$2:$H$3),_xlfn.XLOOKUP(J472,Config!$I$2:$I$3,Config!$J$2:$J$3),_xlfn.XLOOKUP(K472,Config!$K$2:$K$3,Config!$L$2:$L$3),_xlfn.XLOOKUP(L472,Config!$M$2:$M$3,Config!$N$2:$N$3),_xlfn.XLOOKUP(M472,Config!$O$2:$O$6,Config!$P$2:$P$6))</f>
        <v>1.3007668014000005E-3</v>
      </c>
      <c r="Q472">
        <v>1</v>
      </c>
      <c r="R472" s="16">
        <f>P472*Q472*Config!$B$19</f>
        <v>9.559548762822325E-4</v>
      </c>
      <c r="S472" t="s">
        <v>1288</v>
      </c>
    </row>
    <row r="473" spans="1:19" x14ac:dyDescent="0.45">
      <c r="A473" s="9">
        <v>472</v>
      </c>
      <c r="B473" s="9" t="s">
        <v>1586</v>
      </c>
      <c r="C473" s="7" t="s">
        <v>1084</v>
      </c>
      <c r="D473" s="7" t="s">
        <v>1223</v>
      </c>
      <c r="E473" t="s">
        <v>875</v>
      </c>
      <c r="F473" t="s">
        <v>987</v>
      </c>
      <c r="G473" t="s">
        <v>832</v>
      </c>
      <c r="H473" t="s">
        <v>808</v>
      </c>
      <c r="I473" t="s">
        <v>806</v>
      </c>
      <c r="J473" s="12"/>
      <c r="K473" s="12" t="s">
        <v>1062</v>
      </c>
      <c r="L473" s="12" t="s">
        <v>1110</v>
      </c>
      <c r="M473" s="12" t="s">
        <v>838</v>
      </c>
      <c r="N473" s="14" t="s">
        <v>1003</v>
      </c>
      <c r="P473" s="16">
        <f>PRODUCT(_xlfn.XLOOKUP(F473,Config!$A$2:$A$15,Config!$B$2:$B$15),_xlfn.XLOOKUP(G473,Config!$C$2:$C$7,Config!$D$2:$D$7),_xlfn.XLOOKUP(H473,Config!$E$2:$E$5,Config!$F$2:$F$5),_xlfn.XLOOKUP(I473,Config!$G$2:$G$3,Config!$H$2:$H$3),_xlfn.XLOOKUP(J473,Config!$I$2:$I$3,Config!$J$2:$J$3),_xlfn.XLOOKUP(K473,Config!$K$2:$K$3,Config!$L$2:$L$3),_xlfn.XLOOKUP(L473,Config!$M$2:$M$3,Config!$N$2:$N$3),_xlfn.XLOOKUP(M473,Config!$O$2:$O$6,Config!$P$2:$P$6))</f>
        <v>6.7320387090000005E-4</v>
      </c>
      <c r="Q473">
        <v>1</v>
      </c>
      <c r="R473" s="16">
        <f>P473*Q473*Config!$B$19</f>
        <v>4.9474857632150618E-4</v>
      </c>
      <c r="S473" t="s">
        <v>1288</v>
      </c>
    </row>
    <row r="474" spans="1:19" x14ac:dyDescent="0.45">
      <c r="A474" s="7">
        <v>473</v>
      </c>
      <c r="B474" s="7" t="s">
        <v>1508</v>
      </c>
      <c r="C474" s="7" t="s">
        <v>1085</v>
      </c>
      <c r="D474" s="7" t="s">
        <v>1224</v>
      </c>
      <c r="E474" t="s">
        <v>944</v>
      </c>
      <c r="F474" t="s">
        <v>984</v>
      </c>
      <c r="G474" t="s">
        <v>832</v>
      </c>
      <c r="H474" t="s">
        <v>808</v>
      </c>
      <c r="I474" s="12" t="s">
        <v>1107</v>
      </c>
      <c r="J474" s="12"/>
      <c r="K474" s="12" t="s">
        <v>1062</v>
      </c>
      <c r="L474" s="12" t="s">
        <v>1110</v>
      </c>
      <c r="M474" s="12" t="s">
        <v>838</v>
      </c>
      <c r="N474" s="14" t="s">
        <v>1003</v>
      </c>
      <c r="P474" s="16">
        <f>PRODUCT(_xlfn.XLOOKUP(F474,Config!$A$2:$A$15,Config!$B$2:$B$15),_xlfn.XLOOKUP(G474,Config!$C$2:$C$7,Config!$D$2:$D$7),_xlfn.XLOOKUP(H474,Config!$E$2:$E$5,Config!$F$2:$F$5),_xlfn.XLOOKUP(I474,Config!$G$2:$G$3,Config!$H$2:$H$3),_xlfn.XLOOKUP(J474,Config!$I$2:$I$3,Config!$J$2:$J$3),_xlfn.XLOOKUP(K474,Config!$K$2:$K$3,Config!$L$2:$L$3),_xlfn.XLOOKUP(L474,Config!$M$2:$M$3,Config!$N$2:$N$3),_xlfn.XLOOKUP(M474,Config!$O$2:$O$6,Config!$P$2:$P$6))</f>
        <v>6.2477376192000018E-3</v>
      </c>
      <c r="Q474">
        <v>1</v>
      </c>
      <c r="R474" s="16">
        <f>P474*Q474*Config!$B$19</f>
        <v>4.5915649418312296E-3</v>
      </c>
      <c r="S474" t="s">
        <v>1288</v>
      </c>
    </row>
    <row r="475" spans="1:19" x14ac:dyDescent="0.45">
      <c r="A475" s="7">
        <v>474</v>
      </c>
      <c r="B475" s="7" t="s">
        <v>999</v>
      </c>
      <c r="C475" s="7" t="s">
        <v>1086</v>
      </c>
      <c r="D475" s="7" t="s">
        <v>1225</v>
      </c>
      <c r="E475" t="s">
        <v>859</v>
      </c>
      <c r="F475" t="s">
        <v>984</v>
      </c>
      <c r="G475" t="s">
        <v>832</v>
      </c>
      <c r="H475" t="s">
        <v>808</v>
      </c>
      <c r="I475" s="12" t="s">
        <v>1107</v>
      </c>
      <c r="J475" s="12"/>
      <c r="K475" s="12" t="s">
        <v>1062</v>
      </c>
      <c r="L475" s="12" t="s">
        <v>1110</v>
      </c>
      <c r="M475" s="12" t="s">
        <v>838</v>
      </c>
      <c r="N475" s="14" t="s">
        <v>1003</v>
      </c>
      <c r="P475" s="16">
        <f>PRODUCT(_xlfn.XLOOKUP(F475,Config!$A$2:$A$15,Config!$B$2:$B$15),_xlfn.XLOOKUP(G475,Config!$C$2:$C$7,Config!$D$2:$D$7),_xlfn.XLOOKUP(H475,Config!$E$2:$E$5,Config!$F$2:$F$5),_xlfn.XLOOKUP(I475,Config!$G$2:$G$3,Config!$H$2:$H$3),_xlfn.XLOOKUP(J475,Config!$I$2:$I$3,Config!$J$2:$J$3),_xlfn.XLOOKUP(K475,Config!$K$2:$K$3,Config!$L$2:$L$3),_xlfn.XLOOKUP(L475,Config!$M$2:$M$3,Config!$N$2:$N$3),_xlfn.XLOOKUP(M475,Config!$O$2:$O$6,Config!$P$2:$P$6))</f>
        <v>6.2477376192000018E-3</v>
      </c>
      <c r="Q475">
        <v>1</v>
      </c>
      <c r="R475" s="16">
        <f>P475*Q475*Config!$B$19</f>
        <v>4.5915649418312296E-3</v>
      </c>
      <c r="S475" t="s">
        <v>1288</v>
      </c>
    </row>
    <row r="476" spans="1:19" x14ac:dyDescent="0.45">
      <c r="A476" s="7">
        <v>475</v>
      </c>
      <c r="B476" s="7" t="s">
        <v>1508</v>
      </c>
      <c r="C476" s="7" t="s">
        <v>1085</v>
      </c>
      <c r="D476" s="7" t="s">
        <v>1224</v>
      </c>
      <c r="E476" t="s">
        <v>944</v>
      </c>
      <c r="F476" t="s">
        <v>985</v>
      </c>
      <c r="G476" t="s">
        <v>832</v>
      </c>
      <c r="H476" t="s">
        <v>808</v>
      </c>
      <c r="I476" s="12" t="s">
        <v>1107</v>
      </c>
      <c r="J476" s="12"/>
      <c r="K476" s="12" t="s">
        <v>1062</v>
      </c>
      <c r="L476" s="12" t="s">
        <v>1110</v>
      </c>
      <c r="M476" s="12" t="s">
        <v>838</v>
      </c>
      <c r="N476" s="14" t="s">
        <v>1003</v>
      </c>
      <c r="P476" s="16">
        <f>PRODUCT(_xlfn.XLOOKUP(F476,Config!$A$2:$A$15,Config!$B$2:$B$15),_xlfn.XLOOKUP(G476,Config!$C$2:$C$7,Config!$D$2:$D$7),_xlfn.XLOOKUP(H476,Config!$E$2:$E$5,Config!$F$2:$F$5),_xlfn.XLOOKUP(I476,Config!$G$2:$G$3,Config!$H$2:$H$3),_xlfn.XLOOKUP(J476,Config!$I$2:$I$3,Config!$J$2:$J$3),_xlfn.XLOOKUP(K476,Config!$K$2:$K$3,Config!$L$2:$L$3),_xlfn.XLOOKUP(L476,Config!$M$2:$M$3,Config!$N$2:$N$3),_xlfn.XLOOKUP(M476,Config!$O$2:$O$6,Config!$P$2:$P$6))</f>
        <v>5.3957733984000009E-3</v>
      </c>
      <c r="Q476">
        <v>1</v>
      </c>
      <c r="R476" s="16">
        <f>P476*Q476*Config!$B$19</f>
        <v>3.9654424497633338E-3</v>
      </c>
      <c r="S476" t="s">
        <v>1288</v>
      </c>
    </row>
    <row r="477" spans="1:19" x14ac:dyDescent="0.45">
      <c r="A477" s="7">
        <v>476</v>
      </c>
      <c r="B477" s="7" t="s">
        <v>999</v>
      </c>
      <c r="C477" s="7" t="s">
        <v>1086</v>
      </c>
      <c r="D477" s="7" t="s">
        <v>1225</v>
      </c>
      <c r="E477" t="s">
        <v>859</v>
      </c>
      <c r="F477" t="s">
        <v>985</v>
      </c>
      <c r="G477" t="s">
        <v>832</v>
      </c>
      <c r="H477" t="s">
        <v>808</v>
      </c>
      <c r="I477" s="12" t="s">
        <v>1107</v>
      </c>
      <c r="J477" s="12"/>
      <c r="K477" s="12" t="s">
        <v>1062</v>
      </c>
      <c r="L477" s="12" t="s">
        <v>1110</v>
      </c>
      <c r="M477" s="12" t="s">
        <v>838</v>
      </c>
      <c r="N477" s="14" t="s">
        <v>1003</v>
      </c>
      <c r="P477" s="16">
        <f>PRODUCT(_xlfn.XLOOKUP(F477,Config!$A$2:$A$15,Config!$B$2:$B$15),_xlfn.XLOOKUP(G477,Config!$C$2:$C$7,Config!$D$2:$D$7),_xlfn.XLOOKUP(H477,Config!$E$2:$E$5,Config!$F$2:$F$5),_xlfn.XLOOKUP(I477,Config!$G$2:$G$3,Config!$H$2:$H$3),_xlfn.XLOOKUP(J477,Config!$I$2:$I$3,Config!$J$2:$J$3),_xlfn.XLOOKUP(K477,Config!$K$2:$K$3,Config!$L$2:$L$3),_xlfn.XLOOKUP(L477,Config!$M$2:$M$3,Config!$N$2:$N$3),_xlfn.XLOOKUP(M477,Config!$O$2:$O$6,Config!$P$2:$P$6))</f>
        <v>5.3957733984000009E-3</v>
      </c>
      <c r="Q477">
        <v>1</v>
      </c>
      <c r="R477" s="16">
        <f>P477*Q477*Config!$B$19</f>
        <v>3.9654424497633338E-3</v>
      </c>
      <c r="S477" t="s">
        <v>1288</v>
      </c>
    </row>
    <row r="478" spans="1:19" x14ac:dyDescent="0.45">
      <c r="A478" s="7">
        <v>477</v>
      </c>
      <c r="B478" s="7" t="s">
        <v>1509</v>
      </c>
      <c r="C478" s="7" t="s">
        <v>1087</v>
      </c>
      <c r="D478" s="7" t="s">
        <v>1226</v>
      </c>
      <c r="E478" t="s">
        <v>944</v>
      </c>
      <c r="F478" t="s">
        <v>1010</v>
      </c>
      <c r="G478" t="s">
        <v>832</v>
      </c>
      <c r="H478" t="s">
        <v>808</v>
      </c>
      <c r="I478" s="12" t="s">
        <v>1107</v>
      </c>
      <c r="J478" s="12"/>
      <c r="K478" s="12" t="s">
        <v>1062</v>
      </c>
      <c r="L478" s="12" t="s">
        <v>1110</v>
      </c>
      <c r="M478" s="12" t="s">
        <v>838</v>
      </c>
      <c r="N478" s="14" t="s">
        <v>1003</v>
      </c>
      <c r="O478" t="s">
        <v>945</v>
      </c>
      <c r="P478" s="16">
        <f>PRODUCT(_xlfn.XLOOKUP(F478,Config!$A$2:$A$15,Config!$B$2:$B$15),_xlfn.XLOOKUP(G478,Config!$C$2:$C$7,Config!$D$2:$D$7),_xlfn.XLOOKUP(H478,Config!$E$2:$E$5,Config!$F$2:$F$5),_xlfn.XLOOKUP(I478,Config!$G$2:$G$3,Config!$H$2:$H$3),_xlfn.XLOOKUP(J478,Config!$I$2:$I$3,Config!$J$2:$J$3),_xlfn.XLOOKUP(K478,Config!$K$2:$K$3,Config!$L$2:$L$3),_xlfn.XLOOKUP(L478,Config!$M$2:$M$3,Config!$N$2:$N$3),_xlfn.XLOOKUP(M478,Config!$O$2:$O$6,Config!$P$2:$P$6))</f>
        <v>4.1888240856E-3</v>
      </c>
      <c r="Q478">
        <v>1</v>
      </c>
      <c r="R478" s="16">
        <f>P478*Q478*Config!$B$19</f>
        <v>3.0784355860004825E-3</v>
      </c>
      <c r="S478" t="s">
        <v>1288</v>
      </c>
    </row>
    <row r="479" spans="1:19" x14ac:dyDescent="0.45">
      <c r="A479" s="7">
        <v>478</v>
      </c>
      <c r="B479" s="7" t="s">
        <v>1083</v>
      </c>
      <c r="C479" s="7" t="s">
        <v>1086</v>
      </c>
      <c r="D479" s="7" t="s">
        <v>1225</v>
      </c>
      <c r="E479" t="s">
        <v>859</v>
      </c>
      <c r="F479" t="s">
        <v>1010</v>
      </c>
      <c r="G479" t="s">
        <v>832</v>
      </c>
      <c r="H479" t="s">
        <v>808</v>
      </c>
      <c r="I479" s="12" t="s">
        <v>1107</v>
      </c>
      <c r="J479" s="12"/>
      <c r="K479" s="12" t="s">
        <v>1062</v>
      </c>
      <c r="L479" s="12" t="s">
        <v>1110</v>
      </c>
      <c r="M479" s="12" t="s">
        <v>838</v>
      </c>
      <c r="N479" s="14" t="s">
        <v>1003</v>
      </c>
      <c r="O479" t="s">
        <v>860</v>
      </c>
      <c r="P479" s="16">
        <f>PRODUCT(_xlfn.XLOOKUP(F479,Config!$A$2:$A$15,Config!$B$2:$B$15),_xlfn.XLOOKUP(G479,Config!$C$2:$C$7,Config!$D$2:$D$7),_xlfn.XLOOKUP(H479,Config!$E$2:$E$5,Config!$F$2:$F$5),_xlfn.XLOOKUP(I479,Config!$G$2:$G$3,Config!$H$2:$H$3),_xlfn.XLOOKUP(J479,Config!$I$2:$I$3,Config!$J$2:$J$3),_xlfn.XLOOKUP(K479,Config!$K$2:$K$3,Config!$L$2:$L$3),_xlfn.XLOOKUP(L479,Config!$M$2:$M$3,Config!$N$2:$N$3),_xlfn.XLOOKUP(M479,Config!$O$2:$O$6,Config!$P$2:$P$6))</f>
        <v>4.1888240856E-3</v>
      </c>
      <c r="Q479">
        <v>1</v>
      </c>
      <c r="R479" s="16">
        <f>P479*Q479*Config!$B$19</f>
        <v>3.0784355860004825E-3</v>
      </c>
      <c r="S479" t="s">
        <v>1288</v>
      </c>
    </row>
    <row r="480" spans="1:19" x14ac:dyDescent="0.45">
      <c r="A480" s="9">
        <v>479</v>
      </c>
      <c r="B480" s="9" t="s">
        <v>1508</v>
      </c>
      <c r="C480" s="7" t="s">
        <v>1085</v>
      </c>
      <c r="D480" s="7" t="s">
        <v>1224</v>
      </c>
      <c r="E480" t="s">
        <v>944</v>
      </c>
      <c r="F480" t="s">
        <v>971</v>
      </c>
      <c r="G480" t="s">
        <v>832</v>
      </c>
      <c r="H480" t="s">
        <v>808</v>
      </c>
      <c r="I480" s="12" t="s">
        <v>1107</v>
      </c>
      <c r="J480" s="12"/>
      <c r="K480" s="12" t="s">
        <v>1062</v>
      </c>
      <c r="L480" s="12" t="s">
        <v>1110</v>
      </c>
      <c r="M480" s="12" t="s">
        <v>838</v>
      </c>
      <c r="N480" s="14" t="s">
        <v>1003</v>
      </c>
      <c r="P480" s="16">
        <f>PRODUCT(_xlfn.XLOOKUP(F480,Config!$A$2:$A$15,Config!$B$2:$B$15),_xlfn.XLOOKUP(G480,Config!$C$2:$C$7,Config!$D$2:$D$7),_xlfn.XLOOKUP(H480,Config!$E$2:$E$5,Config!$F$2:$F$5),_xlfn.XLOOKUP(I480,Config!$G$2:$G$3,Config!$H$2:$H$3),_xlfn.XLOOKUP(J480,Config!$I$2:$I$3,Config!$J$2:$J$3),_xlfn.XLOOKUP(K480,Config!$K$2:$K$3,Config!$L$2:$L$3),_xlfn.XLOOKUP(L480,Config!$M$2:$M$3,Config!$N$2:$N$3),_xlfn.XLOOKUP(M480,Config!$O$2:$O$6,Config!$P$2:$P$6))</f>
        <v>3.5143524108E-3</v>
      </c>
      <c r="Q480">
        <v>1</v>
      </c>
      <c r="R480" s="16">
        <f>P480*Q480*Config!$B$19</f>
        <v>2.5827552797800658E-3</v>
      </c>
      <c r="S480" t="s">
        <v>1288</v>
      </c>
    </row>
    <row r="481" spans="1:19" x14ac:dyDescent="0.45">
      <c r="A481" s="9">
        <v>480</v>
      </c>
      <c r="B481" s="9" t="s">
        <v>999</v>
      </c>
      <c r="C481" s="7" t="s">
        <v>1086</v>
      </c>
      <c r="D481" s="7" t="s">
        <v>1225</v>
      </c>
      <c r="E481" t="s">
        <v>859</v>
      </c>
      <c r="F481" t="s">
        <v>971</v>
      </c>
      <c r="G481" t="s">
        <v>832</v>
      </c>
      <c r="H481" t="s">
        <v>808</v>
      </c>
      <c r="I481" s="12" t="s">
        <v>1107</v>
      </c>
      <c r="J481" s="12"/>
      <c r="K481" s="12" t="s">
        <v>1062</v>
      </c>
      <c r="L481" s="12" t="s">
        <v>1110</v>
      </c>
      <c r="M481" s="12" t="s">
        <v>838</v>
      </c>
      <c r="N481" s="14" t="s">
        <v>1003</v>
      </c>
      <c r="P481" s="16">
        <f>PRODUCT(_xlfn.XLOOKUP(F481,Config!$A$2:$A$15,Config!$B$2:$B$15),_xlfn.XLOOKUP(G481,Config!$C$2:$C$7,Config!$D$2:$D$7),_xlfn.XLOOKUP(H481,Config!$E$2:$E$5,Config!$F$2:$F$5),_xlfn.XLOOKUP(I481,Config!$G$2:$G$3,Config!$H$2:$H$3),_xlfn.XLOOKUP(J481,Config!$I$2:$I$3,Config!$J$2:$J$3),_xlfn.XLOOKUP(K481,Config!$K$2:$K$3,Config!$L$2:$L$3),_xlfn.XLOOKUP(L481,Config!$M$2:$M$3,Config!$N$2:$N$3),_xlfn.XLOOKUP(M481,Config!$O$2:$O$6,Config!$P$2:$P$6))</f>
        <v>3.5143524108E-3</v>
      </c>
      <c r="Q481">
        <v>1</v>
      </c>
      <c r="R481" s="16">
        <f>P481*Q481*Config!$B$19</f>
        <v>2.5827552797800658E-3</v>
      </c>
      <c r="S481" t="s">
        <v>1288</v>
      </c>
    </row>
    <row r="482" spans="1:19" x14ac:dyDescent="0.45">
      <c r="A482" s="9">
        <v>481</v>
      </c>
      <c r="B482" s="9" t="s">
        <v>1508</v>
      </c>
      <c r="C482" s="7" t="s">
        <v>1085</v>
      </c>
      <c r="D482" s="7" t="s">
        <v>1224</v>
      </c>
      <c r="E482" t="s">
        <v>944</v>
      </c>
      <c r="F482" t="s">
        <v>986</v>
      </c>
      <c r="G482" t="s">
        <v>832</v>
      </c>
      <c r="H482" t="s">
        <v>808</v>
      </c>
      <c r="I482" s="12" t="s">
        <v>1107</v>
      </c>
      <c r="J482" s="12"/>
      <c r="K482" s="12" t="s">
        <v>1062</v>
      </c>
      <c r="L482" s="12" t="s">
        <v>1110</v>
      </c>
      <c r="M482" s="12" t="s">
        <v>838</v>
      </c>
      <c r="N482" s="14" t="s">
        <v>1003</v>
      </c>
      <c r="P482" s="16">
        <f>PRODUCT(_xlfn.XLOOKUP(F482,Config!$A$2:$A$15,Config!$B$2:$B$15),_xlfn.XLOOKUP(G482,Config!$C$2:$C$7,Config!$D$2:$D$7),_xlfn.XLOOKUP(H482,Config!$E$2:$E$5,Config!$F$2:$F$5),_xlfn.XLOOKUP(I482,Config!$G$2:$G$3,Config!$H$2:$H$3),_xlfn.XLOOKUP(J482,Config!$I$2:$I$3,Config!$J$2:$J$3),_xlfn.XLOOKUP(K482,Config!$K$2:$K$3,Config!$L$2:$L$3),_xlfn.XLOOKUP(L482,Config!$M$2:$M$3,Config!$N$2:$N$3),_xlfn.XLOOKUP(M482,Config!$O$2:$O$6,Config!$P$2:$P$6))</f>
        <v>3.0351225366000005E-3</v>
      </c>
      <c r="Q482">
        <v>1</v>
      </c>
      <c r="R482" s="16">
        <f>P482*Q482*Config!$B$19</f>
        <v>2.2305613779918755E-3</v>
      </c>
      <c r="S482" t="s">
        <v>1288</v>
      </c>
    </row>
    <row r="483" spans="1:19" x14ac:dyDescent="0.45">
      <c r="A483" s="9">
        <v>482</v>
      </c>
      <c r="B483" s="9" t="s">
        <v>999</v>
      </c>
      <c r="C483" s="7" t="s">
        <v>1086</v>
      </c>
      <c r="D483" s="7" t="s">
        <v>1225</v>
      </c>
      <c r="E483" t="s">
        <v>859</v>
      </c>
      <c r="F483" t="s">
        <v>986</v>
      </c>
      <c r="G483" t="s">
        <v>832</v>
      </c>
      <c r="H483" t="s">
        <v>808</v>
      </c>
      <c r="I483" s="12" t="s">
        <v>1107</v>
      </c>
      <c r="J483" s="12"/>
      <c r="K483" s="12" t="s">
        <v>1062</v>
      </c>
      <c r="L483" s="12" t="s">
        <v>1110</v>
      </c>
      <c r="M483" s="12" t="s">
        <v>838</v>
      </c>
      <c r="N483" s="14" t="s">
        <v>1003</v>
      </c>
      <c r="P483" s="16">
        <f>PRODUCT(_xlfn.XLOOKUP(F483,Config!$A$2:$A$15,Config!$B$2:$B$15),_xlfn.XLOOKUP(G483,Config!$C$2:$C$7,Config!$D$2:$D$7),_xlfn.XLOOKUP(H483,Config!$E$2:$E$5,Config!$F$2:$F$5),_xlfn.XLOOKUP(I483,Config!$G$2:$G$3,Config!$H$2:$H$3),_xlfn.XLOOKUP(J483,Config!$I$2:$I$3,Config!$J$2:$J$3),_xlfn.XLOOKUP(K483,Config!$K$2:$K$3,Config!$L$2:$L$3),_xlfn.XLOOKUP(L483,Config!$M$2:$M$3,Config!$N$2:$N$3),_xlfn.XLOOKUP(M483,Config!$O$2:$O$6,Config!$P$2:$P$6))</f>
        <v>3.0351225366000005E-3</v>
      </c>
      <c r="Q483">
        <v>1</v>
      </c>
      <c r="R483" s="16">
        <f>P483*Q483*Config!$B$19</f>
        <v>2.2305613779918755E-3</v>
      </c>
      <c r="S483" t="s">
        <v>1288</v>
      </c>
    </row>
    <row r="484" spans="1:19" x14ac:dyDescent="0.45">
      <c r="A484" s="9">
        <v>483</v>
      </c>
      <c r="B484" s="9" t="s">
        <v>1528</v>
      </c>
      <c r="C484" s="7" t="s">
        <v>1087</v>
      </c>
      <c r="D484" s="7" t="s">
        <v>1226</v>
      </c>
      <c r="E484" t="s">
        <v>944</v>
      </c>
      <c r="F484" t="s">
        <v>987</v>
      </c>
      <c r="G484" t="s">
        <v>832</v>
      </c>
      <c r="H484" t="s">
        <v>808</v>
      </c>
      <c r="I484" s="12" t="s">
        <v>1107</v>
      </c>
      <c r="J484" s="12"/>
      <c r="K484" s="12" t="s">
        <v>1062</v>
      </c>
      <c r="L484" s="12" t="s">
        <v>1110</v>
      </c>
      <c r="M484" s="12" t="s">
        <v>838</v>
      </c>
      <c r="N484" s="14" t="s">
        <v>1003</v>
      </c>
      <c r="P484" s="16">
        <f>PRODUCT(_xlfn.XLOOKUP(F484,Config!$A$2:$A$15,Config!$B$2:$B$15),_xlfn.XLOOKUP(G484,Config!$C$2:$C$7,Config!$D$2:$D$7),_xlfn.XLOOKUP(H484,Config!$E$2:$E$5,Config!$F$2:$F$5),_xlfn.XLOOKUP(I484,Config!$G$2:$G$3,Config!$H$2:$H$3),_xlfn.XLOOKUP(J484,Config!$I$2:$I$3,Config!$J$2:$J$3),_xlfn.XLOOKUP(K484,Config!$K$2:$K$3,Config!$L$2:$L$3),_xlfn.XLOOKUP(L484,Config!$M$2:$M$3,Config!$N$2:$N$3),_xlfn.XLOOKUP(M484,Config!$O$2:$O$6,Config!$P$2:$P$6))</f>
        <v>1.5708090320999998E-3</v>
      </c>
      <c r="Q484">
        <v>1</v>
      </c>
      <c r="R484" s="16">
        <f>P484*Q484*Config!$B$19</f>
        <v>1.1544133447501808E-3</v>
      </c>
      <c r="S484" t="s">
        <v>1288</v>
      </c>
    </row>
    <row r="485" spans="1:19" x14ac:dyDescent="0.45">
      <c r="A485" s="9">
        <v>484</v>
      </c>
      <c r="B485" s="9" t="s">
        <v>1529</v>
      </c>
      <c r="C485" s="7" t="s">
        <v>1086</v>
      </c>
      <c r="D485" s="7" t="s">
        <v>1225</v>
      </c>
      <c r="E485" t="s">
        <v>859</v>
      </c>
      <c r="F485" t="s">
        <v>987</v>
      </c>
      <c r="G485" t="s">
        <v>832</v>
      </c>
      <c r="H485" t="s">
        <v>808</v>
      </c>
      <c r="I485" s="12" t="s">
        <v>1107</v>
      </c>
      <c r="J485" s="12"/>
      <c r="K485" s="12" t="s">
        <v>1062</v>
      </c>
      <c r="L485" s="12" t="s">
        <v>1110</v>
      </c>
      <c r="M485" s="12" t="s">
        <v>838</v>
      </c>
      <c r="N485" s="14" t="s">
        <v>1003</v>
      </c>
      <c r="P485" s="16">
        <f>PRODUCT(_xlfn.XLOOKUP(F485,Config!$A$2:$A$15,Config!$B$2:$B$15),_xlfn.XLOOKUP(G485,Config!$C$2:$C$7,Config!$D$2:$D$7),_xlfn.XLOOKUP(H485,Config!$E$2:$E$5,Config!$F$2:$F$5),_xlfn.XLOOKUP(I485,Config!$G$2:$G$3,Config!$H$2:$H$3),_xlfn.XLOOKUP(J485,Config!$I$2:$I$3,Config!$J$2:$J$3),_xlfn.XLOOKUP(K485,Config!$K$2:$K$3,Config!$L$2:$L$3),_xlfn.XLOOKUP(L485,Config!$M$2:$M$3,Config!$N$2:$N$3),_xlfn.XLOOKUP(M485,Config!$O$2:$O$6,Config!$P$2:$P$6))</f>
        <v>1.5708090320999998E-3</v>
      </c>
      <c r="Q485">
        <v>1</v>
      </c>
      <c r="R485" s="16">
        <f>P485*Q485*Config!$B$19</f>
        <v>1.1544133447501808E-3</v>
      </c>
      <c r="S485" t="s">
        <v>1288</v>
      </c>
    </row>
    <row r="486" spans="1:19" x14ac:dyDescent="0.45">
      <c r="A486" s="7">
        <v>485</v>
      </c>
      <c r="B486" s="7" t="s">
        <v>1546</v>
      </c>
      <c r="C486" s="7" t="s">
        <v>1626</v>
      </c>
      <c r="D486" s="7" t="s">
        <v>1553</v>
      </c>
      <c r="F486" t="s">
        <v>984</v>
      </c>
      <c r="G486" t="s">
        <v>833</v>
      </c>
      <c r="H486" t="s">
        <v>808</v>
      </c>
      <c r="I486" s="12" t="s">
        <v>1107</v>
      </c>
      <c r="J486" s="12"/>
      <c r="K486" s="12" t="s">
        <v>1062</v>
      </c>
      <c r="L486" s="12" t="s">
        <v>1110</v>
      </c>
      <c r="M486" s="12" t="s">
        <v>838</v>
      </c>
      <c r="N486" s="14" t="s">
        <v>1003</v>
      </c>
      <c r="O486" t="s">
        <v>640</v>
      </c>
      <c r="P486" s="16">
        <f>PRODUCT(_xlfn.XLOOKUP(F486,Config!$A$2:$A$15,Config!$B$2:$B$15),_xlfn.XLOOKUP(G486,Config!$C$2:$C$7,Config!$D$2:$D$7),_xlfn.XLOOKUP(H486,Config!$E$2:$E$5,Config!$F$2:$F$5),_xlfn.XLOOKUP(I486,Config!$G$2:$G$3,Config!$H$2:$H$3),_xlfn.XLOOKUP(J486,Config!$I$2:$I$3,Config!$J$2:$J$3),_xlfn.XLOOKUP(K486,Config!$K$2:$K$3,Config!$L$2:$L$3),_xlfn.XLOOKUP(L486,Config!$M$2:$M$3,Config!$N$2:$N$3),_xlfn.XLOOKUP(M486,Config!$O$2:$O$6,Config!$P$2:$P$6))</f>
        <v>1.6197838272000004E-3</v>
      </c>
      <c r="Q486">
        <v>1</v>
      </c>
      <c r="R486" s="16">
        <f>P486*Q486*Config!$B$19</f>
        <v>1.1904057256599482E-3</v>
      </c>
      <c r="S486" t="s">
        <v>1288</v>
      </c>
    </row>
    <row r="487" spans="1:19" x14ac:dyDescent="0.45">
      <c r="A487" s="7">
        <v>486</v>
      </c>
      <c r="B487" s="7" t="s">
        <v>1630</v>
      </c>
      <c r="C487" s="7" t="s">
        <v>1560</v>
      </c>
      <c r="D487" s="7" t="s">
        <v>1561</v>
      </c>
      <c r="F487" t="s">
        <v>984</v>
      </c>
      <c r="G487" t="s">
        <v>833</v>
      </c>
      <c r="H487" t="s">
        <v>808</v>
      </c>
      <c r="I487" s="12" t="s">
        <v>1107</v>
      </c>
      <c r="J487" s="12"/>
      <c r="K487" s="12" t="s">
        <v>1062</v>
      </c>
      <c r="L487" s="12" t="s">
        <v>1110</v>
      </c>
      <c r="M487" s="12" t="s">
        <v>838</v>
      </c>
      <c r="N487" s="14" t="s">
        <v>1003</v>
      </c>
      <c r="P487" s="16">
        <f>PRODUCT(_xlfn.XLOOKUP(F487,Config!$A$2:$A$15,Config!$B$2:$B$15),_xlfn.XLOOKUP(G487,Config!$C$2:$C$7,Config!$D$2:$D$7),_xlfn.XLOOKUP(H487,Config!$E$2:$E$5,Config!$F$2:$F$5),_xlfn.XLOOKUP(I487,Config!$G$2:$G$3,Config!$H$2:$H$3),_xlfn.XLOOKUP(J487,Config!$I$2:$I$3,Config!$J$2:$J$3),_xlfn.XLOOKUP(K487,Config!$K$2:$K$3,Config!$L$2:$L$3),_xlfn.XLOOKUP(L487,Config!$M$2:$M$3,Config!$N$2:$N$3),_xlfn.XLOOKUP(M487,Config!$O$2:$O$6,Config!$P$2:$P$6))</f>
        <v>1.6197838272000004E-3</v>
      </c>
      <c r="Q487">
        <v>1</v>
      </c>
      <c r="R487" s="16">
        <f>P487*Q487*Config!$B$19</f>
        <v>1.1904057256599482E-3</v>
      </c>
      <c r="S487" t="s">
        <v>1288</v>
      </c>
    </row>
    <row r="488" spans="1:19" x14ac:dyDescent="0.45">
      <c r="A488" s="7">
        <v>487</v>
      </c>
      <c r="B488" s="7" t="s">
        <v>1546</v>
      </c>
      <c r="C488" s="7" t="s">
        <v>1626</v>
      </c>
      <c r="D488" s="7" t="s">
        <v>1553</v>
      </c>
      <c r="F488" t="s">
        <v>985</v>
      </c>
      <c r="G488" t="s">
        <v>833</v>
      </c>
      <c r="H488" t="s">
        <v>808</v>
      </c>
      <c r="I488" s="12" t="s">
        <v>1107</v>
      </c>
      <c r="J488" s="12"/>
      <c r="K488" s="12" t="s">
        <v>1062</v>
      </c>
      <c r="L488" s="12" t="s">
        <v>1110</v>
      </c>
      <c r="M488" s="12" t="s">
        <v>838</v>
      </c>
      <c r="N488" s="14" t="s">
        <v>1003</v>
      </c>
      <c r="P488" s="16">
        <f>PRODUCT(_xlfn.XLOOKUP(F488,Config!$A$2:$A$15,Config!$B$2:$B$15),_xlfn.XLOOKUP(G488,Config!$C$2:$C$7,Config!$D$2:$D$7),_xlfn.XLOOKUP(H488,Config!$E$2:$E$5,Config!$F$2:$F$5),_xlfn.XLOOKUP(I488,Config!$G$2:$G$3,Config!$H$2:$H$3),_xlfn.XLOOKUP(J488,Config!$I$2:$I$3,Config!$J$2:$J$3),_xlfn.XLOOKUP(K488,Config!$K$2:$K$3,Config!$L$2:$L$3),_xlfn.XLOOKUP(L488,Config!$M$2:$M$3,Config!$N$2:$N$3),_xlfn.XLOOKUP(M488,Config!$O$2:$O$6,Config!$P$2:$P$6))</f>
        <v>1.3989042144000002E-3</v>
      </c>
      <c r="Q488">
        <v>1</v>
      </c>
      <c r="R488" s="16">
        <f>P488*Q488*Config!$B$19</f>
        <v>1.0280776721608644E-3</v>
      </c>
      <c r="S488" t="s">
        <v>1288</v>
      </c>
    </row>
    <row r="489" spans="1:19" x14ac:dyDescent="0.45">
      <c r="A489" s="7">
        <v>488</v>
      </c>
      <c r="B489" s="7" t="s">
        <v>1630</v>
      </c>
      <c r="C489" s="7" t="s">
        <v>1560</v>
      </c>
      <c r="D489" s="7" t="s">
        <v>1561</v>
      </c>
      <c r="F489" t="s">
        <v>985</v>
      </c>
      <c r="G489" t="s">
        <v>833</v>
      </c>
      <c r="H489" t="s">
        <v>808</v>
      </c>
      <c r="I489" s="12" t="s">
        <v>1107</v>
      </c>
      <c r="J489" s="12"/>
      <c r="K489" s="12" t="s">
        <v>1062</v>
      </c>
      <c r="L489" s="12" t="s">
        <v>1110</v>
      </c>
      <c r="M489" s="12" t="s">
        <v>838</v>
      </c>
      <c r="N489" s="14" t="s">
        <v>1003</v>
      </c>
      <c r="P489" s="16">
        <f>PRODUCT(_xlfn.XLOOKUP(F489,Config!$A$2:$A$15,Config!$B$2:$B$15),_xlfn.XLOOKUP(G489,Config!$C$2:$C$7,Config!$D$2:$D$7),_xlfn.XLOOKUP(H489,Config!$E$2:$E$5,Config!$F$2:$F$5),_xlfn.XLOOKUP(I489,Config!$G$2:$G$3,Config!$H$2:$H$3),_xlfn.XLOOKUP(J489,Config!$I$2:$I$3,Config!$J$2:$J$3),_xlfn.XLOOKUP(K489,Config!$K$2:$K$3,Config!$L$2:$L$3),_xlfn.XLOOKUP(L489,Config!$M$2:$M$3,Config!$N$2:$N$3),_xlfn.XLOOKUP(M489,Config!$O$2:$O$6,Config!$P$2:$P$6))</f>
        <v>1.3989042144000002E-3</v>
      </c>
      <c r="Q489">
        <v>1</v>
      </c>
      <c r="R489" s="16">
        <f>P489*Q489*Config!$B$19</f>
        <v>1.0280776721608644E-3</v>
      </c>
      <c r="S489" t="s">
        <v>1288</v>
      </c>
    </row>
    <row r="490" spans="1:19" x14ac:dyDescent="0.45">
      <c r="A490" s="7">
        <v>489</v>
      </c>
      <c r="B490" s="7" t="s">
        <v>1546</v>
      </c>
      <c r="C490" s="7" t="s">
        <v>1626</v>
      </c>
      <c r="D490" s="7" t="s">
        <v>1553</v>
      </c>
      <c r="F490" t="s">
        <v>1010</v>
      </c>
      <c r="G490" t="s">
        <v>833</v>
      </c>
      <c r="H490" t="s">
        <v>808</v>
      </c>
      <c r="I490" s="12" t="s">
        <v>1107</v>
      </c>
      <c r="J490" s="12"/>
      <c r="K490" s="12" t="s">
        <v>1062</v>
      </c>
      <c r="L490" s="12" t="s">
        <v>1110</v>
      </c>
      <c r="M490" s="12" t="s">
        <v>838</v>
      </c>
      <c r="N490" s="14" t="s">
        <v>1003</v>
      </c>
      <c r="P490" s="16">
        <f>PRODUCT(_xlfn.XLOOKUP(F490,Config!$A$2:$A$15,Config!$B$2:$B$15),_xlfn.XLOOKUP(G490,Config!$C$2:$C$7,Config!$D$2:$D$7),_xlfn.XLOOKUP(H490,Config!$E$2:$E$5,Config!$F$2:$F$5),_xlfn.XLOOKUP(I490,Config!$G$2:$G$3,Config!$H$2:$H$3),_xlfn.XLOOKUP(J490,Config!$I$2:$I$3,Config!$J$2:$J$3),_xlfn.XLOOKUP(K490,Config!$K$2:$K$3,Config!$L$2:$L$3),_xlfn.XLOOKUP(L490,Config!$M$2:$M$3,Config!$N$2:$N$3),_xlfn.XLOOKUP(M490,Config!$O$2:$O$6,Config!$P$2:$P$6))</f>
        <v>1.0859914296000002E-3</v>
      </c>
      <c r="Q490">
        <v>1</v>
      </c>
      <c r="R490" s="16">
        <f>P490*Q490*Config!$B$19</f>
        <v>7.9811292970382891E-4</v>
      </c>
      <c r="S490" t="s">
        <v>1288</v>
      </c>
    </row>
    <row r="491" spans="1:19" x14ac:dyDescent="0.45">
      <c r="A491" s="7">
        <v>490</v>
      </c>
      <c r="B491" s="7" t="s">
        <v>1630</v>
      </c>
      <c r="C491" s="7" t="s">
        <v>1560</v>
      </c>
      <c r="D491" s="7" t="s">
        <v>1561</v>
      </c>
      <c r="F491" t="s">
        <v>1010</v>
      </c>
      <c r="G491" t="s">
        <v>833</v>
      </c>
      <c r="H491" t="s">
        <v>808</v>
      </c>
      <c r="I491" s="12" t="s">
        <v>1107</v>
      </c>
      <c r="J491" s="12"/>
      <c r="K491" s="12" t="s">
        <v>1062</v>
      </c>
      <c r="L491" s="12" t="s">
        <v>1110</v>
      </c>
      <c r="M491" s="12" t="s">
        <v>838</v>
      </c>
      <c r="N491" s="14" t="s">
        <v>1003</v>
      </c>
      <c r="P491" s="16">
        <f>PRODUCT(_xlfn.XLOOKUP(F491,Config!$A$2:$A$15,Config!$B$2:$B$15),_xlfn.XLOOKUP(G491,Config!$C$2:$C$7,Config!$D$2:$D$7),_xlfn.XLOOKUP(H491,Config!$E$2:$E$5,Config!$F$2:$F$5),_xlfn.XLOOKUP(I491,Config!$G$2:$G$3,Config!$H$2:$H$3),_xlfn.XLOOKUP(J491,Config!$I$2:$I$3,Config!$J$2:$J$3),_xlfn.XLOOKUP(K491,Config!$K$2:$K$3,Config!$L$2:$L$3),_xlfn.XLOOKUP(L491,Config!$M$2:$M$3,Config!$N$2:$N$3),_xlfn.XLOOKUP(M491,Config!$O$2:$O$6,Config!$P$2:$P$6))</f>
        <v>1.0859914296000002E-3</v>
      </c>
      <c r="Q491">
        <v>1</v>
      </c>
      <c r="R491" s="16">
        <f>P491*Q491*Config!$B$19</f>
        <v>7.9811292970382891E-4</v>
      </c>
      <c r="S491" t="s">
        <v>1288</v>
      </c>
    </row>
    <row r="492" spans="1:19" x14ac:dyDescent="0.45">
      <c r="A492" s="7">
        <v>491</v>
      </c>
      <c r="B492" s="7" t="s">
        <v>1546</v>
      </c>
      <c r="C492" s="7" t="s">
        <v>1626</v>
      </c>
      <c r="D492" s="7" t="s">
        <v>1553</v>
      </c>
      <c r="F492" t="s">
        <v>971</v>
      </c>
      <c r="G492" t="s">
        <v>833</v>
      </c>
      <c r="H492" t="s">
        <v>808</v>
      </c>
      <c r="I492" s="12" t="s">
        <v>1107</v>
      </c>
      <c r="J492" s="12"/>
      <c r="K492" s="12" t="s">
        <v>1062</v>
      </c>
      <c r="L492" s="12" t="s">
        <v>1110</v>
      </c>
      <c r="M492" s="12" t="s">
        <v>838</v>
      </c>
      <c r="N492" s="14" t="s">
        <v>1003</v>
      </c>
      <c r="P492" s="16">
        <f>PRODUCT(_xlfn.XLOOKUP(F492,Config!$A$2:$A$15,Config!$B$2:$B$15),_xlfn.XLOOKUP(G492,Config!$C$2:$C$7,Config!$D$2:$D$7),_xlfn.XLOOKUP(H492,Config!$E$2:$E$5,Config!$F$2:$F$5),_xlfn.XLOOKUP(I492,Config!$G$2:$G$3,Config!$H$2:$H$3),_xlfn.XLOOKUP(J492,Config!$I$2:$I$3,Config!$J$2:$J$3),_xlfn.XLOOKUP(K492,Config!$K$2:$K$3,Config!$L$2:$L$3),_xlfn.XLOOKUP(L492,Config!$M$2:$M$3,Config!$N$2:$N$3),_xlfn.XLOOKUP(M492,Config!$O$2:$O$6,Config!$P$2:$P$6))</f>
        <v>9.1112840280000026E-4</v>
      </c>
      <c r="Q492">
        <v>1</v>
      </c>
      <c r="R492" s="16">
        <f>P492*Q492*Config!$B$19</f>
        <v>6.6960322068372092E-4</v>
      </c>
      <c r="S492" t="s">
        <v>1288</v>
      </c>
    </row>
    <row r="493" spans="1:19" x14ac:dyDescent="0.45">
      <c r="A493" s="7">
        <v>492</v>
      </c>
      <c r="B493" s="7" t="s">
        <v>1630</v>
      </c>
      <c r="C493" s="7" t="s">
        <v>1560</v>
      </c>
      <c r="D493" s="7" t="s">
        <v>1561</v>
      </c>
      <c r="F493" t="s">
        <v>971</v>
      </c>
      <c r="G493" t="s">
        <v>833</v>
      </c>
      <c r="H493" t="s">
        <v>808</v>
      </c>
      <c r="I493" s="12" t="s">
        <v>1107</v>
      </c>
      <c r="J493" s="12"/>
      <c r="K493" s="12" t="s">
        <v>1062</v>
      </c>
      <c r="L493" s="12" t="s">
        <v>1110</v>
      </c>
      <c r="M493" s="12" t="s">
        <v>838</v>
      </c>
      <c r="N493" s="14" t="s">
        <v>1003</v>
      </c>
      <c r="P493" s="16">
        <f>PRODUCT(_xlfn.XLOOKUP(F493,Config!$A$2:$A$15,Config!$B$2:$B$15),_xlfn.XLOOKUP(G493,Config!$C$2:$C$7,Config!$D$2:$D$7),_xlfn.XLOOKUP(H493,Config!$E$2:$E$5,Config!$F$2:$F$5),_xlfn.XLOOKUP(I493,Config!$G$2:$G$3,Config!$H$2:$H$3),_xlfn.XLOOKUP(J493,Config!$I$2:$I$3,Config!$J$2:$J$3),_xlfn.XLOOKUP(K493,Config!$K$2:$K$3,Config!$L$2:$L$3),_xlfn.XLOOKUP(L493,Config!$M$2:$M$3,Config!$N$2:$N$3),_xlfn.XLOOKUP(M493,Config!$O$2:$O$6,Config!$P$2:$P$6))</f>
        <v>9.1112840280000026E-4</v>
      </c>
      <c r="Q493">
        <v>1</v>
      </c>
      <c r="R493" s="16">
        <f>P493*Q493*Config!$B$19</f>
        <v>6.6960322068372092E-4</v>
      </c>
      <c r="S493" t="s">
        <v>1288</v>
      </c>
    </row>
    <row r="494" spans="1:19" x14ac:dyDescent="0.45">
      <c r="A494" s="7">
        <v>493</v>
      </c>
      <c r="B494" s="7" t="s">
        <v>1546</v>
      </c>
      <c r="C494" s="7" t="s">
        <v>1626</v>
      </c>
      <c r="D494" s="7" t="s">
        <v>1553</v>
      </c>
      <c r="F494" t="s">
        <v>986</v>
      </c>
      <c r="G494" t="s">
        <v>833</v>
      </c>
      <c r="H494" t="s">
        <v>808</v>
      </c>
      <c r="I494" s="12" t="s">
        <v>1107</v>
      </c>
      <c r="J494" s="12"/>
      <c r="K494" s="12" t="s">
        <v>1062</v>
      </c>
      <c r="L494" s="12" t="s">
        <v>1110</v>
      </c>
      <c r="M494" s="12" t="s">
        <v>838</v>
      </c>
      <c r="N494" s="14" t="s">
        <v>1003</v>
      </c>
      <c r="P494" s="16">
        <f>PRODUCT(_xlfn.XLOOKUP(F494,Config!$A$2:$A$15,Config!$B$2:$B$15),_xlfn.XLOOKUP(G494,Config!$C$2:$C$7,Config!$D$2:$D$7),_xlfn.XLOOKUP(H494,Config!$E$2:$E$5,Config!$F$2:$F$5),_xlfn.XLOOKUP(I494,Config!$G$2:$G$3,Config!$H$2:$H$3),_xlfn.XLOOKUP(J494,Config!$I$2:$I$3,Config!$J$2:$J$3),_xlfn.XLOOKUP(K494,Config!$K$2:$K$3,Config!$L$2:$L$3),_xlfn.XLOOKUP(L494,Config!$M$2:$M$3,Config!$N$2:$N$3),_xlfn.XLOOKUP(M494,Config!$O$2:$O$6,Config!$P$2:$P$6))</f>
        <v>7.8688362060000026E-4</v>
      </c>
      <c r="Q494">
        <v>1</v>
      </c>
      <c r="R494" s="16">
        <f>P494*Q494*Config!$B$19</f>
        <v>5.7829369059048629E-4</v>
      </c>
      <c r="S494" t="s">
        <v>1288</v>
      </c>
    </row>
    <row r="495" spans="1:19" x14ac:dyDescent="0.45">
      <c r="A495" s="7">
        <v>494</v>
      </c>
      <c r="B495" s="7" t="s">
        <v>1630</v>
      </c>
      <c r="C495" s="7" t="s">
        <v>1560</v>
      </c>
      <c r="D495" s="7" t="s">
        <v>1561</v>
      </c>
      <c r="F495" t="s">
        <v>986</v>
      </c>
      <c r="G495" t="s">
        <v>833</v>
      </c>
      <c r="H495" t="s">
        <v>808</v>
      </c>
      <c r="I495" s="12" t="s">
        <v>1107</v>
      </c>
      <c r="J495" s="12"/>
      <c r="K495" s="12" t="s">
        <v>1062</v>
      </c>
      <c r="L495" s="12" t="s">
        <v>1110</v>
      </c>
      <c r="M495" s="12" t="s">
        <v>838</v>
      </c>
      <c r="N495" s="14" t="s">
        <v>1003</v>
      </c>
      <c r="P495" s="16">
        <f>PRODUCT(_xlfn.XLOOKUP(F495,Config!$A$2:$A$15,Config!$B$2:$B$15),_xlfn.XLOOKUP(G495,Config!$C$2:$C$7,Config!$D$2:$D$7),_xlfn.XLOOKUP(H495,Config!$E$2:$E$5,Config!$F$2:$F$5),_xlfn.XLOOKUP(I495,Config!$G$2:$G$3,Config!$H$2:$H$3),_xlfn.XLOOKUP(J495,Config!$I$2:$I$3,Config!$J$2:$J$3),_xlfn.XLOOKUP(K495,Config!$K$2:$K$3,Config!$L$2:$L$3),_xlfn.XLOOKUP(L495,Config!$M$2:$M$3,Config!$N$2:$N$3),_xlfn.XLOOKUP(M495,Config!$O$2:$O$6,Config!$P$2:$P$6))</f>
        <v>7.8688362060000026E-4</v>
      </c>
      <c r="Q495">
        <v>1</v>
      </c>
      <c r="R495" s="16">
        <f>P495*Q495*Config!$B$19</f>
        <v>5.7829369059048629E-4</v>
      </c>
      <c r="S495" t="s">
        <v>1288</v>
      </c>
    </row>
    <row r="496" spans="1:19" x14ac:dyDescent="0.45">
      <c r="A496" s="7">
        <v>495</v>
      </c>
      <c r="B496" s="7" t="s">
        <v>1546</v>
      </c>
      <c r="C496" s="7" t="s">
        <v>1626</v>
      </c>
      <c r="D496" s="7" t="s">
        <v>1553</v>
      </c>
      <c r="F496" t="s">
        <v>987</v>
      </c>
      <c r="G496" t="s">
        <v>833</v>
      </c>
      <c r="H496" t="s">
        <v>808</v>
      </c>
      <c r="I496" s="12" t="s">
        <v>1107</v>
      </c>
      <c r="J496" s="12"/>
      <c r="K496" s="12" t="s">
        <v>1062</v>
      </c>
      <c r="L496" s="12" t="s">
        <v>1110</v>
      </c>
      <c r="M496" s="12" t="s">
        <v>838</v>
      </c>
      <c r="N496" s="14" t="s">
        <v>1003</v>
      </c>
      <c r="P496" s="16">
        <f>PRODUCT(_xlfn.XLOOKUP(F496,Config!$A$2:$A$15,Config!$B$2:$B$15),_xlfn.XLOOKUP(G496,Config!$C$2:$C$7,Config!$D$2:$D$7),_xlfn.XLOOKUP(H496,Config!$E$2:$E$5,Config!$F$2:$F$5),_xlfn.XLOOKUP(I496,Config!$G$2:$G$3,Config!$H$2:$H$3),_xlfn.XLOOKUP(J496,Config!$I$2:$I$3,Config!$J$2:$J$3),_xlfn.XLOOKUP(K496,Config!$K$2:$K$3,Config!$L$2:$L$3),_xlfn.XLOOKUP(L496,Config!$M$2:$M$3,Config!$N$2:$N$3),_xlfn.XLOOKUP(M496,Config!$O$2:$O$6,Config!$P$2:$P$6))</f>
        <v>4.0724678609999992E-4</v>
      </c>
      <c r="Q496">
        <v>1</v>
      </c>
      <c r="R496" s="16">
        <f>P496*Q496*Config!$B$19</f>
        <v>2.9929234863893575E-4</v>
      </c>
      <c r="S496" t="s">
        <v>1288</v>
      </c>
    </row>
    <row r="497" spans="1:19" x14ac:dyDescent="0.45">
      <c r="A497" s="7">
        <v>496</v>
      </c>
      <c r="B497" s="7" t="s">
        <v>1630</v>
      </c>
      <c r="C497" s="7" t="s">
        <v>1560</v>
      </c>
      <c r="D497" s="7" t="s">
        <v>1561</v>
      </c>
      <c r="F497" t="s">
        <v>987</v>
      </c>
      <c r="G497" t="s">
        <v>833</v>
      </c>
      <c r="H497" t="s">
        <v>808</v>
      </c>
      <c r="I497" s="12" t="s">
        <v>1107</v>
      </c>
      <c r="J497" s="12"/>
      <c r="K497" s="12" t="s">
        <v>1062</v>
      </c>
      <c r="L497" s="12" t="s">
        <v>1110</v>
      </c>
      <c r="M497" s="12" t="s">
        <v>838</v>
      </c>
      <c r="N497" s="14" t="s">
        <v>1003</v>
      </c>
      <c r="P497" s="16">
        <f>PRODUCT(_xlfn.XLOOKUP(F497,Config!$A$2:$A$15,Config!$B$2:$B$15),_xlfn.XLOOKUP(G497,Config!$C$2:$C$7,Config!$D$2:$D$7),_xlfn.XLOOKUP(H497,Config!$E$2:$E$5,Config!$F$2:$F$5),_xlfn.XLOOKUP(I497,Config!$G$2:$G$3,Config!$H$2:$H$3),_xlfn.XLOOKUP(J497,Config!$I$2:$I$3,Config!$J$2:$J$3),_xlfn.XLOOKUP(K497,Config!$K$2:$K$3,Config!$L$2:$L$3),_xlfn.XLOOKUP(L497,Config!$M$2:$M$3,Config!$N$2:$N$3),_xlfn.XLOOKUP(M497,Config!$O$2:$O$6,Config!$P$2:$P$6))</f>
        <v>4.0724678609999992E-4</v>
      </c>
      <c r="Q497">
        <v>1</v>
      </c>
      <c r="R497" s="16">
        <f>P497*Q497*Config!$B$19</f>
        <v>2.9929234863893575E-4</v>
      </c>
      <c r="S497" t="s">
        <v>1288</v>
      </c>
    </row>
    <row r="498" spans="1:19" x14ac:dyDescent="0.45">
      <c r="A498" s="7">
        <v>497</v>
      </c>
      <c r="B498" s="3" t="s">
        <v>1559</v>
      </c>
      <c r="C498" s="7" t="s">
        <v>1633</v>
      </c>
      <c r="D498" s="3" t="s">
        <v>1558</v>
      </c>
      <c r="F498" t="s">
        <v>984</v>
      </c>
      <c r="G498" t="s">
        <v>833</v>
      </c>
      <c r="H498" t="s">
        <v>808</v>
      </c>
      <c r="I498" s="12" t="s">
        <v>1107</v>
      </c>
      <c r="J498" s="12"/>
      <c r="K498" s="12" t="s">
        <v>1062</v>
      </c>
      <c r="L498" s="12" t="s">
        <v>1111</v>
      </c>
      <c r="M498" s="12" t="s">
        <v>838</v>
      </c>
      <c r="N498" s="14" t="s">
        <v>1003</v>
      </c>
      <c r="P498" s="16">
        <f>PRODUCT(_xlfn.XLOOKUP(F498,Config!$A$2:$A$15,Config!$B$2:$B$15),_xlfn.XLOOKUP(G498,Config!$C$2:$C$7,Config!$D$2:$D$7),_xlfn.XLOOKUP(H498,Config!$E$2:$E$5,Config!$F$2:$F$5),_xlfn.XLOOKUP(I498,Config!$G$2:$G$3,Config!$H$2:$H$3),_xlfn.XLOOKUP(J498,Config!$I$2:$I$3,Config!$J$2:$J$3),_xlfn.XLOOKUP(K498,Config!$K$2:$K$3,Config!$L$2:$L$3),_xlfn.XLOOKUP(L498,Config!$M$2:$M$3,Config!$N$2:$N$3),_xlfn.XLOOKUP(M498,Config!$O$2:$O$6,Config!$P$2:$P$6))</f>
        <v>2.8584420480000009E-4</v>
      </c>
      <c r="Q498">
        <v>1</v>
      </c>
      <c r="R498" s="16">
        <f>P498*Q498*Config!$B$19</f>
        <v>2.1007159864587323E-4</v>
      </c>
      <c r="S498" t="s">
        <v>1288</v>
      </c>
    </row>
    <row r="499" spans="1:19" x14ac:dyDescent="0.45">
      <c r="A499" s="7">
        <v>498</v>
      </c>
      <c r="B499" s="7" t="s">
        <v>1559</v>
      </c>
      <c r="C499" s="7" t="s">
        <v>1633</v>
      </c>
      <c r="D499" s="3" t="s">
        <v>1558</v>
      </c>
      <c r="F499" t="s">
        <v>985</v>
      </c>
      <c r="G499" t="s">
        <v>833</v>
      </c>
      <c r="H499" t="s">
        <v>808</v>
      </c>
      <c r="I499" s="12" t="s">
        <v>1107</v>
      </c>
      <c r="J499" s="12"/>
      <c r="K499" s="12" t="s">
        <v>1062</v>
      </c>
      <c r="L499" s="12" t="s">
        <v>1111</v>
      </c>
      <c r="M499" s="12" t="s">
        <v>838</v>
      </c>
      <c r="N499" s="14" t="s">
        <v>1003</v>
      </c>
      <c r="P499" s="16">
        <f>PRODUCT(_xlfn.XLOOKUP(F499,Config!$A$2:$A$15,Config!$B$2:$B$15),_xlfn.XLOOKUP(G499,Config!$C$2:$C$7,Config!$D$2:$D$7),_xlfn.XLOOKUP(H499,Config!$E$2:$E$5,Config!$F$2:$F$5),_xlfn.XLOOKUP(I499,Config!$G$2:$G$3,Config!$H$2:$H$3),_xlfn.XLOOKUP(J499,Config!$I$2:$I$3,Config!$J$2:$J$3),_xlfn.XLOOKUP(K499,Config!$K$2:$K$3,Config!$L$2:$L$3),_xlfn.XLOOKUP(L499,Config!$M$2:$M$3,Config!$N$2:$N$3),_xlfn.XLOOKUP(M499,Config!$O$2:$O$6,Config!$P$2:$P$6))</f>
        <v>2.468654496E-4</v>
      </c>
      <c r="Q499">
        <v>1</v>
      </c>
      <c r="R499" s="16">
        <f>P499*Q499*Config!$B$19</f>
        <v>1.8142547155779957E-4</v>
      </c>
      <c r="S499" t="s">
        <v>1288</v>
      </c>
    </row>
    <row r="500" spans="1:19" x14ac:dyDescent="0.45">
      <c r="A500" s="7">
        <v>499</v>
      </c>
      <c r="B500" s="3" t="s">
        <v>1559</v>
      </c>
      <c r="C500" s="7" t="s">
        <v>1633</v>
      </c>
      <c r="D500" s="3" t="s">
        <v>1558</v>
      </c>
      <c r="F500" t="s">
        <v>1010</v>
      </c>
      <c r="G500" t="s">
        <v>833</v>
      </c>
      <c r="H500" t="s">
        <v>808</v>
      </c>
      <c r="I500" s="12" t="s">
        <v>1107</v>
      </c>
      <c r="J500" s="12"/>
      <c r="K500" s="12" t="s">
        <v>1062</v>
      </c>
      <c r="L500" s="12" t="s">
        <v>1111</v>
      </c>
      <c r="M500" s="12" t="s">
        <v>838</v>
      </c>
      <c r="N500" s="14" t="s">
        <v>1003</v>
      </c>
      <c r="O500" t="s">
        <v>641</v>
      </c>
      <c r="P500" s="16">
        <f>PRODUCT(_xlfn.XLOOKUP(F500,Config!$A$2:$A$15,Config!$B$2:$B$15),_xlfn.XLOOKUP(G500,Config!$C$2:$C$7,Config!$D$2:$D$7),_xlfn.XLOOKUP(H500,Config!$E$2:$E$5,Config!$F$2:$F$5),_xlfn.XLOOKUP(I500,Config!$G$2:$G$3,Config!$H$2:$H$3),_xlfn.XLOOKUP(J500,Config!$I$2:$I$3,Config!$J$2:$J$3),_xlfn.XLOOKUP(K500,Config!$K$2:$K$3,Config!$L$2:$L$3),_xlfn.XLOOKUP(L500,Config!$M$2:$M$3,Config!$N$2:$N$3),_xlfn.XLOOKUP(M500,Config!$O$2:$O$6,Config!$P$2:$P$6))</f>
        <v>1.9164554640000006E-4</v>
      </c>
      <c r="Q500">
        <v>1</v>
      </c>
      <c r="R500" s="16">
        <f>P500*Q500*Config!$B$19</f>
        <v>1.4084345818302866E-4</v>
      </c>
      <c r="S500" t="s">
        <v>1288</v>
      </c>
    </row>
    <row r="501" spans="1:19" x14ac:dyDescent="0.45">
      <c r="A501" s="7">
        <v>500</v>
      </c>
      <c r="B501" s="3" t="s">
        <v>1559</v>
      </c>
      <c r="C501" s="7" t="s">
        <v>1633</v>
      </c>
      <c r="D501" s="3" t="s">
        <v>1558</v>
      </c>
      <c r="F501" t="s">
        <v>971</v>
      </c>
      <c r="G501" t="s">
        <v>833</v>
      </c>
      <c r="H501" t="s">
        <v>808</v>
      </c>
      <c r="I501" s="12" t="s">
        <v>1107</v>
      </c>
      <c r="J501" s="12"/>
      <c r="K501" s="12" t="s">
        <v>1062</v>
      </c>
      <c r="L501" s="12" t="s">
        <v>1111</v>
      </c>
      <c r="M501" s="12" t="s">
        <v>838</v>
      </c>
      <c r="N501" s="14" t="s">
        <v>1003</v>
      </c>
      <c r="P501" s="16">
        <f>PRODUCT(_xlfn.XLOOKUP(F501,Config!$A$2:$A$15,Config!$B$2:$B$15),_xlfn.XLOOKUP(G501,Config!$C$2:$C$7,Config!$D$2:$D$7),_xlfn.XLOOKUP(H501,Config!$E$2:$E$5,Config!$F$2:$F$5),_xlfn.XLOOKUP(I501,Config!$G$2:$G$3,Config!$H$2:$H$3),_xlfn.XLOOKUP(J501,Config!$I$2:$I$3,Config!$J$2:$J$3),_xlfn.XLOOKUP(K501,Config!$K$2:$K$3,Config!$L$2:$L$3),_xlfn.XLOOKUP(L501,Config!$M$2:$M$3,Config!$N$2:$N$3),_xlfn.XLOOKUP(M501,Config!$O$2:$O$6,Config!$P$2:$P$6))</f>
        <v>1.6078736520000003E-4</v>
      </c>
      <c r="Q501">
        <v>1</v>
      </c>
      <c r="R501" s="16">
        <f>P501*Q501*Config!$B$19</f>
        <v>1.1816527423830369E-4</v>
      </c>
      <c r="S501" t="s">
        <v>1288</v>
      </c>
    </row>
    <row r="502" spans="1:19" x14ac:dyDescent="0.45">
      <c r="A502" s="7">
        <v>501</v>
      </c>
      <c r="B502" s="3" t="s">
        <v>1559</v>
      </c>
      <c r="C502" s="7" t="s">
        <v>1633</v>
      </c>
      <c r="D502" s="3" t="s">
        <v>1558</v>
      </c>
      <c r="F502" t="s">
        <v>986</v>
      </c>
      <c r="G502" t="s">
        <v>833</v>
      </c>
      <c r="H502" t="s">
        <v>808</v>
      </c>
      <c r="I502" s="12" t="s">
        <v>1107</v>
      </c>
      <c r="J502" s="12"/>
      <c r="K502" s="12" t="s">
        <v>1062</v>
      </c>
      <c r="L502" s="12" t="s">
        <v>1111</v>
      </c>
      <c r="M502" s="12" t="s">
        <v>838</v>
      </c>
      <c r="N502" s="14" t="s">
        <v>1003</v>
      </c>
      <c r="P502" s="16">
        <f>PRODUCT(_xlfn.XLOOKUP(F502,Config!$A$2:$A$15,Config!$B$2:$B$15),_xlfn.XLOOKUP(G502,Config!$C$2:$C$7,Config!$D$2:$D$7),_xlfn.XLOOKUP(H502,Config!$E$2:$E$5,Config!$F$2:$F$5),_xlfn.XLOOKUP(I502,Config!$G$2:$G$3,Config!$H$2:$H$3),_xlfn.XLOOKUP(J502,Config!$I$2:$I$3,Config!$J$2:$J$3),_xlfn.XLOOKUP(K502,Config!$K$2:$K$3,Config!$L$2:$L$3),_xlfn.XLOOKUP(L502,Config!$M$2:$M$3,Config!$N$2:$N$3),_xlfn.XLOOKUP(M502,Config!$O$2:$O$6,Config!$P$2:$P$6))</f>
        <v>1.3886181540000004E-4</v>
      </c>
      <c r="Q502">
        <v>1</v>
      </c>
      <c r="R502" s="16">
        <f>P502*Q502*Config!$B$19</f>
        <v>1.0205182775126228E-4</v>
      </c>
      <c r="S502" t="s">
        <v>1288</v>
      </c>
    </row>
    <row r="503" spans="1:19" x14ac:dyDescent="0.45">
      <c r="A503" s="7">
        <v>502</v>
      </c>
      <c r="B503" s="7" t="s">
        <v>1559</v>
      </c>
      <c r="C503" s="7" t="s">
        <v>1633</v>
      </c>
      <c r="D503" s="3" t="s">
        <v>1558</v>
      </c>
      <c r="F503" t="s">
        <v>987</v>
      </c>
      <c r="G503" t="s">
        <v>833</v>
      </c>
      <c r="H503" t="s">
        <v>808</v>
      </c>
      <c r="I503" s="12" t="s">
        <v>1107</v>
      </c>
      <c r="J503" s="12"/>
      <c r="K503" s="12" t="s">
        <v>1062</v>
      </c>
      <c r="L503" s="12" t="s">
        <v>1111</v>
      </c>
      <c r="M503" s="12" t="s">
        <v>838</v>
      </c>
      <c r="N503" s="14" t="s">
        <v>1003</v>
      </c>
      <c r="P503" s="16">
        <f>PRODUCT(_xlfn.XLOOKUP(F503,Config!$A$2:$A$15,Config!$B$2:$B$15),_xlfn.XLOOKUP(G503,Config!$C$2:$C$7,Config!$D$2:$D$7),_xlfn.XLOOKUP(H503,Config!$E$2:$E$5,Config!$F$2:$F$5),_xlfn.XLOOKUP(I503,Config!$G$2:$G$3,Config!$H$2:$H$3),_xlfn.XLOOKUP(J503,Config!$I$2:$I$3,Config!$J$2:$J$3),_xlfn.XLOOKUP(K503,Config!$K$2:$K$3,Config!$L$2:$L$3),_xlfn.XLOOKUP(L503,Config!$M$2:$M$3,Config!$N$2:$N$3),_xlfn.XLOOKUP(M503,Config!$O$2:$O$6,Config!$P$2:$P$6))</f>
        <v>7.1867079899999995E-5</v>
      </c>
      <c r="Q503">
        <v>1</v>
      </c>
      <c r="R503" s="16">
        <f>P503*Q503*Config!$B$19</f>
        <v>5.2816296818635721E-5</v>
      </c>
      <c r="S503" t="s">
        <v>1288</v>
      </c>
    </row>
    <row r="504" spans="1:19" x14ac:dyDescent="0.45">
      <c r="A504" s="7">
        <v>503</v>
      </c>
      <c r="B504" s="7" t="s">
        <v>1635</v>
      </c>
      <c r="C504" s="7" t="s">
        <v>1089</v>
      </c>
      <c r="D504" s="7" t="s">
        <v>1227</v>
      </c>
      <c r="E504" t="s">
        <v>865</v>
      </c>
      <c r="F504" t="s">
        <v>984</v>
      </c>
      <c r="G504" t="s">
        <v>834</v>
      </c>
      <c r="H504" t="s">
        <v>808</v>
      </c>
      <c r="I504" s="12" t="s">
        <v>1107</v>
      </c>
      <c r="J504" s="12"/>
      <c r="K504" s="12" t="s">
        <v>1062</v>
      </c>
      <c r="L504" s="12" t="s">
        <v>1110</v>
      </c>
      <c r="M504" s="12" t="s">
        <v>838</v>
      </c>
      <c r="N504" s="14" t="s">
        <v>1003</v>
      </c>
      <c r="P504" s="16">
        <f>PRODUCT(_xlfn.XLOOKUP(F504,Config!$A$2:$A$15,Config!$B$2:$B$15),_xlfn.XLOOKUP(G504,Config!$C$2:$C$7,Config!$D$2:$D$7),_xlfn.XLOOKUP(H504,Config!$E$2:$E$5,Config!$F$2:$F$5),_xlfn.XLOOKUP(I504,Config!$G$2:$G$3,Config!$H$2:$H$3),_xlfn.XLOOKUP(J504,Config!$I$2:$I$3,Config!$J$2:$J$3),_xlfn.XLOOKUP(K504,Config!$K$2:$K$3,Config!$L$2:$L$3),_xlfn.XLOOKUP(L504,Config!$M$2:$M$3,Config!$N$2:$N$3),_xlfn.XLOOKUP(M504,Config!$O$2:$O$6,Config!$P$2:$P$6))</f>
        <v>2.0825792064000002E-3</v>
      </c>
      <c r="Q504">
        <v>1</v>
      </c>
      <c r="R504" s="16">
        <f>P504*Q504*Config!$B$19</f>
        <v>1.5305216472770761E-3</v>
      </c>
      <c r="S504" t="s">
        <v>1288</v>
      </c>
    </row>
    <row r="505" spans="1:19" x14ac:dyDescent="0.45">
      <c r="A505" s="7">
        <v>504</v>
      </c>
      <c r="B505" s="7" t="s">
        <v>1636</v>
      </c>
      <c r="C505" s="7" t="s">
        <v>1088</v>
      </c>
      <c r="D505" s="7" t="s">
        <v>1000</v>
      </c>
      <c r="E505" t="s">
        <v>867</v>
      </c>
      <c r="F505" t="s">
        <v>984</v>
      </c>
      <c r="G505" t="s">
        <v>834</v>
      </c>
      <c r="H505" t="s">
        <v>808</v>
      </c>
      <c r="I505" s="12" t="s">
        <v>1107</v>
      </c>
      <c r="J505" s="12"/>
      <c r="K505" s="12" t="s">
        <v>1062</v>
      </c>
      <c r="L505" s="12" t="s">
        <v>1110</v>
      </c>
      <c r="M505" s="12" t="s">
        <v>838</v>
      </c>
      <c r="N505" s="14" t="s">
        <v>1003</v>
      </c>
      <c r="P505" s="16">
        <f>PRODUCT(_xlfn.XLOOKUP(F505,Config!$A$2:$A$15,Config!$B$2:$B$15),_xlfn.XLOOKUP(G505,Config!$C$2:$C$7,Config!$D$2:$D$7),_xlfn.XLOOKUP(H505,Config!$E$2:$E$5,Config!$F$2:$F$5),_xlfn.XLOOKUP(I505,Config!$G$2:$G$3,Config!$H$2:$H$3),_xlfn.XLOOKUP(J505,Config!$I$2:$I$3,Config!$J$2:$J$3),_xlfn.XLOOKUP(K505,Config!$K$2:$K$3,Config!$L$2:$L$3),_xlfn.XLOOKUP(L505,Config!$M$2:$M$3,Config!$N$2:$N$3),_xlfn.XLOOKUP(M505,Config!$O$2:$O$6,Config!$P$2:$P$6))</f>
        <v>2.0825792064000002E-3</v>
      </c>
      <c r="Q505">
        <v>1</v>
      </c>
      <c r="R505" s="16">
        <f>P505*Q505*Config!$B$19</f>
        <v>1.5305216472770761E-3</v>
      </c>
      <c r="S505" t="s">
        <v>1288</v>
      </c>
    </row>
    <row r="506" spans="1:19" x14ac:dyDescent="0.45">
      <c r="A506" s="7">
        <v>505</v>
      </c>
      <c r="B506" s="7" t="s">
        <v>1637</v>
      </c>
      <c r="C506" s="7" t="s">
        <v>1090</v>
      </c>
      <c r="D506" s="7" t="s">
        <v>1228</v>
      </c>
      <c r="E506" t="s">
        <v>950</v>
      </c>
      <c r="F506" t="s">
        <v>984</v>
      </c>
      <c r="G506" t="s">
        <v>834</v>
      </c>
      <c r="H506" t="s">
        <v>808</v>
      </c>
      <c r="I506" s="12" t="s">
        <v>1107</v>
      </c>
      <c r="J506" s="12"/>
      <c r="K506" s="12" t="s">
        <v>1062</v>
      </c>
      <c r="L506" s="12" t="s">
        <v>1110</v>
      </c>
      <c r="M506" s="12" t="s">
        <v>838</v>
      </c>
      <c r="N506" s="14" t="s">
        <v>1003</v>
      </c>
      <c r="P506" s="16">
        <f>PRODUCT(_xlfn.XLOOKUP(F506,Config!$A$2:$A$15,Config!$B$2:$B$15),_xlfn.XLOOKUP(G506,Config!$C$2:$C$7,Config!$D$2:$D$7),_xlfn.XLOOKUP(H506,Config!$E$2:$E$5,Config!$F$2:$F$5),_xlfn.XLOOKUP(I506,Config!$G$2:$G$3,Config!$H$2:$H$3),_xlfn.XLOOKUP(J506,Config!$I$2:$I$3,Config!$J$2:$J$3),_xlfn.XLOOKUP(K506,Config!$K$2:$K$3,Config!$L$2:$L$3),_xlfn.XLOOKUP(L506,Config!$M$2:$M$3,Config!$N$2:$N$3),_xlfn.XLOOKUP(M506,Config!$O$2:$O$6,Config!$P$2:$P$6))</f>
        <v>2.0825792064000002E-3</v>
      </c>
      <c r="Q506">
        <v>1</v>
      </c>
      <c r="R506" s="16">
        <f>P506*Q506*Config!$B$19</f>
        <v>1.5305216472770761E-3</v>
      </c>
      <c r="S506" t="s">
        <v>1288</v>
      </c>
    </row>
    <row r="507" spans="1:19" x14ac:dyDescent="0.45">
      <c r="A507" s="7">
        <v>506</v>
      </c>
      <c r="B507" s="7" t="s">
        <v>1635</v>
      </c>
      <c r="C507" s="7" t="s">
        <v>1089</v>
      </c>
      <c r="D507" s="7" t="s">
        <v>1227</v>
      </c>
      <c r="E507" t="s">
        <v>865</v>
      </c>
      <c r="F507" t="s">
        <v>985</v>
      </c>
      <c r="G507" t="s">
        <v>834</v>
      </c>
      <c r="H507" t="s">
        <v>808</v>
      </c>
      <c r="I507" s="12" t="s">
        <v>1107</v>
      </c>
      <c r="J507" s="12"/>
      <c r="K507" s="12" t="s">
        <v>1062</v>
      </c>
      <c r="L507" s="12" t="s">
        <v>1110</v>
      </c>
      <c r="M507" s="12" t="s">
        <v>838</v>
      </c>
      <c r="N507" s="14" t="s">
        <v>1003</v>
      </c>
      <c r="P507" s="16">
        <f>PRODUCT(_xlfn.XLOOKUP(F507,Config!$A$2:$A$15,Config!$B$2:$B$15),_xlfn.XLOOKUP(G507,Config!$C$2:$C$7,Config!$D$2:$D$7),_xlfn.XLOOKUP(H507,Config!$E$2:$E$5,Config!$F$2:$F$5),_xlfn.XLOOKUP(I507,Config!$G$2:$G$3,Config!$H$2:$H$3),_xlfn.XLOOKUP(J507,Config!$I$2:$I$3,Config!$J$2:$J$3),_xlfn.XLOOKUP(K507,Config!$K$2:$K$3,Config!$L$2:$L$3),_xlfn.XLOOKUP(L507,Config!$M$2:$M$3,Config!$N$2:$N$3),_xlfn.XLOOKUP(M507,Config!$O$2:$O$6,Config!$P$2:$P$6))</f>
        <v>1.7985911328000002E-3</v>
      </c>
      <c r="Q507">
        <v>1</v>
      </c>
      <c r="R507" s="16">
        <f>P507*Q507*Config!$B$19</f>
        <v>1.3218141499211113E-3</v>
      </c>
      <c r="S507" t="s">
        <v>1288</v>
      </c>
    </row>
    <row r="508" spans="1:19" x14ac:dyDescent="0.45">
      <c r="A508" s="7">
        <v>507</v>
      </c>
      <c r="B508" s="7" t="s">
        <v>1636</v>
      </c>
      <c r="C508" s="7" t="s">
        <v>1088</v>
      </c>
      <c r="D508" s="7" t="s">
        <v>1000</v>
      </c>
      <c r="E508" t="s">
        <v>867</v>
      </c>
      <c r="F508" t="s">
        <v>985</v>
      </c>
      <c r="G508" t="s">
        <v>834</v>
      </c>
      <c r="H508" t="s">
        <v>808</v>
      </c>
      <c r="I508" s="12" t="s">
        <v>1107</v>
      </c>
      <c r="J508" s="12"/>
      <c r="K508" s="12" t="s">
        <v>1062</v>
      </c>
      <c r="L508" s="12" t="s">
        <v>1110</v>
      </c>
      <c r="M508" s="12" t="s">
        <v>838</v>
      </c>
      <c r="N508" s="14" t="s">
        <v>1003</v>
      </c>
      <c r="P508" s="16">
        <f>PRODUCT(_xlfn.XLOOKUP(F508,Config!$A$2:$A$15,Config!$B$2:$B$15),_xlfn.XLOOKUP(G508,Config!$C$2:$C$7,Config!$D$2:$D$7),_xlfn.XLOOKUP(H508,Config!$E$2:$E$5,Config!$F$2:$F$5),_xlfn.XLOOKUP(I508,Config!$G$2:$G$3,Config!$H$2:$H$3),_xlfn.XLOOKUP(J508,Config!$I$2:$I$3,Config!$J$2:$J$3),_xlfn.XLOOKUP(K508,Config!$K$2:$K$3,Config!$L$2:$L$3),_xlfn.XLOOKUP(L508,Config!$M$2:$M$3,Config!$N$2:$N$3),_xlfn.XLOOKUP(M508,Config!$O$2:$O$6,Config!$P$2:$P$6))</f>
        <v>1.7985911328000002E-3</v>
      </c>
      <c r="Q508">
        <v>1</v>
      </c>
      <c r="R508" s="16">
        <f>P508*Q508*Config!$B$19</f>
        <v>1.3218141499211113E-3</v>
      </c>
      <c r="S508" t="s">
        <v>1288</v>
      </c>
    </row>
    <row r="509" spans="1:19" x14ac:dyDescent="0.45">
      <c r="A509" s="7">
        <v>508</v>
      </c>
      <c r="B509" s="7" t="s">
        <v>1637</v>
      </c>
      <c r="C509" s="7" t="s">
        <v>1090</v>
      </c>
      <c r="D509" s="7" t="s">
        <v>1228</v>
      </c>
      <c r="E509" t="s">
        <v>950</v>
      </c>
      <c r="F509" t="s">
        <v>985</v>
      </c>
      <c r="G509" t="s">
        <v>834</v>
      </c>
      <c r="H509" t="s">
        <v>808</v>
      </c>
      <c r="I509" s="12" t="s">
        <v>1107</v>
      </c>
      <c r="J509" s="12"/>
      <c r="K509" s="12" t="s">
        <v>1062</v>
      </c>
      <c r="L509" s="12" t="s">
        <v>1110</v>
      </c>
      <c r="M509" s="12" t="s">
        <v>838</v>
      </c>
      <c r="N509" s="14" t="s">
        <v>1003</v>
      </c>
      <c r="P509" s="16">
        <f>PRODUCT(_xlfn.XLOOKUP(F509,Config!$A$2:$A$15,Config!$B$2:$B$15),_xlfn.XLOOKUP(G509,Config!$C$2:$C$7,Config!$D$2:$D$7),_xlfn.XLOOKUP(H509,Config!$E$2:$E$5,Config!$F$2:$F$5),_xlfn.XLOOKUP(I509,Config!$G$2:$G$3,Config!$H$2:$H$3),_xlfn.XLOOKUP(J509,Config!$I$2:$I$3,Config!$J$2:$J$3),_xlfn.XLOOKUP(K509,Config!$K$2:$K$3,Config!$L$2:$L$3),_xlfn.XLOOKUP(L509,Config!$M$2:$M$3,Config!$N$2:$N$3),_xlfn.XLOOKUP(M509,Config!$O$2:$O$6,Config!$P$2:$P$6))</f>
        <v>1.7985911328000002E-3</v>
      </c>
      <c r="Q509">
        <v>1</v>
      </c>
      <c r="R509" s="16">
        <f>P509*Q509*Config!$B$19</f>
        <v>1.3218141499211113E-3</v>
      </c>
      <c r="S509" t="s">
        <v>1288</v>
      </c>
    </row>
    <row r="510" spans="1:19" x14ac:dyDescent="0.45">
      <c r="A510" s="7">
        <v>509</v>
      </c>
      <c r="B510" s="7" t="s">
        <v>1638</v>
      </c>
      <c r="C510" s="7" t="s">
        <v>1089</v>
      </c>
      <c r="D510" s="7" t="s">
        <v>1227</v>
      </c>
      <c r="E510" t="s">
        <v>865</v>
      </c>
      <c r="F510" t="s">
        <v>1010</v>
      </c>
      <c r="G510" t="s">
        <v>834</v>
      </c>
      <c r="H510" t="s">
        <v>808</v>
      </c>
      <c r="I510" s="12" t="s">
        <v>1107</v>
      </c>
      <c r="J510" s="12"/>
      <c r="K510" s="12" t="s">
        <v>1062</v>
      </c>
      <c r="L510" s="12" t="s">
        <v>1110</v>
      </c>
      <c r="M510" s="12" t="s">
        <v>838</v>
      </c>
      <c r="N510" s="14" t="s">
        <v>1003</v>
      </c>
      <c r="O510" t="s">
        <v>866</v>
      </c>
      <c r="P510" s="16">
        <f>PRODUCT(_xlfn.XLOOKUP(F510,Config!$A$2:$A$15,Config!$B$2:$B$15),_xlfn.XLOOKUP(G510,Config!$C$2:$C$7,Config!$D$2:$D$7),_xlfn.XLOOKUP(H510,Config!$E$2:$E$5,Config!$F$2:$F$5),_xlfn.XLOOKUP(I510,Config!$G$2:$G$3,Config!$H$2:$H$3),_xlfn.XLOOKUP(J510,Config!$I$2:$I$3,Config!$J$2:$J$3),_xlfn.XLOOKUP(K510,Config!$K$2:$K$3,Config!$L$2:$L$3),_xlfn.XLOOKUP(L510,Config!$M$2:$M$3,Config!$N$2:$N$3),_xlfn.XLOOKUP(M510,Config!$O$2:$O$6,Config!$P$2:$P$6))</f>
        <v>1.3962746952000003E-3</v>
      </c>
      <c r="Q510">
        <v>1</v>
      </c>
      <c r="R510" s="16">
        <f>P510*Q510*Config!$B$19</f>
        <v>1.0261451953334944E-3</v>
      </c>
      <c r="S510" t="s">
        <v>1288</v>
      </c>
    </row>
    <row r="511" spans="1:19" x14ac:dyDescent="0.45">
      <c r="A511" s="7">
        <v>510</v>
      </c>
      <c r="B511" s="7" t="s">
        <v>1636</v>
      </c>
      <c r="C511" s="7" t="s">
        <v>1088</v>
      </c>
      <c r="D511" s="7" t="s">
        <v>1000</v>
      </c>
      <c r="E511" t="s">
        <v>867</v>
      </c>
      <c r="F511" t="s">
        <v>1010</v>
      </c>
      <c r="G511" t="s">
        <v>834</v>
      </c>
      <c r="H511" t="s">
        <v>808</v>
      </c>
      <c r="I511" s="12" t="s">
        <v>1107</v>
      </c>
      <c r="J511" s="12"/>
      <c r="K511" s="12" t="s">
        <v>1062</v>
      </c>
      <c r="L511" s="12" t="s">
        <v>1110</v>
      </c>
      <c r="M511" s="12" t="s">
        <v>838</v>
      </c>
      <c r="N511" s="14" t="s">
        <v>1003</v>
      </c>
      <c r="O511" t="s">
        <v>868</v>
      </c>
      <c r="P511" s="16">
        <f>PRODUCT(_xlfn.XLOOKUP(F511,Config!$A$2:$A$15,Config!$B$2:$B$15),_xlfn.XLOOKUP(G511,Config!$C$2:$C$7,Config!$D$2:$D$7),_xlfn.XLOOKUP(H511,Config!$E$2:$E$5,Config!$F$2:$F$5),_xlfn.XLOOKUP(I511,Config!$G$2:$G$3,Config!$H$2:$H$3),_xlfn.XLOOKUP(J511,Config!$I$2:$I$3,Config!$J$2:$J$3),_xlfn.XLOOKUP(K511,Config!$K$2:$K$3,Config!$L$2:$L$3),_xlfn.XLOOKUP(L511,Config!$M$2:$M$3,Config!$N$2:$N$3),_xlfn.XLOOKUP(M511,Config!$O$2:$O$6,Config!$P$2:$P$6))</f>
        <v>1.3962746952000003E-3</v>
      </c>
      <c r="Q511">
        <v>1</v>
      </c>
      <c r="R511" s="16">
        <f>P511*Q511*Config!$B$19</f>
        <v>1.0261451953334944E-3</v>
      </c>
      <c r="S511" t="s">
        <v>1288</v>
      </c>
    </row>
    <row r="512" spans="1:19" x14ac:dyDescent="0.45">
      <c r="A512" s="7">
        <v>512</v>
      </c>
      <c r="B512" s="7" t="s">
        <v>1639</v>
      </c>
      <c r="C512" s="7" t="s">
        <v>1090</v>
      </c>
      <c r="D512" s="7" t="s">
        <v>1228</v>
      </c>
      <c r="E512" t="s">
        <v>950</v>
      </c>
      <c r="F512" t="s">
        <v>1010</v>
      </c>
      <c r="G512" t="s">
        <v>834</v>
      </c>
      <c r="H512" t="s">
        <v>808</v>
      </c>
      <c r="I512" s="12" t="s">
        <v>1107</v>
      </c>
      <c r="J512" s="12"/>
      <c r="K512" s="12" t="s">
        <v>1062</v>
      </c>
      <c r="L512" s="12" t="s">
        <v>1110</v>
      </c>
      <c r="M512" s="12" t="s">
        <v>838</v>
      </c>
      <c r="N512" s="14" t="s">
        <v>1003</v>
      </c>
      <c r="O512" t="s">
        <v>951</v>
      </c>
      <c r="P512" s="16">
        <f>PRODUCT(_xlfn.XLOOKUP(F512,Config!$A$2:$A$15,Config!$B$2:$B$15),_xlfn.XLOOKUP(G512,Config!$C$2:$C$7,Config!$D$2:$D$7),_xlfn.XLOOKUP(H512,Config!$E$2:$E$5,Config!$F$2:$F$5),_xlfn.XLOOKUP(I512,Config!$G$2:$G$3,Config!$H$2:$H$3),_xlfn.XLOOKUP(J512,Config!$I$2:$I$3,Config!$J$2:$J$3),_xlfn.XLOOKUP(K512,Config!$K$2:$K$3,Config!$L$2:$L$3),_xlfn.XLOOKUP(L512,Config!$M$2:$M$3,Config!$N$2:$N$3),_xlfn.XLOOKUP(M512,Config!$O$2:$O$6,Config!$P$2:$P$6))</f>
        <v>1.3962746952000003E-3</v>
      </c>
      <c r="Q512">
        <v>1</v>
      </c>
      <c r="R512" s="16">
        <f>P512*Q512*Config!$B$19</f>
        <v>1.0261451953334944E-3</v>
      </c>
      <c r="S512" t="s">
        <v>1288</v>
      </c>
    </row>
    <row r="513" spans="1:19" x14ac:dyDescent="0.45">
      <c r="A513" s="7">
        <v>513</v>
      </c>
      <c r="B513" s="7" t="s">
        <v>1635</v>
      </c>
      <c r="C513" s="7" t="s">
        <v>1089</v>
      </c>
      <c r="D513" s="7" t="s">
        <v>1227</v>
      </c>
      <c r="E513" t="s">
        <v>865</v>
      </c>
      <c r="F513" t="s">
        <v>971</v>
      </c>
      <c r="G513" t="s">
        <v>834</v>
      </c>
      <c r="H513" t="s">
        <v>808</v>
      </c>
      <c r="I513" s="12" t="s">
        <v>1107</v>
      </c>
      <c r="J513" s="12"/>
      <c r="K513" s="12" t="s">
        <v>1062</v>
      </c>
      <c r="L513" s="12" t="s">
        <v>1110</v>
      </c>
      <c r="M513" s="12" t="s">
        <v>838</v>
      </c>
      <c r="N513" s="14" t="s">
        <v>1003</v>
      </c>
      <c r="P513" s="16">
        <f>PRODUCT(_xlfn.XLOOKUP(F513,Config!$A$2:$A$15,Config!$B$2:$B$15),_xlfn.XLOOKUP(G513,Config!$C$2:$C$7,Config!$D$2:$D$7),_xlfn.XLOOKUP(H513,Config!$E$2:$E$5,Config!$F$2:$F$5),_xlfn.XLOOKUP(I513,Config!$G$2:$G$3,Config!$H$2:$H$3),_xlfn.XLOOKUP(J513,Config!$I$2:$I$3,Config!$J$2:$J$3),_xlfn.XLOOKUP(K513,Config!$K$2:$K$3,Config!$L$2:$L$3),_xlfn.XLOOKUP(L513,Config!$M$2:$M$3,Config!$N$2:$N$3),_xlfn.XLOOKUP(M513,Config!$O$2:$O$6,Config!$P$2:$P$6))</f>
        <v>1.1714508036E-3</v>
      </c>
      <c r="Q513">
        <v>1</v>
      </c>
      <c r="R513" s="16">
        <f>P513*Q513*Config!$B$19</f>
        <v>8.6091842659335527E-4</v>
      </c>
      <c r="S513" t="s">
        <v>1288</v>
      </c>
    </row>
    <row r="514" spans="1:19" x14ac:dyDescent="0.45">
      <c r="A514" s="7">
        <v>514</v>
      </c>
      <c r="B514" s="7" t="s">
        <v>1636</v>
      </c>
      <c r="C514" s="7" t="s">
        <v>1088</v>
      </c>
      <c r="D514" s="7" t="s">
        <v>1000</v>
      </c>
      <c r="E514" t="s">
        <v>867</v>
      </c>
      <c r="F514" t="s">
        <v>971</v>
      </c>
      <c r="G514" t="s">
        <v>834</v>
      </c>
      <c r="H514" t="s">
        <v>808</v>
      </c>
      <c r="I514" s="12" t="s">
        <v>1107</v>
      </c>
      <c r="J514" s="12"/>
      <c r="K514" s="12" t="s">
        <v>1062</v>
      </c>
      <c r="L514" s="12" t="s">
        <v>1110</v>
      </c>
      <c r="M514" s="12" t="s">
        <v>838</v>
      </c>
      <c r="N514" s="14" t="s">
        <v>1003</v>
      </c>
      <c r="P514" s="16">
        <f>PRODUCT(_xlfn.XLOOKUP(F514,Config!$A$2:$A$15,Config!$B$2:$B$15),_xlfn.XLOOKUP(G514,Config!$C$2:$C$7,Config!$D$2:$D$7),_xlfn.XLOOKUP(H514,Config!$E$2:$E$5,Config!$F$2:$F$5),_xlfn.XLOOKUP(I514,Config!$G$2:$G$3,Config!$H$2:$H$3),_xlfn.XLOOKUP(J514,Config!$I$2:$I$3,Config!$J$2:$J$3),_xlfn.XLOOKUP(K514,Config!$K$2:$K$3,Config!$L$2:$L$3),_xlfn.XLOOKUP(L514,Config!$M$2:$M$3,Config!$N$2:$N$3),_xlfn.XLOOKUP(M514,Config!$O$2:$O$6,Config!$P$2:$P$6))</f>
        <v>1.1714508036E-3</v>
      </c>
      <c r="Q514">
        <v>1</v>
      </c>
      <c r="R514" s="16">
        <f>P514*Q514*Config!$B$19</f>
        <v>8.6091842659335527E-4</v>
      </c>
      <c r="S514" t="s">
        <v>1288</v>
      </c>
    </row>
    <row r="515" spans="1:19" x14ac:dyDescent="0.45">
      <c r="A515" s="7">
        <v>515</v>
      </c>
      <c r="B515" s="7" t="s">
        <v>1637</v>
      </c>
      <c r="C515" s="7" t="s">
        <v>1088</v>
      </c>
      <c r="D515" s="7" t="s">
        <v>1000</v>
      </c>
      <c r="E515" t="s">
        <v>915</v>
      </c>
      <c r="F515" t="s">
        <v>971</v>
      </c>
      <c r="G515" t="s">
        <v>834</v>
      </c>
      <c r="H515" t="s">
        <v>808</v>
      </c>
      <c r="I515" s="12" t="s">
        <v>1107</v>
      </c>
      <c r="J515" s="12"/>
      <c r="K515" s="12" t="s">
        <v>1062</v>
      </c>
      <c r="L515" s="12" t="s">
        <v>1110</v>
      </c>
      <c r="M515" s="12" t="s">
        <v>838</v>
      </c>
      <c r="N515" s="14" t="s">
        <v>1003</v>
      </c>
      <c r="P515" s="16">
        <f>PRODUCT(_xlfn.XLOOKUP(F515,Config!$A$2:$A$15,Config!$B$2:$B$15),_xlfn.XLOOKUP(G515,Config!$C$2:$C$7,Config!$D$2:$D$7),_xlfn.XLOOKUP(H515,Config!$E$2:$E$5,Config!$F$2:$F$5),_xlfn.XLOOKUP(I515,Config!$G$2:$G$3,Config!$H$2:$H$3),_xlfn.XLOOKUP(J515,Config!$I$2:$I$3,Config!$J$2:$J$3),_xlfn.XLOOKUP(K515,Config!$K$2:$K$3,Config!$L$2:$L$3),_xlfn.XLOOKUP(L515,Config!$M$2:$M$3,Config!$N$2:$N$3),_xlfn.XLOOKUP(M515,Config!$O$2:$O$6,Config!$P$2:$P$6))</f>
        <v>1.1714508036E-3</v>
      </c>
      <c r="Q515">
        <v>1</v>
      </c>
      <c r="R515" s="16">
        <f>P515*Q515*Config!$B$19</f>
        <v>8.6091842659335527E-4</v>
      </c>
      <c r="S515" t="s">
        <v>1288</v>
      </c>
    </row>
    <row r="516" spans="1:19" x14ac:dyDescent="0.45">
      <c r="A516" s="7">
        <v>516</v>
      </c>
      <c r="B516" s="7" t="s">
        <v>1637</v>
      </c>
      <c r="C516" s="7" t="s">
        <v>1090</v>
      </c>
      <c r="D516" s="7" t="s">
        <v>1228</v>
      </c>
      <c r="E516" t="s">
        <v>950</v>
      </c>
      <c r="F516" t="s">
        <v>971</v>
      </c>
      <c r="G516" t="s">
        <v>834</v>
      </c>
      <c r="H516" t="s">
        <v>808</v>
      </c>
      <c r="I516" s="12" t="s">
        <v>1107</v>
      </c>
      <c r="J516" s="12"/>
      <c r="K516" s="12" t="s">
        <v>1062</v>
      </c>
      <c r="L516" s="12" t="s">
        <v>1110</v>
      </c>
      <c r="M516" s="12" t="s">
        <v>838</v>
      </c>
      <c r="N516" s="14" t="s">
        <v>1003</v>
      </c>
      <c r="P516" s="16">
        <f>PRODUCT(_xlfn.XLOOKUP(F516,Config!$A$2:$A$15,Config!$B$2:$B$15),_xlfn.XLOOKUP(G516,Config!$C$2:$C$7,Config!$D$2:$D$7),_xlfn.XLOOKUP(H516,Config!$E$2:$E$5,Config!$F$2:$F$5),_xlfn.XLOOKUP(I516,Config!$G$2:$G$3,Config!$H$2:$H$3),_xlfn.XLOOKUP(J516,Config!$I$2:$I$3,Config!$J$2:$J$3),_xlfn.XLOOKUP(K516,Config!$K$2:$K$3,Config!$L$2:$L$3),_xlfn.XLOOKUP(L516,Config!$M$2:$M$3,Config!$N$2:$N$3),_xlfn.XLOOKUP(M516,Config!$O$2:$O$6,Config!$P$2:$P$6))</f>
        <v>1.1714508036E-3</v>
      </c>
      <c r="Q516">
        <v>1</v>
      </c>
      <c r="R516" s="16">
        <f>P516*Q516*Config!$B$19</f>
        <v>8.6091842659335527E-4</v>
      </c>
      <c r="S516" t="s">
        <v>1288</v>
      </c>
    </row>
    <row r="517" spans="1:19" x14ac:dyDescent="0.45">
      <c r="A517" s="7">
        <v>517</v>
      </c>
      <c r="B517" s="7" t="s">
        <v>1635</v>
      </c>
      <c r="C517" s="7" t="s">
        <v>1089</v>
      </c>
      <c r="D517" s="7" t="s">
        <v>1227</v>
      </c>
      <c r="E517" t="s">
        <v>865</v>
      </c>
      <c r="F517" t="s">
        <v>986</v>
      </c>
      <c r="G517" t="s">
        <v>834</v>
      </c>
      <c r="H517" t="s">
        <v>808</v>
      </c>
      <c r="I517" s="12" t="s">
        <v>1107</v>
      </c>
      <c r="J517" s="12"/>
      <c r="K517" s="12" t="s">
        <v>1062</v>
      </c>
      <c r="L517" s="12" t="s">
        <v>1110</v>
      </c>
      <c r="M517" s="12" t="s">
        <v>838</v>
      </c>
      <c r="N517" s="14" t="s">
        <v>1003</v>
      </c>
      <c r="P517" s="16">
        <f>PRODUCT(_xlfn.XLOOKUP(F517,Config!$A$2:$A$15,Config!$B$2:$B$15),_xlfn.XLOOKUP(G517,Config!$C$2:$C$7,Config!$D$2:$D$7),_xlfn.XLOOKUP(H517,Config!$E$2:$E$5,Config!$F$2:$F$5),_xlfn.XLOOKUP(I517,Config!$G$2:$G$3,Config!$H$2:$H$3),_xlfn.XLOOKUP(J517,Config!$I$2:$I$3,Config!$J$2:$J$3),_xlfn.XLOOKUP(K517,Config!$K$2:$K$3,Config!$L$2:$L$3),_xlfn.XLOOKUP(L517,Config!$M$2:$M$3,Config!$N$2:$N$3),_xlfn.XLOOKUP(M517,Config!$O$2:$O$6,Config!$P$2:$P$6))</f>
        <v>1.0117075122E-3</v>
      </c>
      <c r="Q517">
        <v>1</v>
      </c>
      <c r="R517" s="16">
        <f>P517*Q517*Config!$B$19</f>
        <v>7.4352045933062498E-4</v>
      </c>
      <c r="S517" t="s">
        <v>1288</v>
      </c>
    </row>
    <row r="518" spans="1:19" x14ac:dyDescent="0.45">
      <c r="A518" s="7">
        <v>518</v>
      </c>
      <c r="B518" s="7" t="s">
        <v>1636</v>
      </c>
      <c r="C518" s="7" t="s">
        <v>1088</v>
      </c>
      <c r="D518" s="7" t="s">
        <v>1000</v>
      </c>
      <c r="E518" t="s">
        <v>867</v>
      </c>
      <c r="F518" t="s">
        <v>986</v>
      </c>
      <c r="G518" t="s">
        <v>834</v>
      </c>
      <c r="H518" t="s">
        <v>808</v>
      </c>
      <c r="I518" s="12" t="s">
        <v>1107</v>
      </c>
      <c r="J518" s="12"/>
      <c r="K518" s="12" t="s">
        <v>1062</v>
      </c>
      <c r="L518" s="12" t="s">
        <v>1110</v>
      </c>
      <c r="M518" s="12" t="s">
        <v>838</v>
      </c>
      <c r="N518" s="14" t="s">
        <v>1003</v>
      </c>
      <c r="P518" s="16">
        <f>PRODUCT(_xlfn.XLOOKUP(F518,Config!$A$2:$A$15,Config!$B$2:$B$15),_xlfn.XLOOKUP(G518,Config!$C$2:$C$7,Config!$D$2:$D$7),_xlfn.XLOOKUP(H518,Config!$E$2:$E$5,Config!$F$2:$F$5),_xlfn.XLOOKUP(I518,Config!$G$2:$G$3,Config!$H$2:$H$3),_xlfn.XLOOKUP(J518,Config!$I$2:$I$3,Config!$J$2:$J$3),_xlfn.XLOOKUP(K518,Config!$K$2:$K$3,Config!$L$2:$L$3),_xlfn.XLOOKUP(L518,Config!$M$2:$M$3,Config!$N$2:$N$3),_xlfn.XLOOKUP(M518,Config!$O$2:$O$6,Config!$P$2:$P$6))</f>
        <v>1.0117075122E-3</v>
      </c>
      <c r="Q518">
        <v>1</v>
      </c>
      <c r="R518" s="16">
        <f>P518*Q518*Config!$B$19</f>
        <v>7.4352045933062498E-4</v>
      </c>
      <c r="S518" t="s">
        <v>1288</v>
      </c>
    </row>
    <row r="519" spans="1:19" x14ac:dyDescent="0.45">
      <c r="A519" s="7">
        <v>519</v>
      </c>
      <c r="B519" s="7" t="s">
        <v>1637</v>
      </c>
      <c r="C519" s="7" t="s">
        <v>1090</v>
      </c>
      <c r="D519" s="7" t="s">
        <v>1228</v>
      </c>
      <c r="E519" t="s">
        <v>950</v>
      </c>
      <c r="F519" t="s">
        <v>986</v>
      </c>
      <c r="G519" t="s">
        <v>834</v>
      </c>
      <c r="H519" t="s">
        <v>808</v>
      </c>
      <c r="I519" s="12" t="s">
        <v>1107</v>
      </c>
      <c r="J519" s="12"/>
      <c r="K519" s="12" t="s">
        <v>1062</v>
      </c>
      <c r="L519" s="12" t="s">
        <v>1110</v>
      </c>
      <c r="M519" s="12" t="s">
        <v>838</v>
      </c>
      <c r="N519" s="14" t="s">
        <v>1003</v>
      </c>
      <c r="P519" s="16">
        <f>PRODUCT(_xlfn.XLOOKUP(F519,Config!$A$2:$A$15,Config!$B$2:$B$15),_xlfn.XLOOKUP(G519,Config!$C$2:$C$7,Config!$D$2:$D$7),_xlfn.XLOOKUP(H519,Config!$E$2:$E$5,Config!$F$2:$F$5),_xlfn.XLOOKUP(I519,Config!$G$2:$G$3,Config!$H$2:$H$3),_xlfn.XLOOKUP(J519,Config!$I$2:$I$3,Config!$J$2:$J$3),_xlfn.XLOOKUP(K519,Config!$K$2:$K$3,Config!$L$2:$L$3),_xlfn.XLOOKUP(L519,Config!$M$2:$M$3,Config!$N$2:$N$3),_xlfn.XLOOKUP(M519,Config!$O$2:$O$6,Config!$P$2:$P$6))</f>
        <v>1.0117075122E-3</v>
      </c>
      <c r="Q519">
        <v>1</v>
      </c>
      <c r="R519" s="16">
        <f>P519*Q519*Config!$B$19</f>
        <v>7.4352045933062498E-4</v>
      </c>
      <c r="S519" t="s">
        <v>1288</v>
      </c>
    </row>
    <row r="520" spans="1:19" x14ac:dyDescent="0.45">
      <c r="A520" s="7">
        <v>521</v>
      </c>
      <c r="B520" s="7" t="s">
        <v>1635</v>
      </c>
      <c r="C520" s="7" t="s">
        <v>1089</v>
      </c>
      <c r="D520" s="7" t="s">
        <v>1227</v>
      </c>
      <c r="E520" t="s">
        <v>865</v>
      </c>
      <c r="F520" t="s">
        <v>987</v>
      </c>
      <c r="G520" t="s">
        <v>834</v>
      </c>
      <c r="H520" t="s">
        <v>808</v>
      </c>
      <c r="I520" s="12" t="s">
        <v>1107</v>
      </c>
      <c r="J520" s="12"/>
      <c r="K520" s="12" t="s">
        <v>1062</v>
      </c>
      <c r="L520" s="12" t="s">
        <v>1110</v>
      </c>
      <c r="M520" s="12" t="s">
        <v>838</v>
      </c>
      <c r="N520" s="14" t="s">
        <v>1003</v>
      </c>
      <c r="P520" s="16">
        <f>PRODUCT(_xlfn.XLOOKUP(F520,Config!$A$2:$A$15,Config!$B$2:$B$15),_xlfn.XLOOKUP(G520,Config!$C$2:$C$7,Config!$D$2:$D$7),_xlfn.XLOOKUP(H520,Config!$E$2:$E$5,Config!$F$2:$F$5),_xlfn.XLOOKUP(I520,Config!$G$2:$G$3,Config!$H$2:$H$3),_xlfn.XLOOKUP(J520,Config!$I$2:$I$3,Config!$J$2:$J$3),_xlfn.XLOOKUP(K520,Config!$K$2:$K$3,Config!$L$2:$L$3),_xlfn.XLOOKUP(L520,Config!$M$2:$M$3,Config!$N$2:$N$3),_xlfn.XLOOKUP(M520,Config!$O$2:$O$6,Config!$P$2:$P$6))</f>
        <v>5.2360301069999989E-4</v>
      </c>
      <c r="Q520">
        <v>1</v>
      </c>
      <c r="R520" s="16">
        <f>P520*Q520*Config!$B$19</f>
        <v>3.8480444825006021E-4</v>
      </c>
      <c r="S520" t="s">
        <v>1288</v>
      </c>
    </row>
    <row r="521" spans="1:19" x14ac:dyDescent="0.45">
      <c r="A521" s="7">
        <v>522</v>
      </c>
      <c r="B521" s="7" t="s">
        <v>1641</v>
      </c>
      <c r="C521" s="7" t="s">
        <v>1088</v>
      </c>
      <c r="D521" s="7" t="s">
        <v>1000</v>
      </c>
      <c r="E521" t="s">
        <v>867</v>
      </c>
      <c r="F521" t="s">
        <v>987</v>
      </c>
      <c r="G521" t="s">
        <v>834</v>
      </c>
      <c r="H521" t="s">
        <v>808</v>
      </c>
      <c r="I521" s="12" t="s">
        <v>1107</v>
      </c>
      <c r="J521" s="12"/>
      <c r="K521" s="12" t="s">
        <v>1062</v>
      </c>
      <c r="L521" s="12" t="s">
        <v>1110</v>
      </c>
      <c r="M521" s="12" t="s">
        <v>838</v>
      </c>
      <c r="N521" s="14" t="s">
        <v>1003</v>
      </c>
      <c r="P521" s="16">
        <f>PRODUCT(_xlfn.XLOOKUP(F521,Config!$A$2:$A$15,Config!$B$2:$B$15),_xlfn.XLOOKUP(G521,Config!$C$2:$C$7,Config!$D$2:$D$7),_xlfn.XLOOKUP(H521,Config!$E$2:$E$5,Config!$F$2:$F$5),_xlfn.XLOOKUP(I521,Config!$G$2:$G$3,Config!$H$2:$H$3),_xlfn.XLOOKUP(J521,Config!$I$2:$I$3,Config!$J$2:$J$3),_xlfn.XLOOKUP(K521,Config!$K$2:$K$3,Config!$L$2:$L$3),_xlfn.XLOOKUP(L521,Config!$M$2:$M$3,Config!$N$2:$N$3),_xlfn.XLOOKUP(M521,Config!$O$2:$O$6,Config!$P$2:$P$6))</f>
        <v>5.2360301069999989E-4</v>
      </c>
      <c r="Q521">
        <v>1</v>
      </c>
      <c r="R521" s="16">
        <f>P521*Q521*Config!$B$19</f>
        <v>3.8480444825006021E-4</v>
      </c>
      <c r="S521" t="s">
        <v>1288</v>
      </c>
    </row>
    <row r="522" spans="1:19" x14ac:dyDescent="0.45">
      <c r="A522" s="7">
        <v>523</v>
      </c>
      <c r="B522" s="7" t="s">
        <v>1637</v>
      </c>
      <c r="C522" s="7" t="s">
        <v>1090</v>
      </c>
      <c r="D522" s="7" t="s">
        <v>1228</v>
      </c>
      <c r="E522" t="s">
        <v>950</v>
      </c>
      <c r="F522" t="s">
        <v>987</v>
      </c>
      <c r="G522" t="s">
        <v>834</v>
      </c>
      <c r="H522" t="s">
        <v>808</v>
      </c>
      <c r="I522" s="12" t="s">
        <v>1107</v>
      </c>
      <c r="J522" s="12"/>
      <c r="K522" s="12" t="s">
        <v>1062</v>
      </c>
      <c r="L522" s="12" t="s">
        <v>1110</v>
      </c>
      <c r="M522" s="12" t="s">
        <v>838</v>
      </c>
      <c r="N522" s="14" t="s">
        <v>1003</v>
      </c>
      <c r="P522" s="16">
        <f>PRODUCT(_xlfn.XLOOKUP(F522,Config!$A$2:$A$15,Config!$B$2:$B$15),_xlfn.XLOOKUP(G522,Config!$C$2:$C$7,Config!$D$2:$D$7),_xlfn.XLOOKUP(H522,Config!$E$2:$E$5,Config!$F$2:$F$5),_xlfn.XLOOKUP(I522,Config!$G$2:$G$3,Config!$H$2:$H$3),_xlfn.XLOOKUP(J522,Config!$I$2:$I$3,Config!$J$2:$J$3),_xlfn.XLOOKUP(K522,Config!$K$2:$K$3,Config!$L$2:$L$3),_xlfn.XLOOKUP(L522,Config!$M$2:$M$3,Config!$N$2:$N$3),_xlfn.XLOOKUP(M522,Config!$O$2:$O$6,Config!$P$2:$P$6))</f>
        <v>5.2360301069999989E-4</v>
      </c>
      <c r="Q522">
        <v>1</v>
      </c>
      <c r="R522" s="16">
        <f>P522*Q522*Config!$B$19</f>
        <v>3.8480444825006021E-4</v>
      </c>
      <c r="S522" t="s">
        <v>1288</v>
      </c>
    </row>
    <row r="523" spans="1:19" x14ac:dyDescent="0.45">
      <c r="A523" s="3">
        <v>524</v>
      </c>
      <c r="B523" s="3" t="s">
        <v>1265</v>
      </c>
      <c r="C523" s="3" t="s">
        <v>1266</v>
      </c>
      <c r="D523" s="3" t="s">
        <v>1267</v>
      </c>
      <c r="E523" t="s">
        <v>1273</v>
      </c>
      <c r="F523" t="s">
        <v>971</v>
      </c>
      <c r="G523" t="s">
        <v>830</v>
      </c>
      <c r="H523" t="s">
        <v>768</v>
      </c>
      <c r="I523" s="12" t="s">
        <v>1107</v>
      </c>
      <c r="J523" s="12"/>
      <c r="K523" s="12" t="s">
        <v>1062</v>
      </c>
      <c r="L523" s="12" t="s">
        <v>1110</v>
      </c>
      <c r="M523" s="12" t="s">
        <v>838</v>
      </c>
      <c r="N523" s="14" t="s">
        <v>1003</v>
      </c>
      <c r="P523" s="16">
        <f>PRODUCT(_xlfn.XLOOKUP(F523,Config!$A$2:$A$15,Config!$B$2:$B$15),_xlfn.XLOOKUP(G523,Config!$C$2:$C$7,Config!$D$2:$D$7),_xlfn.XLOOKUP(H523,Config!$E$2:$E$5,Config!$F$2:$F$5),_xlfn.XLOOKUP(I523,Config!$G$2:$G$3,Config!$H$2:$H$3),_xlfn.XLOOKUP(J523,Config!$I$2:$I$3,Config!$J$2:$J$3),_xlfn.XLOOKUP(K523,Config!$K$2:$K$3,Config!$L$2:$L$3),_xlfn.XLOOKUP(L523,Config!$M$2:$M$3,Config!$N$2:$N$3),_xlfn.XLOOKUP(M523,Config!$O$2:$O$6,Config!$P$2:$P$6))</f>
        <v>8.519642208E-4</v>
      </c>
      <c r="Q523" s="22">
        <v>0.75</v>
      </c>
      <c r="R523" s="16">
        <f>P523*Q523*Config!$B$19</f>
        <v>4.6959186905092107E-4</v>
      </c>
    </row>
    <row r="524" spans="1:19" x14ac:dyDescent="0.45">
      <c r="A524" s="7">
        <v>525</v>
      </c>
      <c r="B524" s="7" t="s">
        <v>1265</v>
      </c>
      <c r="C524" s="3" t="s">
        <v>1266</v>
      </c>
      <c r="D524" s="3" t="s">
        <v>1267</v>
      </c>
      <c r="E524" t="s">
        <v>1273</v>
      </c>
      <c r="F524" t="s">
        <v>986</v>
      </c>
      <c r="G524" t="s">
        <v>830</v>
      </c>
      <c r="H524" t="s">
        <v>768</v>
      </c>
      <c r="I524" s="12" t="s">
        <v>1107</v>
      </c>
      <c r="J524" s="12"/>
      <c r="K524" s="12" t="s">
        <v>1062</v>
      </c>
      <c r="L524" s="12" t="s">
        <v>1110</v>
      </c>
      <c r="M524" s="12" t="s">
        <v>838</v>
      </c>
      <c r="N524" s="14" t="s">
        <v>1003</v>
      </c>
      <c r="P524" s="16">
        <f>PRODUCT(_xlfn.XLOOKUP(F524,Config!$A$2:$A$15,Config!$B$2:$B$15),_xlfn.XLOOKUP(G524,Config!$C$2:$C$7,Config!$D$2:$D$7),_xlfn.XLOOKUP(H524,Config!$E$2:$E$5,Config!$F$2:$F$5),_xlfn.XLOOKUP(I524,Config!$G$2:$G$3,Config!$H$2:$H$3),_xlfn.XLOOKUP(J524,Config!$I$2:$I$3,Config!$J$2:$J$3),_xlfn.XLOOKUP(K524,Config!$K$2:$K$3,Config!$L$2:$L$3),_xlfn.XLOOKUP(L524,Config!$M$2:$M$3,Config!$N$2:$N$3),_xlfn.XLOOKUP(M524,Config!$O$2:$O$6,Config!$P$2:$P$6))</f>
        <v>7.3578728159999984E-4</v>
      </c>
      <c r="Q524" s="22">
        <v>0.75</v>
      </c>
      <c r="R524" s="16">
        <f>P524*Q524*Config!$B$19</f>
        <v>4.0555661418034081E-4</v>
      </c>
    </row>
    <row r="525" spans="1:19" x14ac:dyDescent="0.45">
      <c r="A525" s="7">
        <v>526</v>
      </c>
      <c r="B525" s="7" t="s">
        <v>1265</v>
      </c>
      <c r="C525" s="3" t="s">
        <v>1266</v>
      </c>
      <c r="D525" s="3" t="s">
        <v>1267</v>
      </c>
      <c r="E525" t="s">
        <v>1273</v>
      </c>
      <c r="F525" t="s">
        <v>987</v>
      </c>
      <c r="G525" t="s">
        <v>830</v>
      </c>
      <c r="H525" t="s">
        <v>768</v>
      </c>
      <c r="I525" s="12" t="s">
        <v>1107</v>
      </c>
      <c r="J525" s="12"/>
      <c r="K525" s="12" t="s">
        <v>1062</v>
      </c>
      <c r="L525" s="12" t="s">
        <v>1110</v>
      </c>
      <c r="M525" s="12" t="s">
        <v>838</v>
      </c>
      <c r="N525" s="14" t="s">
        <v>1003</v>
      </c>
      <c r="P525" s="16">
        <f>PRODUCT(_xlfn.XLOOKUP(F525,Config!$A$2:$A$15,Config!$B$2:$B$15),_xlfn.XLOOKUP(G525,Config!$C$2:$C$7,Config!$D$2:$D$7),_xlfn.XLOOKUP(H525,Config!$E$2:$E$5,Config!$F$2:$F$5),_xlfn.XLOOKUP(I525,Config!$G$2:$G$3,Config!$H$2:$H$3),_xlfn.XLOOKUP(J525,Config!$I$2:$I$3,Config!$J$2:$J$3),_xlfn.XLOOKUP(K525,Config!$K$2:$K$3,Config!$L$2:$L$3),_xlfn.XLOOKUP(L525,Config!$M$2:$M$3,Config!$N$2:$N$3),_xlfn.XLOOKUP(M525,Config!$O$2:$O$6,Config!$P$2:$P$6))</f>
        <v>3.8080218959999989E-4</v>
      </c>
      <c r="Q525" s="22">
        <v>0.75</v>
      </c>
      <c r="R525" s="16">
        <f>P525*Q525*Config!$B$19</f>
        <v>2.0989333540912374E-4</v>
      </c>
    </row>
    <row r="526" spans="1:19" x14ac:dyDescent="0.45">
      <c r="A526" s="7">
        <v>527</v>
      </c>
      <c r="B526" s="7" t="s">
        <v>1271</v>
      </c>
      <c r="C526" s="3" t="s">
        <v>1522</v>
      </c>
      <c r="D526" s="3" t="s">
        <v>1523</v>
      </c>
      <c r="E526" t="s">
        <v>1274</v>
      </c>
      <c r="F526" t="s">
        <v>984</v>
      </c>
      <c r="G526" t="s">
        <v>830</v>
      </c>
      <c r="H526" t="s">
        <v>768</v>
      </c>
      <c r="I526" s="12" t="s">
        <v>1107</v>
      </c>
      <c r="J526" s="12"/>
      <c r="K526" s="12" t="s">
        <v>1062</v>
      </c>
      <c r="L526" s="12" t="s">
        <v>1110</v>
      </c>
      <c r="M526" s="12" t="s">
        <v>838</v>
      </c>
      <c r="N526" s="14"/>
      <c r="P526" s="16">
        <f>PRODUCT(_xlfn.XLOOKUP(F526,Config!$A$2:$A$15,Config!$B$2:$B$15),_xlfn.XLOOKUP(G526,Config!$C$2:$C$7,Config!$D$2:$D$7),_xlfn.XLOOKUP(H526,Config!$E$2:$E$5,Config!$F$2:$F$5),_xlfn.XLOOKUP(I526,Config!$G$2:$G$3,Config!$H$2:$H$3),_xlfn.XLOOKUP(J526,Config!$I$2:$I$3,Config!$J$2:$J$3),_xlfn.XLOOKUP(K526,Config!$K$2:$K$3,Config!$L$2:$L$3),_xlfn.XLOOKUP(L526,Config!$M$2:$M$3,Config!$N$2:$N$3),_xlfn.XLOOKUP(M526,Config!$O$2:$O$6,Config!$P$2:$P$6))</f>
        <v>1.5146030592000004E-3</v>
      </c>
      <c r="Q526" s="22">
        <v>1</v>
      </c>
      <c r="R526" s="16">
        <f>P526*Q526*Config!$B$19</f>
        <v>1.1131066525651464E-3</v>
      </c>
    </row>
    <row r="527" spans="1:19" x14ac:dyDescent="0.45">
      <c r="A527" s="7">
        <v>528</v>
      </c>
      <c r="B527" s="7" t="s">
        <v>1271</v>
      </c>
      <c r="C527" s="3" t="s">
        <v>1522</v>
      </c>
      <c r="D527" s="3" t="s">
        <v>1523</v>
      </c>
      <c r="E527" t="s">
        <v>1274</v>
      </c>
      <c r="F527" t="s">
        <v>985</v>
      </c>
      <c r="G527" t="s">
        <v>830</v>
      </c>
      <c r="H527" t="s">
        <v>768</v>
      </c>
      <c r="I527" s="12" t="s">
        <v>1107</v>
      </c>
      <c r="J527" s="12"/>
      <c r="K527" s="12" t="s">
        <v>1062</v>
      </c>
      <c r="L527" s="12" t="s">
        <v>1110</v>
      </c>
      <c r="M527" s="12" t="s">
        <v>838</v>
      </c>
      <c r="N527" s="14"/>
      <c r="P527" s="16">
        <f>PRODUCT(_xlfn.XLOOKUP(F527,Config!$A$2:$A$15,Config!$B$2:$B$15),_xlfn.XLOOKUP(G527,Config!$C$2:$C$7,Config!$D$2:$D$7),_xlfn.XLOOKUP(H527,Config!$E$2:$E$5,Config!$F$2:$F$5),_xlfn.XLOOKUP(I527,Config!$G$2:$G$3,Config!$H$2:$H$3),_xlfn.XLOOKUP(J527,Config!$I$2:$I$3,Config!$J$2:$J$3),_xlfn.XLOOKUP(K527,Config!$K$2:$K$3,Config!$L$2:$L$3),_xlfn.XLOOKUP(L527,Config!$M$2:$M$3,Config!$N$2:$N$3),_xlfn.XLOOKUP(M527,Config!$O$2:$O$6,Config!$P$2:$P$6))</f>
        <v>1.3080662784E-3</v>
      </c>
      <c r="Q527" s="22">
        <v>1</v>
      </c>
      <c r="R527" s="16">
        <f>P527*Q527*Config!$B$19</f>
        <v>9.6131938176080805E-4</v>
      </c>
    </row>
    <row r="528" spans="1:19" x14ac:dyDescent="0.45">
      <c r="A528" s="7">
        <v>529</v>
      </c>
      <c r="B528" s="7" t="s">
        <v>1271</v>
      </c>
      <c r="C528" s="3" t="s">
        <v>1522</v>
      </c>
      <c r="D528" s="3" t="s">
        <v>1523</v>
      </c>
      <c r="E528" t="s">
        <v>1274</v>
      </c>
      <c r="F528" t="s">
        <v>1010</v>
      </c>
      <c r="G528" t="s">
        <v>830</v>
      </c>
      <c r="H528" t="s">
        <v>768</v>
      </c>
      <c r="I528" s="12" t="s">
        <v>1107</v>
      </c>
      <c r="J528" s="12"/>
      <c r="K528" s="12" t="s">
        <v>1062</v>
      </c>
      <c r="L528" s="12" t="s">
        <v>1110</v>
      </c>
      <c r="M528" s="12" t="s">
        <v>838</v>
      </c>
      <c r="N528" s="14"/>
      <c r="P528" s="16">
        <f>PRODUCT(_xlfn.XLOOKUP(F528,Config!$A$2:$A$15,Config!$B$2:$B$15),_xlfn.XLOOKUP(G528,Config!$C$2:$C$7,Config!$D$2:$D$7),_xlfn.XLOOKUP(H528,Config!$E$2:$E$5,Config!$F$2:$F$5),_xlfn.XLOOKUP(I528,Config!$G$2:$G$3,Config!$H$2:$H$3),_xlfn.XLOOKUP(J528,Config!$I$2:$I$3,Config!$J$2:$J$3),_xlfn.XLOOKUP(K528,Config!$K$2:$K$3,Config!$L$2:$L$3),_xlfn.XLOOKUP(L528,Config!$M$2:$M$3,Config!$N$2:$N$3),_xlfn.XLOOKUP(M528,Config!$O$2:$O$6,Config!$P$2:$P$6))</f>
        <v>1.0154725055999999E-3</v>
      </c>
      <c r="Q528" s="22">
        <v>1</v>
      </c>
      <c r="R528" s="16">
        <f>P528*Q528*Config!$B$19</f>
        <v>7.4628741478799572E-4</v>
      </c>
    </row>
    <row r="529" spans="1:18" x14ac:dyDescent="0.45">
      <c r="A529" s="7">
        <v>530</v>
      </c>
      <c r="B529" s="7" t="s">
        <v>1271</v>
      </c>
      <c r="C529" s="3" t="s">
        <v>1522</v>
      </c>
      <c r="D529" s="3" t="s">
        <v>1523</v>
      </c>
      <c r="E529" t="s">
        <v>1274</v>
      </c>
      <c r="F529" t="s">
        <v>971</v>
      </c>
      <c r="G529" t="s">
        <v>830</v>
      </c>
      <c r="H529" t="s">
        <v>768</v>
      </c>
      <c r="I529" s="12" t="s">
        <v>1107</v>
      </c>
      <c r="J529" s="12"/>
      <c r="K529" s="12" t="s">
        <v>1062</v>
      </c>
      <c r="L529" s="12" t="s">
        <v>1110</v>
      </c>
      <c r="M529" s="12" t="s">
        <v>838</v>
      </c>
      <c r="N529" s="14"/>
      <c r="P529" s="16">
        <f>PRODUCT(_xlfn.XLOOKUP(F529,Config!$A$2:$A$15,Config!$B$2:$B$15),_xlfn.XLOOKUP(G529,Config!$C$2:$C$7,Config!$D$2:$D$7),_xlfn.XLOOKUP(H529,Config!$E$2:$E$5,Config!$F$2:$F$5),_xlfn.XLOOKUP(I529,Config!$G$2:$G$3,Config!$H$2:$H$3),_xlfn.XLOOKUP(J529,Config!$I$2:$I$3,Config!$J$2:$J$3),_xlfn.XLOOKUP(K529,Config!$K$2:$K$3,Config!$L$2:$L$3),_xlfn.XLOOKUP(L529,Config!$M$2:$M$3,Config!$N$2:$N$3),_xlfn.XLOOKUP(M529,Config!$O$2:$O$6,Config!$P$2:$P$6))</f>
        <v>8.519642208E-4</v>
      </c>
      <c r="Q529" s="22">
        <v>1</v>
      </c>
      <c r="R529" s="16">
        <f>P529*Q529*Config!$B$19</f>
        <v>6.2612249206789468E-4</v>
      </c>
    </row>
    <row r="530" spans="1:18" x14ac:dyDescent="0.45">
      <c r="A530" s="7">
        <v>531</v>
      </c>
      <c r="B530" s="7" t="s">
        <v>1271</v>
      </c>
      <c r="C530" s="3" t="s">
        <v>1522</v>
      </c>
      <c r="D530" s="3" t="s">
        <v>1523</v>
      </c>
      <c r="E530" t="s">
        <v>1274</v>
      </c>
      <c r="F530" t="s">
        <v>986</v>
      </c>
      <c r="G530" t="s">
        <v>830</v>
      </c>
      <c r="H530" t="s">
        <v>768</v>
      </c>
      <c r="I530" s="12" t="s">
        <v>1107</v>
      </c>
      <c r="J530" s="12"/>
      <c r="K530" s="12" t="s">
        <v>1062</v>
      </c>
      <c r="L530" s="12" t="s">
        <v>1110</v>
      </c>
      <c r="M530" s="12" t="s">
        <v>838</v>
      </c>
      <c r="N530" s="14"/>
      <c r="P530" s="16">
        <f>PRODUCT(_xlfn.XLOOKUP(F530,Config!$A$2:$A$15,Config!$B$2:$B$15),_xlfn.XLOOKUP(G530,Config!$C$2:$C$7,Config!$D$2:$D$7),_xlfn.XLOOKUP(H530,Config!$E$2:$E$5,Config!$F$2:$F$5),_xlfn.XLOOKUP(I530,Config!$G$2:$G$3,Config!$H$2:$H$3),_xlfn.XLOOKUP(J530,Config!$I$2:$I$3,Config!$J$2:$J$3),_xlfn.XLOOKUP(K530,Config!$K$2:$K$3,Config!$L$2:$L$3),_xlfn.XLOOKUP(L530,Config!$M$2:$M$3,Config!$N$2:$N$3),_xlfn.XLOOKUP(M530,Config!$O$2:$O$6,Config!$P$2:$P$6))</f>
        <v>7.3578728159999984E-4</v>
      </c>
      <c r="Q530" s="22">
        <v>1</v>
      </c>
      <c r="R530" s="16">
        <f>P530*Q530*Config!$B$19</f>
        <v>5.4074215224045438E-4</v>
      </c>
    </row>
    <row r="531" spans="1:18" x14ac:dyDescent="0.45">
      <c r="A531" s="7">
        <v>532</v>
      </c>
      <c r="B531" s="7" t="s">
        <v>1271</v>
      </c>
      <c r="C531" s="3" t="s">
        <v>1522</v>
      </c>
      <c r="D531" s="3" t="s">
        <v>1523</v>
      </c>
      <c r="E531" t="s">
        <v>1274</v>
      </c>
      <c r="F531" t="s">
        <v>987</v>
      </c>
      <c r="G531" t="s">
        <v>830</v>
      </c>
      <c r="H531" t="s">
        <v>768</v>
      </c>
      <c r="I531" s="12" t="s">
        <v>1107</v>
      </c>
      <c r="J531" s="12"/>
      <c r="K531" s="12" t="s">
        <v>1062</v>
      </c>
      <c r="L531" s="12" t="s">
        <v>1110</v>
      </c>
      <c r="M531" s="12" t="s">
        <v>838</v>
      </c>
      <c r="N531" s="14"/>
      <c r="P531" s="16">
        <f>PRODUCT(_xlfn.XLOOKUP(F531,Config!$A$2:$A$15,Config!$B$2:$B$15),_xlfn.XLOOKUP(G531,Config!$C$2:$C$7,Config!$D$2:$D$7),_xlfn.XLOOKUP(H531,Config!$E$2:$E$5,Config!$F$2:$F$5),_xlfn.XLOOKUP(I531,Config!$G$2:$G$3,Config!$H$2:$H$3),_xlfn.XLOOKUP(J531,Config!$I$2:$I$3,Config!$J$2:$J$3),_xlfn.XLOOKUP(K531,Config!$K$2:$K$3,Config!$L$2:$L$3),_xlfn.XLOOKUP(L531,Config!$M$2:$M$3,Config!$N$2:$N$3),_xlfn.XLOOKUP(M531,Config!$O$2:$O$6,Config!$P$2:$P$6))</f>
        <v>3.8080218959999989E-4</v>
      </c>
      <c r="Q531" s="22">
        <v>1</v>
      </c>
      <c r="R531" s="16">
        <f>P531*Q531*Config!$B$19</f>
        <v>2.798577805454983E-4</v>
      </c>
    </row>
    <row r="532" spans="1:18" x14ac:dyDescent="0.45">
      <c r="A532" s="7">
        <v>533</v>
      </c>
      <c r="B532" s="7" t="s">
        <v>1270</v>
      </c>
      <c r="C532" s="3" t="s">
        <v>1275</v>
      </c>
      <c r="D532" s="3" t="s">
        <v>1276</v>
      </c>
      <c r="E532" t="s">
        <v>1277</v>
      </c>
      <c r="F532" t="s">
        <v>984</v>
      </c>
      <c r="G532" t="s">
        <v>830</v>
      </c>
      <c r="H532" t="s">
        <v>768</v>
      </c>
      <c r="I532" s="12" t="s">
        <v>1107</v>
      </c>
      <c r="J532" s="12"/>
      <c r="K532" s="12" t="s">
        <v>1062</v>
      </c>
      <c r="L532" s="12" t="s">
        <v>1110</v>
      </c>
      <c r="M532" s="12" t="s">
        <v>838</v>
      </c>
      <c r="N532" s="14"/>
      <c r="P532" s="16">
        <f>PRODUCT(_xlfn.XLOOKUP(F532,Config!$A$2:$A$15,Config!$B$2:$B$15),_xlfn.XLOOKUP(G532,Config!$C$2:$C$7,Config!$D$2:$D$7),_xlfn.XLOOKUP(H532,Config!$E$2:$E$5,Config!$F$2:$F$5),_xlfn.XLOOKUP(I532,Config!$G$2:$G$3,Config!$H$2:$H$3),_xlfn.XLOOKUP(J532,Config!$I$2:$I$3,Config!$J$2:$J$3),_xlfn.XLOOKUP(K532,Config!$K$2:$K$3,Config!$L$2:$L$3),_xlfn.XLOOKUP(L532,Config!$M$2:$M$3,Config!$N$2:$N$3),_xlfn.XLOOKUP(M532,Config!$O$2:$O$6,Config!$P$2:$P$6))</f>
        <v>1.5146030592000004E-3</v>
      </c>
      <c r="Q532" s="22">
        <v>1</v>
      </c>
      <c r="R532" s="16">
        <f>P532*Q532*Config!$B$19</f>
        <v>1.1131066525651464E-3</v>
      </c>
    </row>
    <row r="533" spans="1:18" x14ac:dyDescent="0.45">
      <c r="A533" s="7">
        <v>534</v>
      </c>
      <c r="B533" s="7" t="s">
        <v>1270</v>
      </c>
      <c r="C533" s="3" t="s">
        <v>1275</v>
      </c>
      <c r="D533" s="3" t="s">
        <v>1276</v>
      </c>
      <c r="E533" t="s">
        <v>1277</v>
      </c>
      <c r="F533" t="s">
        <v>985</v>
      </c>
      <c r="G533" t="s">
        <v>830</v>
      </c>
      <c r="H533" t="s">
        <v>768</v>
      </c>
      <c r="I533" s="12" t="s">
        <v>1107</v>
      </c>
      <c r="J533" s="12"/>
      <c r="K533" s="12" t="s">
        <v>1062</v>
      </c>
      <c r="L533" s="12" t="s">
        <v>1110</v>
      </c>
      <c r="M533" s="12" t="s">
        <v>838</v>
      </c>
      <c r="N533" s="14"/>
      <c r="P533" s="16">
        <f>PRODUCT(_xlfn.XLOOKUP(F533,Config!$A$2:$A$15,Config!$B$2:$B$15),_xlfn.XLOOKUP(G533,Config!$C$2:$C$7,Config!$D$2:$D$7),_xlfn.XLOOKUP(H533,Config!$E$2:$E$5,Config!$F$2:$F$5),_xlfn.XLOOKUP(I533,Config!$G$2:$G$3,Config!$H$2:$H$3),_xlfn.XLOOKUP(J533,Config!$I$2:$I$3,Config!$J$2:$J$3),_xlfn.XLOOKUP(K533,Config!$K$2:$K$3,Config!$L$2:$L$3),_xlfn.XLOOKUP(L533,Config!$M$2:$M$3,Config!$N$2:$N$3),_xlfn.XLOOKUP(M533,Config!$O$2:$O$6,Config!$P$2:$P$6))</f>
        <v>1.3080662784E-3</v>
      </c>
      <c r="Q533" s="22">
        <v>1</v>
      </c>
      <c r="R533" s="16">
        <f>P533*Q533*Config!$B$19</f>
        <v>9.6131938176080805E-4</v>
      </c>
    </row>
    <row r="534" spans="1:18" x14ac:dyDescent="0.45">
      <c r="A534" s="7">
        <v>535</v>
      </c>
      <c r="B534" s="7" t="s">
        <v>1270</v>
      </c>
      <c r="C534" s="3" t="s">
        <v>1275</v>
      </c>
      <c r="D534" s="3" t="s">
        <v>1276</v>
      </c>
      <c r="E534" t="s">
        <v>1277</v>
      </c>
      <c r="F534" t="s">
        <v>1010</v>
      </c>
      <c r="G534" t="s">
        <v>830</v>
      </c>
      <c r="H534" t="s">
        <v>768</v>
      </c>
      <c r="I534" s="12" t="s">
        <v>1107</v>
      </c>
      <c r="J534" s="12"/>
      <c r="K534" s="12" t="s">
        <v>1062</v>
      </c>
      <c r="L534" s="12" t="s">
        <v>1110</v>
      </c>
      <c r="M534" s="12" t="s">
        <v>838</v>
      </c>
      <c r="N534" s="14"/>
      <c r="P534" s="16">
        <f>PRODUCT(_xlfn.XLOOKUP(F534,Config!$A$2:$A$15,Config!$B$2:$B$15),_xlfn.XLOOKUP(G534,Config!$C$2:$C$7,Config!$D$2:$D$7),_xlfn.XLOOKUP(H534,Config!$E$2:$E$5,Config!$F$2:$F$5),_xlfn.XLOOKUP(I534,Config!$G$2:$G$3,Config!$H$2:$H$3),_xlfn.XLOOKUP(J534,Config!$I$2:$I$3,Config!$J$2:$J$3),_xlfn.XLOOKUP(K534,Config!$K$2:$K$3,Config!$L$2:$L$3),_xlfn.XLOOKUP(L534,Config!$M$2:$M$3,Config!$N$2:$N$3),_xlfn.XLOOKUP(M534,Config!$O$2:$O$6,Config!$P$2:$P$6))</f>
        <v>1.0154725055999999E-3</v>
      </c>
      <c r="Q534" s="22">
        <v>1</v>
      </c>
      <c r="R534" s="16">
        <f>P534*Q534*Config!$B$19</f>
        <v>7.4628741478799572E-4</v>
      </c>
    </row>
    <row r="535" spans="1:18" x14ac:dyDescent="0.45">
      <c r="A535" s="7">
        <v>536</v>
      </c>
      <c r="B535" s="7" t="s">
        <v>1270</v>
      </c>
      <c r="C535" s="3" t="s">
        <v>1275</v>
      </c>
      <c r="D535" s="3" t="s">
        <v>1276</v>
      </c>
      <c r="E535" t="s">
        <v>1277</v>
      </c>
      <c r="F535" t="s">
        <v>971</v>
      </c>
      <c r="G535" t="s">
        <v>830</v>
      </c>
      <c r="H535" t="s">
        <v>768</v>
      </c>
      <c r="I535" s="12" t="s">
        <v>1107</v>
      </c>
      <c r="J535" s="12"/>
      <c r="K535" s="12" t="s">
        <v>1062</v>
      </c>
      <c r="L535" s="12" t="s">
        <v>1110</v>
      </c>
      <c r="M535" s="12" t="s">
        <v>838</v>
      </c>
      <c r="N535" s="14"/>
      <c r="P535" s="16">
        <f>PRODUCT(_xlfn.XLOOKUP(F535,Config!$A$2:$A$15,Config!$B$2:$B$15),_xlfn.XLOOKUP(G535,Config!$C$2:$C$7,Config!$D$2:$D$7),_xlfn.XLOOKUP(H535,Config!$E$2:$E$5,Config!$F$2:$F$5),_xlfn.XLOOKUP(I535,Config!$G$2:$G$3,Config!$H$2:$H$3),_xlfn.XLOOKUP(J535,Config!$I$2:$I$3,Config!$J$2:$J$3),_xlfn.XLOOKUP(K535,Config!$K$2:$K$3,Config!$L$2:$L$3),_xlfn.XLOOKUP(L535,Config!$M$2:$M$3,Config!$N$2:$N$3),_xlfn.XLOOKUP(M535,Config!$O$2:$O$6,Config!$P$2:$P$6))</f>
        <v>8.519642208E-4</v>
      </c>
      <c r="Q535" s="22">
        <v>1</v>
      </c>
      <c r="R535" s="16">
        <f>P535*Q535*Config!$B$19</f>
        <v>6.2612249206789468E-4</v>
      </c>
    </row>
    <row r="536" spans="1:18" x14ac:dyDescent="0.45">
      <c r="A536" s="7">
        <v>537</v>
      </c>
      <c r="B536" s="7" t="s">
        <v>1270</v>
      </c>
      <c r="C536" s="3" t="s">
        <v>1275</v>
      </c>
      <c r="D536" s="3" t="s">
        <v>1276</v>
      </c>
      <c r="E536" t="s">
        <v>1277</v>
      </c>
      <c r="F536" t="s">
        <v>986</v>
      </c>
      <c r="G536" t="s">
        <v>830</v>
      </c>
      <c r="H536" t="s">
        <v>768</v>
      </c>
      <c r="I536" s="12" t="s">
        <v>1107</v>
      </c>
      <c r="J536" s="12"/>
      <c r="K536" s="12" t="s">
        <v>1062</v>
      </c>
      <c r="L536" s="12" t="s">
        <v>1110</v>
      </c>
      <c r="M536" s="12" t="s">
        <v>838</v>
      </c>
      <c r="N536" s="14"/>
      <c r="P536" s="16">
        <f>PRODUCT(_xlfn.XLOOKUP(F536,Config!$A$2:$A$15,Config!$B$2:$B$15),_xlfn.XLOOKUP(G536,Config!$C$2:$C$7,Config!$D$2:$D$7),_xlfn.XLOOKUP(H536,Config!$E$2:$E$5,Config!$F$2:$F$5),_xlfn.XLOOKUP(I536,Config!$G$2:$G$3,Config!$H$2:$H$3),_xlfn.XLOOKUP(J536,Config!$I$2:$I$3,Config!$J$2:$J$3),_xlfn.XLOOKUP(K536,Config!$K$2:$K$3,Config!$L$2:$L$3),_xlfn.XLOOKUP(L536,Config!$M$2:$M$3,Config!$N$2:$N$3),_xlfn.XLOOKUP(M536,Config!$O$2:$O$6,Config!$P$2:$P$6))</f>
        <v>7.3578728159999984E-4</v>
      </c>
      <c r="Q536" s="22">
        <v>1</v>
      </c>
      <c r="R536" s="16">
        <f>P536*Q536*Config!$B$19</f>
        <v>5.4074215224045438E-4</v>
      </c>
    </row>
    <row r="537" spans="1:18" x14ac:dyDescent="0.45">
      <c r="A537" s="7">
        <v>538</v>
      </c>
      <c r="B537" s="7" t="s">
        <v>1270</v>
      </c>
      <c r="C537" s="3" t="s">
        <v>1275</v>
      </c>
      <c r="D537" s="3" t="s">
        <v>1276</v>
      </c>
      <c r="E537" t="s">
        <v>1277</v>
      </c>
      <c r="F537" t="s">
        <v>987</v>
      </c>
      <c r="G537" t="s">
        <v>830</v>
      </c>
      <c r="H537" t="s">
        <v>768</v>
      </c>
      <c r="I537" s="12" t="s">
        <v>1107</v>
      </c>
      <c r="J537" s="12"/>
      <c r="K537" s="12" t="s">
        <v>1062</v>
      </c>
      <c r="L537" s="12" t="s">
        <v>1110</v>
      </c>
      <c r="M537" s="12" t="s">
        <v>838</v>
      </c>
      <c r="N537" s="14"/>
      <c r="P537" s="16">
        <f>PRODUCT(_xlfn.XLOOKUP(F537,Config!$A$2:$A$15,Config!$B$2:$B$15),_xlfn.XLOOKUP(G537,Config!$C$2:$C$7,Config!$D$2:$D$7),_xlfn.XLOOKUP(H537,Config!$E$2:$E$5,Config!$F$2:$F$5),_xlfn.XLOOKUP(I537,Config!$G$2:$G$3,Config!$H$2:$H$3),_xlfn.XLOOKUP(J537,Config!$I$2:$I$3,Config!$J$2:$J$3),_xlfn.XLOOKUP(K537,Config!$K$2:$K$3,Config!$L$2:$L$3),_xlfn.XLOOKUP(L537,Config!$M$2:$M$3,Config!$N$2:$N$3),_xlfn.XLOOKUP(M537,Config!$O$2:$O$6,Config!$P$2:$P$6))</f>
        <v>3.8080218959999989E-4</v>
      </c>
      <c r="Q537" s="22">
        <v>1</v>
      </c>
      <c r="R537" s="16">
        <f>P537*Q537*Config!$B$19</f>
        <v>2.798577805454983E-4</v>
      </c>
    </row>
    <row r="538" spans="1:18" x14ac:dyDescent="0.45">
      <c r="A538" s="3">
        <v>539</v>
      </c>
      <c r="B538" s="3" t="s">
        <v>1265</v>
      </c>
      <c r="C538" s="3" t="s">
        <v>1266</v>
      </c>
      <c r="D538" s="3" t="s">
        <v>1272</v>
      </c>
      <c r="E538" t="s">
        <v>1268</v>
      </c>
      <c r="F538" t="s">
        <v>984</v>
      </c>
      <c r="G538" t="s">
        <v>830</v>
      </c>
      <c r="H538" t="s">
        <v>768</v>
      </c>
      <c r="I538" s="12" t="s">
        <v>1107</v>
      </c>
      <c r="J538" s="12"/>
      <c r="K538" s="12" t="s">
        <v>1062</v>
      </c>
      <c r="L538" s="12" t="s">
        <v>1110</v>
      </c>
      <c r="M538" s="12" t="s">
        <v>838</v>
      </c>
      <c r="N538" s="14"/>
      <c r="P538" s="16">
        <f>PRODUCT(_xlfn.XLOOKUP(F538,Config!$A$2:$A$15,Config!$B$2:$B$15),_xlfn.XLOOKUP(G538,Config!$C$2:$C$7,Config!$D$2:$D$7),_xlfn.XLOOKUP(H538,Config!$E$2:$E$5,Config!$F$2:$F$5),_xlfn.XLOOKUP(I538,Config!$G$2:$G$3,Config!$H$2:$H$3),_xlfn.XLOOKUP(J538,Config!$I$2:$I$3,Config!$J$2:$J$3),_xlfn.XLOOKUP(K538,Config!$K$2:$K$3,Config!$L$2:$L$3),_xlfn.XLOOKUP(L538,Config!$M$2:$M$3,Config!$N$2:$N$3),_xlfn.XLOOKUP(M538,Config!$O$2:$O$6,Config!$P$2:$P$6))</f>
        <v>1.5146030592000004E-3</v>
      </c>
      <c r="Q538" s="22">
        <v>0.25</v>
      </c>
      <c r="R538" s="16">
        <f>P538*Q538*Config!$B$19</f>
        <v>2.7827666314128661E-4</v>
      </c>
    </row>
    <row r="539" spans="1:18" x14ac:dyDescent="0.45">
      <c r="A539" s="3">
        <v>540</v>
      </c>
      <c r="B539" s="3" t="s">
        <v>1265</v>
      </c>
      <c r="C539" s="3" t="s">
        <v>1266</v>
      </c>
      <c r="D539" s="3" t="s">
        <v>1272</v>
      </c>
      <c r="E539" t="s">
        <v>1268</v>
      </c>
      <c r="F539" t="s">
        <v>985</v>
      </c>
      <c r="G539" t="s">
        <v>830</v>
      </c>
      <c r="H539" t="s">
        <v>768</v>
      </c>
      <c r="I539" s="12" t="s">
        <v>1107</v>
      </c>
      <c r="J539" s="12"/>
      <c r="K539" s="12" t="s">
        <v>1062</v>
      </c>
      <c r="L539" s="12" t="s">
        <v>1110</v>
      </c>
      <c r="M539" s="12" t="s">
        <v>838</v>
      </c>
      <c r="N539" s="14"/>
      <c r="P539" s="16">
        <f>PRODUCT(_xlfn.XLOOKUP(F539,Config!$A$2:$A$15,Config!$B$2:$B$15),_xlfn.XLOOKUP(G539,Config!$C$2:$C$7,Config!$D$2:$D$7),_xlfn.XLOOKUP(H539,Config!$E$2:$E$5,Config!$F$2:$F$5),_xlfn.XLOOKUP(I539,Config!$G$2:$G$3,Config!$H$2:$H$3),_xlfn.XLOOKUP(J539,Config!$I$2:$I$3,Config!$J$2:$J$3),_xlfn.XLOOKUP(K539,Config!$K$2:$K$3,Config!$L$2:$L$3),_xlfn.XLOOKUP(L539,Config!$M$2:$M$3,Config!$N$2:$N$3),_xlfn.XLOOKUP(M539,Config!$O$2:$O$6,Config!$P$2:$P$6))</f>
        <v>1.3080662784E-3</v>
      </c>
      <c r="Q539" s="22">
        <v>0.25</v>
      </c>
      <c r="R539" s="16">
        <f>P539*Q539*Config!$B$19</f>
        <v>2.4032984544020201E-4</v>
      </c>
    </row>
    <row r="540" spans="1:18" x14ac:dyDescent="0.45">
      <c r="A540" s="3">
        <v>541</v>
      </c>
      <c r="B540" s="3" t="s">
        <v>1265</v>
      </c>
      <c r="C540" s="3" t="s">
        <v>1266</v>
      </c>
      <c r="D540" s="3" t="s">
        <v>1272</v>
      </c>
      <c r="E540" t="s">
        <v>1268</v>
      </c>
      <c r="F540" t="s">
        <v>1010</v>
      </c>
      <c r="G540" t="s">
        <v>830</v>
      </c>
      <c r="H540" t="s">
        <v>768</v>
      </c>
      <c r="I540" s="12" t="s">
        <v>1107</v>
      </c>
      <c r="J540" s="12"/>
      <c r="K540" s="12" t="s">
        <v>1062</v>
      </c>
      <c r="L540" s="12" t="s">
        <v>1110</v>
      </c>
      <c r="M540" s="12" t="s">
        <v>838</v>
      </c>
      <c r="N540" s="14"/>
      <c r="P540" s="16">
        <f>PRODUCT(_xlfn.XLOOKUP(F540,Config!$A$2:$A$15,Config!$B$2:$B$15),_xlfn.XLOOKUP(G540,Config!$C$2:$C$7,Config!$D$2:$D$7),_xlfn.XLOOKUP(H540,Config!$E$2:$E$5,Config!$F$2:$F$5),_xlfn.XLOOKUP(I540,Config!$G$2:$G$3,Config!$H$2:$H$3),_xlfn.XLOOKUP(J540,Config!$I$2:$I$3,Config!$J$2:$J$3),_xlfn.XLOOKUP(K540,Config!$K$2:$K$3,Config!$L$2:$L$3),_xlfn.XLOOKUP(L540,Config!$M$2:$M$3,Config!$N$2:$N$3),_xlfn.XLOOKUP(M540,Config!$O$2:$O$6,Config!$P$2:$P$6))</f>
        <v>1.0154725055999999E-3</v>
      </c>
      <c r="Q540" s="22">
        <v>0.25</v>
      </c>
      <c r="R540" s="16">
        <f>P540*Q540*Config!$B$19</f>
        <v>1.8657185369699893E-4</v>
      </c>
    </row>
    <row r="541" spans="1:18" x14ac:dyDescent="0.45">
      <c r="A541" s="3">
        <v>542</v>
      </c>
      <c r="B541" s="3" t="s">
        <v>1265</v>
      </c>
      <c r="C541" s="3" t="s">
        <v>1266</v>
      </c>
      <c r="D541" s="3" t="s">
        <v>1272</v>
      </c>
      <c r="E541" t="s">
        <v>1268</v>
      </c>
      <c r="F541" t="s">
        <v>971</v>
      </c>
      <c r="G541" t="s">
        <v>830</v>
      </c>
      <c r="H541" t="s">
        <v>768</v>
      </c>
      <c r="I541" s="12" t="s">
        <v>1107</v>
      </c>
      <c r="J541" s="12"/>
      <c r="K541" s="12" t="s">
        <v>1062</v>
      </c>
      <c r="L541" s="12" t="s">
        <v>1110</v>
      </c>
      <c r="M541" s="12" t="s">
        <v>838</v>
      </c>
      <c r="N541" s="14"/>
      <c r="P541" s="16">
        <f>PRODUCT(_xlfn.XLOOKUP(F541,Config!$A$2:$A$15,Config!$B$2:$B$15),_xlfn.XLOOKUP(G541,Config!$C$2:$C$7,Config!$D$2:$D$7),_xlfn.XLOOKUP(H541,Config!$E$2:$E$5,Config!$F$2:$F$5),_xlfn.XLOOKUP(I541,Config!$G$2:$G$3,Config!$H$2:$H$3),_xlfn.XLOOKUP(J541,Config!$I$2:$I$3,Config!$J$2:$J$3),_xlfn.XLOOKUP(K541,Config!$K$2:$K$3,Config!$L$2:$L$3),_xlfn.XLOOKUP(L541,Config!$M$2:$M$3,Config!$N$2:$N$3),_xlfn.XLOOKUP(M541,Config!$O$2:$O$6,Config!$P$2:$P$6))</f>
        <v>8.519642208E-4</v>
      </c>
      <c r="Q541" s="22">
        <v>0.25</v>
      </c>
      <c r="R541" s="16">
        <f>P541*Q541*Config!$B$19</f>
        <v>1.5653062301697367E-4</v>
      </c>
    </row>
    <row r="542" spans="1:18" x14ac:dyDescent="0.45">
      <c r="A542" s="3">
        <v>543</v>
      </c>
      <c r="B542" s="3" t="s">
        <v>1265</v>
      </c>
      <c r="C542" s="3" t="s">
        <v>1266</v>
      </c>
      <c r="D542" s="3" t="s">
        <v>1272</v>
      </c>
      <c r="E542" t="s">
        <v>1268</v>
      </c>
      <c r="F542" t="s">
        <v>986</v>
      </c>
      <c r="G542" t="s">
        <v>830</v>
      </c>
      <c r="H542" t="s">
        <v>768</v>
      </c>
      <c r="I542" s="12" t="s">
        <v>1107</v>
      </c>
      <c r="J542" s="12"/>
      <c r="K542" s="12" t="s">
        <v>1062</v>
      </c>
      <c r="L542" s="12" t="s">
        <v>1110</v>
      </c>
      <c r="M542" s="12" t="s">
        <v>838</v>
      </c>
      <c r="N542" s="14"/>
      <c r="P542" s="16">
        <f>PRODUCT(_xlfn.XLOOKUP(F542,Config!$A$2:$A$15,Config!$B$2:$B$15),_xlfn.XLOOKUP(G542,Config!$C$2:$C$7,Config!$D$2:$D$7),_xlfn.XLOOKUP(H542,Config!$E$2:$E$5,Config!$F$2:$F$5),_xlfn.XLOOKUP(I542,Config!$G$2:$G$3,Config!$H$2:$H$3),_xlfn.XLOOKUP(J542,Config!$I$2:$I$3,Config!$J$2:$J$3),_xlfn.XLOOKUP(K542,Config!$K$2:$K$3,Config!$L$2:$L$3),_xlfn.XLOOKUP(L542,Config!$M$2:$M$3,Config!$N$2:$N$3),_xlfn.XLOOKUP(M542,Config!$O$2:$O$6,Config!$P$2:$P$6))</f>
        <v>7.3578728159999984E-4</v>
      </c>
      <c r="Q542" s="22">
        <v>0.25</v>
      </c>
      <c r="R542" s="16">
        <f>P542*Q542*Config!$B$19</f>
        <v>1.351855380601136E-4</v>
      </c>
    </row>
    <row r="543" spans="1:18" x14ac:dyDescent="0.45">
      <c r="A543" s="7">
        <v>543</v>
      </c>
      <c r="B543" s="7" t="s">
        <v>1279</v>
      </c>
      <c r="C543" s="7" t="s">
        <v>1280</v>
      </c>
      <c r="D543" s="7" t="s">
        <v>1281</v>
      </c>
      <c r="E543" t="s">
        <v>147</v>
      </c>
      <c r="F543" t="s">
        <v>984</v>
      </c>
      <c r="G543" t="s">
        <v>831</v>
      </c>
      <c r="H543" t="s">
        <v>768</v>
      </c>
      <c r="I543" s="12" t="s">
        <v>1107</v>
      </c>
      <c r="K543" s="12" t="s">
        <v>1062</v>
      </c>
      <c r="L543" t="s">
        <v>1111</v>
      </c>
      <c r="M543" s="12" t="s">
        <v>838</v>
      </c>
      <c r="N543" s="12" t="s">
        <v>1190</v>
      </c>
      <c r="O543" s="14" t="s">
        <v>1282</v>
      </c>
      <c r="P543" s="16">
        <f>PRODUCT(_xlfn.XLOOKUP(F543,Config!$A$2:$A$15,Config!$B$2:$B$15),_xlfn.XLOOKUP(G543,Config!$C$2:$C$7,Config!$D$2:$D$7),_xlfn.XLOOKUP(H543,Config!$E$2:$E$5,Config!$F$2:$F$5),_xlfn.XLOOKUP(I543,Config!$G$2:$G$3,Config!$H$2:$H$3),_xlfn.XLOOKUP(J543,Config!$I$2:$I$3,Config!$J$2:$J$3),_xlfn.XLOOKUP(K543,Config!$K$2:$K$3,Config!$L$2:$L$3),_xlfn.XLOOKUP(L543,Config!$M$2:$M$3,Config!$N$2:$N$3),_xlfn.XLOOKUP(M543,Config!$O$2:$O$6,Config!$P$2:$P$6))</f>
        <v>5.1971673599999991E-4</v>
      </c>
      <c r="Q543" s="22">
        <v>1</v>
      </c>
      <c r="R543" s="16">
        <f>P543*Q543*Config!$B$19</f>
        <v>3.819483611743148E-4</v>
      </c>
    </row>
    <row r="544" spans="1:18" x14ac:dyDescent="0.45">
      <c r="A544" s="7">
        <v>544</v>
      </c>
      <c r="B544" s="7" t="s">
        <v>1265</v>
      </c>
      <c r="C544" s="3" t="s">
        <v>1266</v>
      </c>
      <c r="D544" s="3" t="s">
        <v>1272</v>
      </c>
      <c r="E544" t="s">
        <v>1268</v>
      </c>
      <c r="F544" t="s">
        <v>987</v>
      </c>
      <c r="G544" t="s">
        <v>830</v>
      </c>
      <c r="H544" t="s">
        <v>768</v>
      </c>
      <c r="I544" s="12" t="s">
        <v>1107</v>
      </c>
      <c r="J544" s="12"/>
      <c r="K544" s="12" t="s">
        <v>1062</v>
      </c>
      <c r="L544" s="12" t="s">
        <v>1110</v>
      </c>
      <c r="M544" s="12" t="s">
        <v>838</v>
      </c>
      <c r="N544" s="14"/>
      <c r="P544" s="16">
        <f>PRODUCT(_xlfn.XLOOKUP(F544,Config!$A$2:$A$15,Config!$B$2:$B$15),_xlfn.XLOOKUP(G544,Config!$C$2:$C$7,Config!$D$2:$D$7),_xlfn.XLOOKUP(H544,Config!$E$2:$E$5,Config!$F$2:$F$5),_xlfn.XLOOKUP(I544,Config!$G$2:$G$3,Config!$H$2:$H$3),_xlfn.XLOOKUP(J544,Config!$I$2:$I$3,Config!$J$2:$J$3),_xlfn.XLOOKUP(K544,Config!$K$2:$K$3,Config!$L$2:$L$3),_xlfn.XLOOKUP(L544,Config!$M$2:$M$3,Config!$N$2:$N$3),_xlfn.XLOOKUP(M544,Config!$O$2:$O$6,Config!$P$2:$P$6))</f>
        <v>3.8080218959999989E-4</v>
      </c>
      <c r="Q544" s="22">
        <v>0.25</v>
      </c>
      <c r="R544" s="16">
        <f>P544*Q544*Config!$B$19</f>
        <v>6.9964445136374575E-5</v>
      </c>
    </row>
    <row r="545" spans="1:18" x14ac:dyDescent="0.45">
      <c r="A545" s="7">
        <v>544</v>
      </c>
      <c r="B545" s="3" t="s">
        <v>1279</v>
      </c>
      <c r="C545" s="7" t="s">
        <v>1280</v>
      </c>
      <c r="D545" s="7" t="s">
        <v>1281</v>
      </c>
      <c r="E545" t="s">
        <v>147</v>
      </c>
      <c r="F545" t="s">
        <v>985</v>
      </c>
      <c r="G545" t="s">
        <v>831</v>
      </c>
      <c r="H545" t="s">
        <v>768</v>
      </c>
      <c r="I545" s="12" t="s">
        <v>1107</v>
      </c>
      <c r="K545" s="12" t="s">
        <v>1062</v>
      </c>
      <c r="L545" t="s">
        <v>1111</v>
      </c>
      <c r="M545" s="12" t="s">
        <v>838</v>
      </c>
      <c r="N545" s="12" t="s">
        <v>1190</v>
      </c>
      <c r="O545" s="14" t="s">
        <v>1283</v>
      </c>
      <c r="P545" s="16">
        <f>PRODUCT(_xlfn.XLOOKUP(F545,Config!$A$2:$A$15,Config!$B$2:$B$15),_xlfn.XLOOKUP(G545,Config!$C$2:$C$7,Config!$D$2:$D$7),_xlfn.XLOOKUP(H545,Config!$E$2:$E$5,Config!$F$2:$F$5),_xlfn.XLOOKUP(I545,Config!$G$2:$G$3,Config!$H$2:$H$3),_xlfn.XLOOKUP(J545,Config!$I$2:$I$3,Config!$J$2:$J$3),_xlfn.XLOOKUP(K545,Config!$K$2:$K$3,Config!$L$2:$L$3),_xlfn.XLOOKUP(L545,Config!$M$2:$M$3,Config!$N$2:$N$3),_xlfn.XLOOKUP(M545,Config!$O$2:$O$6,Config!$P$2:$P$6))</f>
        <v>4.4884627200000003E-4</v>
      </c>
      <c r="Q545" s="22">
        <v>1</v>
      </c>
      <c r="R545" s="16">
        <f>P545*Q545*Config!$B$19</f>
        <v>3.2986449374145378E-4</v>
      </c>
    </row>
    <row r="546" spans="1:18" x14ac:dyDescent="0.45">
      <c r="A546" s="3">
        <v>545</v>
      </c>
      <c r="B546" s="3" t="s">
        <v>1279</v>
      </c>
      <c r="C546" s="3" t="s">
        <v>1280</v>
      </c>
      <c r="D546" s="3" t="s">
        <v>1281</v>
      </c>
      <c r="E546" t="s">
        <v>147</v>
      </c>
      <c r="F546" t="s">
        <v>1010</v>
      </c>
      <c r="G546" t="s">
        <v>831</v>
      </c>
      <c r="H546" t="s">
        <v>768</v>
      </c>
      <c r="I546" s="12" t="s">
        <v>1107</v>
      </c>
      <c r="K546" s="12" t="s">
        <v>1062</v>
      </c>
      <c r="L546" t="s">
        <v>1111</v>
      </c>
      <c r="M546" s="12" t="s">
        <v>838</v>
      </c>
      <c r="N546" s="12" t="s">
        <v>1190</v>
      </c>
      <c r="O546" s="14" t="s">
        <v>1284</v>
      </c>
      <c r="P546" s="16">
        <f>PRODUCT(_xlfn.XLOOKUP(F546,Config!$A$2:$A$15,Config!$B$2:$B$15),_xlfn.XLOOKUP(G546,Config!$C$2:$C$7,Config!$D$2:$D$7),_xlfn.XLOOKUP(H546,Config!$E$2:$E$5,Config!$F$2:$F$5),_xlfn.XLOOKUP(I546,Config!$G$2:$G$3,Config!$H$2:$H$3),_xlfn.XLOOKUP(J546,Config!$I$2:$I$3,Config!$J$2:$J$3),_xlfn.XLOOKUP(K546,Config!$K$2:$K$3,Config!$L$2:$L$3),_xlfn.XLOOKUP(L546,Config!$M$2:$M$3,Config!$N$2:$N$3),_xlfn.XLOOKUP(M546,Config!$O$2:$O$6,Config!$P$2:$P$6))</f>
        <v>3.4844644799999998E-4</v>
      </c>
      <c r="Q546" s="22">
        <v>1</v>
      </c>
      <c r="R546" s="16">
        <f>P546*Q546*Config!$B$19</f>
        <v>2.5607901487823383E-4</v>
      </c>
    </row>
    <row r="547" spans="1:18" x14ac:dyDescent="0.45">
      <c r="A547" s="3">
        <v>546</v>
      </c>
      <c r="B547" s="3" t="s">
        <v>1279</v>
      </c>
      <c r="C547" s="3" t="s">
        <v>1280</v>
      </c>
      <c r="D547" s="3" t="s">
        <v>1281</v>
      </c>
      <c r="E547" t="s">
        <v>147</v>
      </c>
      <c r="F547" t="s">
        <v>971</v>
      </c>
      <c r="G547" t="s">
        <v>831</v>
      </c>
      <c r="H547" t="s">
        <v>768</v>
      </c>
      <c r="I547" s="12" t="s">
        <v>1107</v>
      </c>
      <c r="K547" s="12" t="s">
        <v>1062</v>
      </c>
      <c r="L547" t="s">
        <v>1111</v>
      </c>
      <c r="M547" s="12" t="s">
        <v>838</v>
      </c>
      <c r="N547" s="12" t="s">
        <v>1190</v>
      </c>
      <c r="O547" s="14" t="s">
        <v>1285</v>
      </c>
      <c r="P547" s="16">
        <f>PRODUCT(_xlfn.XLOOKUP(F547,Config!$A$2:$A$15,Config!$B$2:$B$15),_xlfn.XLOOKUP(G547,Config!$C$2:$C$7,Config!$D$2:$D$7),_xlfn.XLOOKUP(H547,Config!$E$2:$E$5,Config!$F$2:$F$5),_xlfn.XLOOKUP(I547,Config!$G$2:$G$3,Config!$H$2:$H$3),_xlfn.XLOOKUP(J547,Config!$I$2:$I$3,Config!$J$2:$J$3),_xlfn.XLOOKUP(K547,Config!$K$2:$K$3,Config!$L$2:$L$3),_xlfn.XLOOKUP(L547,Config!$M$2:$M$3,Config!$N$2:$N$3),_xlfn.XLOOKUP(M547,Config!$O$2:$O$6,Config!$P$2:$P$6))</f>
        <v>2.9234066399999993E-4</v>
      </c>
      <c r="Q547" s="22">
        <v>1</v>
      </c>
      <c r="R547" s="16">
        <f>P547*Q547*Config!$B$19</f>
        <v>2.1484595316055205E-4</v>
      </c>
    </row>
    <row r="548" spans="1:18" x14ac:dyDescent="0.45">
      <c r="A548" s="3">
        <v>547</v>
      </c>
      <c r="B548" s="3" t="s">
        <v>1279</v>
      </c>
      <c r="C548" s="3" t="s">
        <v>1280</v>
      </c>
      <c r="D548" s="3" t="s">
        <v>1281</v>
      </c>
      <c r="E548" t="s">
        <v>147</v>
      </c>
      <c r="F548" t="s">
        <v>986</v>
      </c>
      <c r="G548" t="s">
        <v>831</v>
      </c>
      <c r="H548" t="s">
        <v>768</v>
      </c>
      <c r="I548" s="12" t="s">
        <v>1107</v>
      </c>
      <c r="K548" s="12" t="s">
        <v>1062</v>
      </c>
      <c r="L548" t="s">
        <v>1111</v>
      </c>
      <c r="M548" s="12" t="s">
        <v>838</v>
      </c>
      <c r="N548" s="12" t="s">
        <v>1190</v>
      </c>
      <c r="O548" s="14" t="s">
        <v>1286</v>
      </c>
      <c r="P548" s="16">
        <f>PRODUCT(_xlfn.XLOOKUP(F548,Config!$A$2:$A$15,Config!$B$2:$B$15),_xlfn.XLOOKUP(G548,Config!$C$2:$C$7,Config!$D$2:$D$7),_xlfn.XLOOKUP(H548,Config!$E$2:$E$5,Config!$F$2:$F$5),_xlfn.XLOOKUP(I548,Config!$G$2:$G$3,Config!$H$2:$H$3),_xlfn.XLOOKUP(J548,Config!$I$2:$I$3,Config!$J$2:$J$3),_xlfn.XLOOKUP(K548,Config!$K$2:$K$3,Config!$L$2:$L$3),_xlfn.XLOOKUP(L548,Config!$M$2:$M$3,Config!$N$2:$N$3),_xlfn.XLOOKUP(M548,Config!$O$2:$O$6,Config!$P$2:$P$6))</f>
        <v>2.5247602799999996E-4</v>
      </c>
      <c r="Q548" s="22">
        <v>1</v>
      </c>
      <c r="R548" s="16">
        <f>P548*Q548*Config!$B$19</f>
        <v>1.8554877772956771E-4</v>
      </c>
    </row>
    <row r="549" spans="1:18" x14ac:dyDescent="0.45">
      <c r="A549" s="3">
        <v>548</v>
      </c>
      <c r="B549" s="3" t="s">
        <v>1279</v>
      </c>
      <c r="C549" s="3" t="s">
        <v>1280</v>
      </c>
      <c r="D549" s="3" t="s">
        <v>1281</v>
      </c>
      <c r="E549" t="s">
        <v>147</v>
      </c>
      <c r="F549" t="s">
        <v>987</v>
      </c>
      <c r="G549" t="s">
        <v>831</v>
      </c>
      <c r="H549" t="s">
        <v>768</v>
      </c>
      <c r="I549" s="12" t="s">
        <v>1107</v>
      </c>
      <c r="K549" s="12" t="s">
        <v>1062</v>
      </c>
      <c r="L549" t="s">
        <v>1111</v>
      </c>
      <c r="M549" s="12" t="s">
        <v>838</v>
      </c>
      <c r="N549" s="12" t="s">
        <v>1190</v>
      </c>
      <c r="O549" s="14" t="s">
        <v>1287</v>
      </c>
      <c r="P549" s="16">
        <f>PRODUCT(_xlfn.XLOOKUP(F549,Config!$A$2:$A$15,Config!$B$2:$B$15),_xlfn.XLOOKUP(G549,Config!$C$2:$C$7,Config!$D$2:$D$7),_xlfn.XLOOKUP(H549,Config!$E$2:$E$5,Config!$F$2:$F$5),_xlfn.XLOOKUP(I549,Config!$G$2:$G$3,Config!$H$2:$H$3),_xlfn.XLOOKUP(J549,Config!$I$2:$I$3,Config!$J$2:$J$3),_xlfn.XLOOKUP(K549,Config!$K$2:$K$3,Config!$L$2:$L$3),_xlfn.XLOOKUP(L549,Config!$M$2:$M$3,Config!$N$2:$N$3),_xlfn.XLOOKUP(M549,Config!$O$2:$O$6,Config!$P$2:$P$6))</f>
        <v>1.3066741799999996E-4</v>
      </c>
      <c r="Q549" s="22">
        <v>1</v>
      </c>
      <c r="R549" s="16">
        <f>P549*Q549*Config!$B$19</f>
        <v>9.6029630579337659E-5</v>
      </c>
    </row>
    <row r="550" spans="1:18" x14ac:dyDescent="0.45">
      <c r="A550" s="30">
        <v>551</v>
      </c>
      <c r="B550" s="3" t="s">
        <v>1419</v>
      </c>
      <c r="C550" s="3" t="s">
        <v>1369</v>
      </c>
      <c r="D550" s="3" t="s">
        <v>1407</v>
      </c>
      <c r="E550" t="s">
        <v>1405</v>
      </c>
      <c r="F550" t="s">
        <v>990</v>
      </c>
      <c r="G550" t="s">
        <v>830</v>
      </c>
      <c r="H550" t="s">
        <v>808</v>
      </c>
      <c r="I550" s="12" t="s">
        <v>1107</v>
      </c>
      <c r="J550" t="s">
        <v>1292</v>
      </c>
      <c r="K550" s="12" t="s">
        <v>1062</v>
      </c>
      <c r="L550" s="12" t="s">
        <v>1110</v>
      </c>
      <c r="M550" s="12" t="s">
        <v>838</v>
      </c>
      <c r="N550" t="s">
        <v>1403</v>
      </c>
      <c r="O550" t="s">
        <v>1406</v>
      </c>
      <c r="P550" s="31">
        <v>0.01</v>
      </c>
      <c r="Q550" s="22">
        <v>1</v>
      </c>
      <c r="R550" s="16">
        <f>P550*Q550*Config!$B$19</f>
        <v>7.3491641641941444E-3</v>
      </c>
    </row>
    <row r="551" spans="1:18" x14ac:dyDescent="0.45">
      <c r="A551" s="3">
        <v>552</v>
      </c>
      <c r="B551" s="3" t="s">
        <v>1404</v>
      </c>
      <c r="C551" s="3" t="s">
        <v>1369</v>
      </c>
      <c r="D551" s="3" t="s">
        <v>1407</v>
      </c>
      <c r="E551" t="s">
        <v>1420</v>
      </c>
      <c r="F551" t="s">
        <v>990</v>
      </c>
      <c r="G551" t="s">
        <v>830</v>
      </c>
      <c r="H551" t="s">
        <v>808</v>
      </c>
      <c r="I551" s="12" t="s">
        <v>1107</v>
      </c>
      <c r="J551" t="s">
        <v>1292</v>
      </c>
      <c r="K551" s="12" t="s">
        <v>1062</v>
      </c>
      <c r="L551" s="12" t="s">
        <v>1110</v>
      </c>
      <c r="M551" s="12" t="s">
        <v>838</v>
      </c>
      <c r="N551" t="s">
        <v>1421</v>
      </c>
      <c r="O551" t="s">
        <v>1406</v>
      </c>
      <c r="P551" s="31">
        <v>0.01</v>
      </c>
      <c r="Q551" s="22">
        <v>1</v>
      </c>
      <c r="R551" s="16">
        <f>P551*Q551*Config!$B$19</f>
        <v>7.3491641641941444E-3</v>
      </c>
    </row>
    <row r="552" spans="1:18" x14ac:dyDescent="0.45">
      <c r="A552" s="30">
        <v>553</v>
      </c>
      <c r="B552" s="3" t="s">
        <v>1536</v>
      </c>
      <c r="C552" s="3" t="s">
        <v>1408</v>
      </c>
      <c r="D552" s="3" t="s">
        <v>1409</v>
      </c>
      <c r="E552" t="s">
        <v>1410</v>
      </c>
      <c r="F552" t="s">
        <v>990</v>
      </c>
      <c r="G552" t="s">
        <v>830</v>
      </c>
      <c r="H552" t="s">
        <v>808</v>
      </c>
      <c r="I552" s="12" t="s">
        <v>1107</v>
      </c>
      <c r="J552" t="s">
        <v>1292</v>
      </c>
      <c r="K552" s="12" t="s">
        <v>1062</v>
      </c>
      <c r="L552" s="12" t="s">
        <v>1110</v>
      </c>
      <c r="M552" s="12" t="s">
        <v>838</v>
      </c>
      <c r="N552" t="s">
        <v>1403</v>
      </c>
      <c r="O552" t="s">
        <v>1411</v>
      </c>
      <c r="P552" s="31">
        <v>0.01</v>
      </c>
      <c r="Q552" s="22">
        <v>1</v>
      </c>
      <c r="R552" s="16">
        <f>P552*Q552*Config!$B$19</f>
        <v>7.3491641641941444E-3</v>
      </c>
    </row>
    <row r="553" spans="1:18" x14ac:dyDescent="0.45">
      <c r="A553" s="3">
        <v>554</v>
      </c>
      <c r="B553" s="3" t="s">
        <v>1531</v>
      </c>
      <c r="C553" s="3" t="s">
        <v>1364</v>
      </c>
      <c r="D553" s="3" t="s">
        <v>1412</v>
      </c>
      <c r="F553" t="s">
        <v>984</v>
      </c>
      <c r="G553" t="s">
        <v>830</v>
      </c>
      <c r="H553" t="s">
        <v>808</v>
      </c>
      <c r="I553" s="12" t="s">
        <v>1107</v>
      </c>
      <c r="J553" t="s">
        <v>1292</v>
      </c>
      <c r="K553" s="12" t="s">
        <v>1062</v>
      </c>
      <c r="L553" s="12" t="s">
        <v>1110</v>
      </c>
      <c r="M553" s="12" t="s">
        <v>838</v>
      </c>
      <c r="N553" t="s">
        <v>1403</v>
      </c>
      <c r="P553">
        <v>1E-4</v>
      </c>
      <c r="Q553" s="22">
        <v>1</v>
      </c>
      <c r="R553" s="16">
        <f>P553*Q553*Config!$B$19</f>
        <v>7.3491641641941448E-5</v>
      </c>
    </row>
    <row r="554" spans="1:18" x14ac:dyDescent="0.45">
      <c r="A554" s="30">
        <v>555</v>
      </c>
      <c r="B554" s="3" t="s">
        <v>1531</v>
      </c>
      <c r="C554" s="3" t="s">
        <v>1364</v>
      </c>
      <c r="D554" s="3" t="s">
        <v>1412</v>
      </c>
      <c r="F554" t="s">
        <v>985</v>
      </c>
      <c r="G554" t="s">
        <v>830</v>
      </c>
      <c r="H554" t="s">
        <v>808</v>
      </c>
      <c r="I554" s="12" t="s">
        <v>1107</v>
      </c>
      <c r="J554" t="s">
        <v>1292</v>
      </c>
      <c r="K554" s="12" t="s">
        <v>1062</v>
      </c>
      <c r="L554" s="12" t="s">
        <v>1110</v>
      </c>
      <c r="M554" s="12" t="s">
        <v>838</v>
      </c>
      <c r="N554" t="s">
        <v>1403</v>
      </c>
      <c r="P554" s="31">
        <v>0.01</v>
      </c>
      <c r="Q554" s="22">
        <v>1</v>
      </c>
      <c r="R554" s="16">
        <f>P554*Q554*Config!$B$19</f>
        <v>7.3491641641941444E-3</v>
      </c>
    </row>
    <row r="555" spans="1:18" x14ac:dyDescent="0.45">
      <c r="A555" s="3">
        <v>556</v>
      </c>
      <c r="B555" s="3" t="s">
        <v>1531</v>
      </c>
      <c r="C555" s="3" t="s">
        <v>1364</v>
      </c>
      <c r="D555" s="3" t="s">
        <v>1412</v>
      </c>
      <c r="F555" t="s">
        <v>1010</v>
      </c>
      <c r="G555" t="s">
        <v>830</v>
      </c>
      <c r="H555" t="s">
        <v>808</v>
      </c>
      <c r="I555" s="12" t="s">
        <v>1107</v>
      </c>
      <c r="J555" t="s">
        <v>1292</v>
      </c>
      <c r="K555" s="12" t="s">
        <v>1062</v>
      </c>
      <c r="L555" s="12" t="s">
        <v>1110</v>
      </c>
      <c r="M555" s="12" t="s">
        <v>838</v>
      </c>
      <c r="N555" t="s">
        <v>1403</v>
      </c>
      <c r="P555" s="31">
        <v>0.01</v>
      </c>
      <c r="Q555" s="22">
        <v>1</v>
      </c>
      <c r="R555" s="16">
        <f>P555*Q555*Config!$B$19</f>
        <v>7.3491641641941444E-3</v>
      </c>
    </row>
    <row r="556" spans="1:18" x14ac:dyDescent="0.45">
      <c r="A556" s="30">
        <v>557</v>
      </c>
      <c r="B556" s="3" t="s">
        <v>1531</v>
      </c>
      <c r="C556" s="3" t="s">
        <v>1364</v>
      </c>
      <c r="D556" s="3" t="s">
        <v>1413</v>
      </c>
      <c r="F556" t="s">
        <v>984</v>
      </c>
      <c r="G556" t="s">
        <v>830</v>
      </c>
      <c r="H556" t="s">
        <v>808</v>
      </c>
      <c r="I556" s="12" t="s">
        <v>1107</v>
      </c>
      <c r="J556" t="s">
        <v>1292</v>
      </c>
      <c r="K556" s="12" t="s">
        <v>1062</v>
      </c>
      <c r="L556" s="12" t="s">
        <v>1110</v>
      </c>
      <c r="M556" s="12" t="s">
        <v>838</v>
      </c>
      <c r="N556" t="s">
        <v>1422</v>
      </c>
      <c r="P556" s="31">
        <v>0.01</v>
      </c>
      <c r="Q556" s="22">
        <v>1</v>
      </c>
      <c r="R556" s="16">
        <f>P556*Q556*Config!$B$19</f>
        <v>7.3491641641941444E-3</v>
      </c>
    </row>
    <row r="557" spans="1:18" x14ac:dyDescent="0.45">
      <c r="A557" s="3">
        <v>558</v>
      </c>
      <c r="B557" s="3" t="s">
        <v>1531</v>
      </c>
      <c r="C557" s="3" t="s">
        <v>1364</v>
      </c>
      <c r="D557" s="3" t="s">
        <v>1413</v>
      </c>
      <c r="F557" t="s">
        <v>985</v>
      </c>
      <c r="G557" t="s">
        <v>830</v>
      </c>
      <c r="H557" t="s">
        <v>808</v>
      </c>
      <c r="I557" s="12" t="s">
        <v>1107</v>
      </c>
      <c r="J557" t="s">
        <v>1292</v>
      </c>
      <c r="K557" s="12" t="s">
        <v>1062</v>
      </c>
      <c r="L557" s="12" t="s">
        <v>1110</v>
      </c>
      <c r="M557" s="12" t="s">
        <v>838</v>
      </c>
      <c r="N557" t="s">
        <v>1422</v>
      </c>
      <c r="P557" s="31">
        <v>0.01</v>
      </c>
      <c r="Q557" s="22">
        <v>1</v>
      </c>
      <c r="R557" s="16">
        <f>P557*Q557*Config!$B$19</f>
        <v>7.3491641641941444E-3</v>
      </c>
    </row>
    <row r="558" spans="1:18" x14ac:dyDescent="0.45">
      <c r="A558" s="30">
        <v>559</v>
      </c>
      <c r="B558" s="3" t="s">
        <v>1531</v>
      </c>
      <c r="C558" s="3" t="s">
        <v>1364</v>
      </c>
      <c r="D558" s="3" t="s">
        <v>1413</v>
      </c>
      <c r="F558" t="s">
        <v>1010</v>
      </c>
      <c r="G558" t="s">
        <v>830</v>
      </c>
      <c r="H558" t="s">
        <v>808</v>
      </c>
      <c r="I558" s="12" t="s">
        <v>1107</v>
      </c>
      <c r="J558" t="s">
        <v>1292</v>
      </c>
      <c r="K558" s="12" t="s">
        <v>1062</v>
      </c>
      <c r="L558" s="12" t="s">
        <v>1110</v>
      </c>
      <c r="M558" s="12" t="s">
        <v>838</v>
      </c>
      <c r="N558" t="s">
        <v>1422</v>
      </c>
      <c r="P558" s="31">
        <v>0.01</v>
      </c>
      <c r="Q558" s="22">
        <v>1</v>
      </c>
      <c r="R558" s="16">
        <f>P558*Q558*Config!$B$19</f>
        <v>7.3491641641941444E-3</v>
      </c>
    </row>
    <row r="559" spans="1:18" x14ac:dyDescent="0.45">
      <c r="A559" s="3">
        <v>560</v>
      </c>
      <c r="B559" s="3" t="s">
        <v>1424</v>
      </c>
      <c r="C559" s="3" t="s">
        <v>1364</v>
      </c>
      <c r="D559" s="3" t="s">
        <v>1413</v>
      </c>
      <c r="F559" t="s">
        <v>984</v>
      </c>
      <c r="G559" t="s">
        <v>830</v>
      </c>
      <c r="H559" t="s">
        <v>808</v>
      </c>
      <c r="I559" s="12" t="s">
        <v>1107</v>
      </c>
      <c r="J559" t="s">
        <v>1292</v>
      </c>
      <c r="K559" s="12" t="s">
        <v>1062</v>
      </c>
      <c r="L559" s="12" t="s">
        <v>1110</v>
      </c>
      <c r="M559" s="12" t="s">
        <v>838</v>
      </c>
      <c r="N559" t="s">
        <v>1423</v>
      </c>
      <c r="P559" s="31">
        <v>0.01</v>
      </c>
      <c r="Q559" s="22">
        <v>1</v>
      </c>
      <c r="R559" s="16">
        <f>P559*Q559*Config!$B$19</f>
        <v>7.3491641641941444E-3</v>
      </c>
    </row>
    <row r="560" spans="1:18" x14ac:dyDescent="0.45">
      <c r="A560" s="30">
        <v>561</v>
      </c>
      <c r="B560" s="3" t="s">
        <v>1424</v>
      </c>
      <c r="C560" s="3" t="s">
        <v>1364</v>
      </c>
      <c r="D560" s="3" t="s">
        <v>1413</v>
      </c>
      <c r="F560" t="s">
        <v>985</v>
      </c>
      <c r="G560" t="s">
        <v>830</v>
      </c>
      <c r="H560" t="s">
        <v>808</v>
      </c>
      <c r="I560" s="12" t="s">
        <v>1107</v>
      </c>
      <c r="J560" t="s">
        <v>1292</v>
      </c>
      <c r="K560" s="12" t="s">
        <v>1062</v>
      </c>
      <c r="L560" s="12" t="s">
        <v>1110</v>
      </c>
      <c r="M560" s="12" t="s">
        <v>838</v>
      </c>
      <c r="N560" t="s">
        <v>1423</v>
      </c>
      <c r="P560" s="31">
        <v>0.01</v>
      </c>
      <c r="Q560" s="22">
        <v>1</v>
      </c>
      <c r="R560" s="16">
        <f>P560*Q560*Config!$B$19</f>
        <v>7.3491641641941444E-3</v>
      </c>
    </row>
    <row r="561" spans="1:18" x14ac:dyDescent="0.45">
      <c r="A561" s="3">
        <v>562</v>
      </c>
      <c r="B561" s="3" t="s">
        <v>1424</v>
      </c>
      <c r="C561" s="3" t="s">
        <v>1364</v>
      </c>
      <c r="D561" s="3" t="s">
        <v>1413</v>
      </c>
      <c r="F561" t="s">
        <v>1010</v>
      </c>
      <c r="G561" t="s">
        <v>830</v>
      </c>
      <c r="H561" t="s">
        <v>808</v>
      </c>
      <c r="I561" s="12" t="s">
        <v>1107</v>
      </c>
      <c r="J561" t="s">
        <v>1292</v>
      </c>
      <c r="K561" s="12" t="s">
        <v>1062</v>
      </c>
      <c r="L561" s="12" t="s">
        <v>1110</v>
      </c>
      <c r="M561" s="12" t="s">
        <v>838</v>
      </c>
      <c r="N561" t="s">
        <v>1423</v>
      </c>
      <c r="P561" s="31">
        <v>0.01</v>
      </c>
      <c r="Q561" s="22">
        <v>1</v>
      </c>
      <c r="R561" s="16">
        <f>P561*Q561*Config!$B$19</f>
        <v>7.3491641641941444E-3</v>
      </c>
    </row>
    <row r="562" spans="1:18" x14ac:dyDescent="0.45">
      <c r="A562" s="30">
        <v>563</v>
      </c>
      <c r="B562" s="3" t="s">
        <v>1530</v>
      </c>
      <c r="C562" s="3" t="s">
        <v>1289</v>
      </c>
      <c r="D562" s="3" t="s">
        <v>1290</v>
      </c>
      <c r="E562" t="s">
        <v>1291</v>
      </c>
      <c r="F562" t="s">
        <v>984</v>
      </c>
      <c r="G562" t="s">
        <v>830</v>
      </c>
      <c r="H562" t="s">
        <v>808</v>
      </c>
      <c r="I562" s="12" t="s">
        <v>1107</v>
      </c>
      <c r="J562" t="s">
        <v>1292</v>
      </c>
      <c r="K562" s="12" t="s">
        <v>1062</v>
      </c>
      <c r="L562" s="12" t="s">
        <v>1110</v>
      </c>
      <c r="M562" s="12" t="s">
        <v>838</v>
      </c>
      <c r="N562" s="14" t="s">
        <v>1414</v>
      </c>
      <c r="P562">
        <v>1E-4</v>
      </c>
      <c r="Q562" s="22">
        <v>1</v>
      </c>
      <c r="R562" s="16">
        <f>P562*Q562*Config!$B$19</f>
        <v>7.3491641641941448E-5</v>
      </c>
    </row>
    <row r="563" spans="1:18" x14ac:dyDescent="0.45">
      <c r="A563" s="3">
        <v>564</v>
      </c>
      <c r="B563" s="3" t="s">
        <v>1530</v>
      </c>
      <c r="C563" s="3" t="s">
        <v>1289</v>
      </c>
      <c r="D563" s="3" t="s">
        <v>1290</v>
      </c>
      <c r="E563" t="s">
        <v>1291</v>
      </c>
      <c r="F563" t="s">
        <v>985</v>
      </c>
      <c r="G563" t="s">
        <v>830</v>
      </c>
      <c r="H563" t="s">
        <v>808</v>
      </c>
      <c r="I563" s="12" t="s">
        <v>1107</v>
      </c>
      <c r="J563" t="s">
        <v>1292</v>
      </c>
      <c r="K563" s="12" t="s">
        <v>1062</v>
      </c>
      <c r="L563" s="12" t="s">
        <v>1110</v>
      </c>
      <c r="M563" s="12" t="s">
        <v>838</v>
      </c>
      <c r="N563" s="14" t="s">
        <v>1414</v>
      </c>
      <c r="P563" s="31">
        <v>0.01</v>
      </c>
      <c r="Q563" s="22">
        <v>1</v>
      </c>
      <c r="R563" s="16">
        <f>P563*Q563*Config!$B$19</f>
        <v>7.3491641641941444E-3</v>
      </c>
    </row>
    <row r="564" spans="1:18" x14ac:dyDescent="0.45">
      <c r="A564" s="30">
        <v>565</v>
      </c>
      <c r="B564" s="3" t="s">
        <v>1530</v>
      </c>
      <c r="C564" s="3" t="s">
        <v>1289</v>
      </c>
      <c r="D564" s="3" t="s">
        <v>1290</v>
      </c>
      <c r="E564" t="s">
        <v>1291</v>
      </c>
      <c r="F564" t="s">
        <v>1010</v>
      </c>
      <c r="G564" t="s">
        <v>830</v>
      </c>
      <c r="H564" t="s">
        <v>808</v>
      </c>
      <c r="I564" s="12" t="s">
        <v>1107</v>
      </c>
      <c r="J564" t="s">
        <v>1292</v>
      </c>
      <c r="K564" s="12" t="s">
        <v>1062</v>
      </c>
      <c r="L564" s="12" t="s">
        <v>1110</v>
      </c>
      <c r="M564" s="12" t="s">
        <v>838</v>
      </c>
      <c r="N564" s="14" t="s">
        <v>1414</v>
      </c>
      <c r="P564" s="31">
        <v>0.01</v>
      </c>
      <c r="Q564" s="22">
        <v>1</v>
      </c>
      <c r="R564" s="16">
        <f>P564*Q564*Config!$B$19</f>
        <v>7.3491641641941444E-3</v>
      </c>
    </row>
    <row r="565" spans="1:18" x14ac:dyDescent="0.45">
      <c r="A565" s="3">
        <v>566</v>
      </c>
      <c r="B565" s="3" t="s">
        <v>1634</v>
      </c>
      <c r="C565" s="3" t="s">
        <v>1294</v>
      </c>
      <c r="D565" s="3" t="s">
        <v>1295</v>
      </c>
      <c r="E565" t="s">
        <v>1296</v>
      </c>
      <c r="F565" t="s">
        <v>984</v>
      </c>
      <c r="G565" t="s">
        <v>830</v>
      </c>
      <c r="H565" t="s">
        <v>808</v>
      </c>
      <c r="I565" s="12" t="s">
        <v>1107</v>
      </c>
      <c r="K565" s="12" t="s">
        <v>1062</v>
      </c>
      <c r="L565" s="12" t="s">
        <v>1110</v>
      </c>
      <c r="M565" s="12" t="s">
        <v>838</v>
      </c>
      <c r="N565" s="14" t="s">
        <v>1414</v>
      </c>
      <c r="P565" s="16">
        <f>PRODUCT(_xlfn.XLOOKUP(F565,Config!$A$2:$A$15,Config!$B$2:$B$15),_xlfn.XLOOKUP(G565,Config!$C$2:$C$7,Config!$D$2:$D$7),_xlfn.XLOOKUP(H565,Config!$E$2:$E$5,Config!$F$2:$F$5),_xlfn.XLOOKUP(I565,Config!$G$2:$G$3,Config!$H$2:$H$3),_xlfn.XLOOKUP(J565,Config!$I$2:$I$3,Config!$J$2:$J$3),_xlfn.XLOOKUP(K565,Config!$K$2:$K$3,Config!$L$2:$L$3),_xlfn.XLOOKUP(L565,Config!$M$2:$M$3,Config!$N$2:$N$3),_xlfn.XLOOKUP(M565,Config!$O$2:$O$6,Config!$P$2:$P$6))</f>
        <v>4.1651584128000003E-3</v>
      </c>
      <c r="Q565" s="22">
        <v>1</v>
      </c>
      <c r="R565" s="16">
        <f>P565*Q565*Config!$B$19</f>
        <v>3.0610432945541522E-3</v>
      </c>
    </row>
    <row r="566" spans="1:18" x14ac:dyDescent="0.45">
      <c r="A566" s="30">
        <v>567</v>
      </c>
      <c r="B566" s="3" t="s">
        <v>1634</v>
      </c>
      <c r="C566" s="3" t="s">
        <v>1294</v>
      </c>
      <c r="D566" s="3" t="s">
        <v>1295</v>
      </c>
      <c r="E566" t="s">
        <v>1296</v>
      </c>
      <c r="F566" t="s">
        <v>985</v>
      </c>
      <c r="G566" t="s">
        <v>830</v>
      </c>
      <c r="H566" t="s">
        <v>808</v>
      </c>
      <c r="I566" s="12" t="s">
        <v>1107</v>
      </c>
      <c r="K566" s="12" t="s">
        <v>1062</v>
      </c>
      <c r="L566" s="12" t="s">
        <v>1110</v>
      </c>
      <c r="M566" s="12" t="s">
        <v>838</v>
      </c>
      <c r="N566" s="14" t="s">
        <v>1414</v>
      </c>
      <c r="P566" s="16">
        <f>PRODUCT(_xlfn.XLOOKUP(F566,Config!$A$2:$A$15,Config!$B$2:$B$15),_xlfn.XLOOKUP(G566,Config!$C$2:$C$7,Config!$D$2:$D$7),_xlfn.XLOOKUP(H566,Config!$E$2:$E$5,Config!$F$2:$F$5),_xlfn.XLOOKUP(I566,Config!$G$2:$G$3,Config!$H$2:$H$3),_xlfn.XLOOKUP(J566,Config!$I$2:$I$3,Config!$J$2:$J$3),_xlfn.XLOOKUP(K566,Config!$K$2:$K$3,Config!$L$2:$L$3),_xlfn.XLOOKUP(L566,Config!$M$2:$M$3,Config!$N$2:$N$3),_xlfn.XLOOKUP(M566,Config!$O$2:$O$6,Config!$P$2:$P$6))</f>
        <v>3.5971822656000003E-3</v>
      </c>
      <c r="Q566" s="22">
        <v>1</v>
      </c>
      <c r="R566" s="16">
        <f>P566*Q566*Config!$B$19</f>
        <v>2.6436282998422225E-3</v>
      </c>
    </row>
    <row r="567" spans="1:18" x14ac:dyDescent="0.45">
      <c r="A567" s="7">
        <v>568</v>
      </c>
      <c r="B567" s="7" t="s">
        <v>1634</v>
      </c>
      <c r="C567" s="3" t="s">
        <v>1294</v>
      </c>
      <c r="D567" s="3" t="s">
        <v>1295</v>
      </c>
      <c r="E567" t="s">
        <v>1296</v>
      </c>
      <c r="F567" t="s">
        <v>1010</v>
      </c>
      <c r="G567" t="s">
        <v>830</v>
      </c>
      <c r="H567" t="s">
        <v>808</v>
      </c>
      <c r="I567" s="12" t="s">
        <v>1107</v>
      </c>
      <c r="K567" s="12" t="s">
        <v>1062</v>
      </c>
      <c r="L567" s="12" t="s">
        <v>1110</v>
      </c>
      <c r="M567" s="12" t="s">
        <v>838</v>
      </c>
      <c r="N567" s="14" t="s">
        <v>1414</v>
      </c>
      <c r="P567" s="26">
        <v>1E-3</v>
      </c>
      <c r="Q567" s="22">
        <v>1</v>
      </c>
      <c r="R567" s="16">
        <f>P567*Q567*Config!$B$19</f>
        <v>7.3491641641941442E-4</v>
      </c>
    </row>
    <row r="568" spans="1:18" x14ac:dyDescent="0.45">
      <c r="A568" s="30">
        <v>569</v>
      </c>
      <c r="B568" s="3" t="s">
        <v>1537</v>
      </c>
      <c r="C568" s="3" t="s">
        <v>1297</v>
      </c>
      <c r="D568" s="3" t="s">
        <v>1298</v>
      </c>
      <c r="E568" t="s">
        <v>1299</v>
      </c>
      <c r="F568" t="s">
        <v>984</v>
      </c>
      <c r="G568" t="s">
        <v>830</v>
      </c>
      <c r="H568" t="s">
        <v>808</v>
      </c>
      <c r="I568" s="12" t="s">
        <v>1107</v>
      </c>
      <c r="K568" s="12" t="s">
        <v>1062</v>
      </c>
      <c r="L568" s="12" t="s">
        <v>1110</v>
      </c>
      <c r="M568" s="12" t="s">
        <v>838</v>
      </c>
      <c r="N568" s="14" t="s">
        <v>1414</v>
      </c>
      <c r="P568" s="16">
        <f>PRODUCT(_xlfn.XLOOKUP(F568,Config!$A$2:$A$15,Config!$B$2:$B$15),_xlfn.XLOOKUP(G568,Config!$C$2:$C$7,Config!$D$2:$D$7),_xlfn.XLOOKUP(H568,Config!$E$2:$E$5,Config!$F$2:$F$5),_xlfn.XLOOKUP(I568,Config!$G$2:$G$3,Config!$H$2:$H$3),_xlfn.XLOOKUP(J568,Config!$I$2:$I$3,Config!$J$2:$J$3),_xlfn.XLOOKUP(K568,Config!$K$2:$K$3,Config!$L$2:$L$3),_xlfn.XLOOKUP(L568,Config!$M$2:$M$3,Config!$N$2:$N$3),_xlfn.XLOOKUP(M568,Config!$O$2:$O$6,Config!$P$2:$P$6))</f>
        <v>4.1651584128000003E-3</v>
      </c>
      <c r="Q568" s="22">
        <v>1</v>
      </c>
      <c r="R568" s="16">
        <f>P568*Q568*Config!$B$19</f>
        <v>3.0610432945541522E-3</v>
      </c>
    </row>
    <row r="569" spans="1:18" x14ac:dyDescent="0.45">
      <c r="A569" s="3">
        <v>570</v>
      </c>
      <c r="B569" s="3" t="s">
        <v>1537</v>
      </c>
      <c r="C569" s="3" t="s">
        <v>1297</v>
      </c>
      <c r="D569" s="3" t="s">
        <v>1298</v>
      </c>
      <c r="E569" t="s">
        <v>1299</v>
      </c>
      <c r="F569" t="s">
        <v>985</v>
      </c>
      <c r="G569" t="s">
        <v>830</v>
      </c>
      <c r="H569" t="s">
        <v>808</v>
      </c>
      <c r="I569" s="12" t="s">
        <v>1107</v>
      </c>
      <c r="K569" s="12" t="s">
        <v>1062</v>
      </c>
      <c r="L569" s="12" t="s">
        <v>1110</v>
      </c>
      <c r="M569" s="12" t="s">
        <v>838</v>
      </c>
      <c r="N569" s="14" t="s">
        <v>1414</v>
      </c>
      <c r="P569" s="16">
        <f>PRODUCT(_xlfn.XLOOKUP(F569,Config!$A$2:$A$15,Config!$B$2:$B$15),_xlfn.XLOOKUP(G569,Config!$C$2:$C$7,Config!$D$2:$D$7),_xlfn.XLOOKUP(H569,Config!$E$2:$E$5,Config!$F$2:$F$5),_xlfn.XLOOKUP(I569,Config!$G$2:$G$3,Config!$H$2:$H$3),_xlfn.XLOOKUP(J569,Config!$I$2:$I$3,Config!$J$2:$J$3),_xlfn.XLOOKUP(K569,Config!$K$2:$K$3,Config!$L$2:$L$3),_xlfn.XLOOKUP(L569,Config!$M$2:$M$3,Config!$N$2:$N$3),_xlfn.XLOOKUP(M569,Config!$O$2:$O$6,Config!$P$2:$P$6))</f>
        <v>3.5971822656000003E-3</v>
      </c>
      <c r="Q569" s="22">
        <v>1</v>
      </c>
      <c r="R569" s="16">
        <f>P569*Q569*Config!$B$19</f>
        <v>2.6436282998422225E-3</v>
      </c>
    </row>
    <row r="570" spans="1:18" x14ac:dyDescent="0.45">
      <c r="A570" s="30">
        <v>571</v>
      </c>
      <c r="B570" s="3" t="s">
        <v>1537</v>
      </c>
      <c r="C570" s="3" t="s">
        <v>1297</v>
      </c>
      <c r="D570" s="3" t="s">
        <v>1298</v>
      </c>
      <c r="E570" t="s">
        <v>1299</v>
      </c>
      <c r="F570" t="s">
        <v>1010</v>
      </c>
      <c r="G570" t="s">
        <v>830</v>
      </c>
      <c r="H570" t="s">
        <v>808</v>
      </c>
      <c r="I570" s="12" t="s">
        <v>1107</v>
      </c>
      <c r="K570" s="12" t="s">
        <v>1062</v>
      </c>
      <c r="L570" s="12" t="s">
        <v>1110</v>
      </c>
      <c r="M570" s="12" t="s">
        <v>838</v>
      </c>
      <c r="N570" s="14" t="s">
        <v>1414</v>
      </c>
      <c r="P570" s="26">
        <v>1E-3</v>
      </c>
      <c r="Q570" s="22">
        <v>1</v>
      </c>
      <c r="R570" s="16">
        <f>P570*Q570*Config!$B$19</f>
        <v>7.3491641641941442E-4</v>
      </c>
    </row>
    <row r="571" spans="1:18" x14ac:dyDescent="0.45">
      <c r="A571" s="3">
        <v>572</v>
      </c>
      <c r="B571" s="3" t="s">
        <v>1538</v>
      </c>
      <c r="C571" s="3" t="s">
        <v>1300</v>
      </c>
      <c r="D571" s="3" t="s">
        <v>1301</v>
      </c>
      <c r="E571" t="s">
        <v>1302</v>
      </c>
      <c r="F571" t="s">
        <v>984</v>
      </c>
      <c r="G571" t="s">
        <v>830</v>
      </c>
      <c r="H571" t="s">
        <v>808</v>
      </c>
      <c r="I571" s="12" t="s">
        <v>1107</v>
      </c>
      <c r="K571" s="12" t="s">
        <v>1062</v>
      </c>
      <c r="L571" s="12" t="s">
        <v>1110</v>
      </c>
      <c r="M571" s="12" t="s">
        <v>838</v>
      </c>
      <c r="N571" s="14" t="s">
        <v>1414</v>
      </c>
      <c r="P571" s="16">
        <f>PRODUCT(_xlfn.XLOOKUP(F571,Config!$A$2:$A$15,Config!$B$2:$B$15),_xlfn.XLOOKUP(G571,Config!$C$2:$C$7,Config!$D$2:$D$7),_xlfn.XLOOKUP(H571,Config!$E$2:$E$5,Config!$F$2:$F$5),_xlfn.XLOOKUP(I571,Config!$G$2:$G$3,Config!$H$2:$H$3),_xlfn.XLOOKUP(J571,Config!$I$2:$I$3,Config!$J$2:$J$3),_xlfn.XLOOKUP(K571,Config!$K$2:$K$3,Config!$L$2:$L$3),_xlfn.XLOOKUP(L571,Config!$M$2:$M$3,Config!$N$2:$N$3),_xlfn.XLOOKUP(M571,Config!$O$2:$O$6,Config!$P$2:$P$6))</f>
        <v>4.1651584128000003E-3</v>
      </c>
      <c r="Q571" s="22">
        <v>1</v>
      </c>
      <c r="R571" s="16">
        <f>P571*Q571*Config!$B$19</f>
        <v>3.0610432945541522E-3</v>
      </c>
    </row>
    <row r="572" spans="1:18" x14ac:dyDescent="0.45">
      <c r="A572" s="30">
        <v>573</v>
      </c>
      <c r="B572" s="3" t="s">
        <v>1538</v>
      </c>
      <c r="C572" s="3" t="s">
        <v>1300</v>
      </c>
      <c r="D572" s="3" t="s">
        <v>1301</v>
      </c>
      <c r="E572" t="s">
        <v>1302</v>
      </c>
      <c r="F572" t="s">
        <v>985</v>
      </c>
      <c r="G572" t="s">
        <v>830</v>
      </c>
      <c r="H572" t="s">
        <v>783</v>
      </c>
      <c r="I572" s="12" t="s">
        <v>1107</v>
      </c>
      <c r="K572" s="12" t="s">
        <v>1062</v>
      </c>
      <c r="L572" s="12" t="s">
        <v>1110</v>
      </c>
      <c r="M572" s="12" t="s">
        <v>838</v>
      </c>
      <c r="N572" s="14" t="s">
        <v>1414</v>
      </c>
      <c r="P572" s="26">
        <v>1E-3</v>
      </c>
      <c r="Q572" s="22">
        <v>1</v>
      </c>
      <c r="R572" s="16">
        <f>P572*Q572*Config!$B$19</f>
        <v>7.3491641641941442E-4</v>
      </c>
    </row>
    <row r="573" spans="1:18" x14ac:dyDescent="0.45">
      <c r="A573" s="7">
        <v>574</v>
      </c>
      <c r="B573" s="7" t="s">
        <v>1425</v>
      </c>
      <c r="C573" s="3" t="s">
        <v>1426</v>
      </c>
      <c r="D573" s="3" t="s">
        <v>1427</v>
      </c>
      <c r="E573" t="s">
        <v>1428</v>
      </c>
      <c r="F573" t="s">
        <v>984</v>
      </c>
      <c r="G573" t="s">
        <v>830</v>
      </c>
      <c r="H573" t="s">
        <v>808</v>
      </c>
      <c r="I573" s="12" t="s">
        <v>1107</v>
      </c>
      <c r="J573" t="s">
        <v>1292</v>
      </c>
      <c r="K573" s="12" t="s">
        <v>1062</v>
      </c>
      <c r="L573" s="12" t="s">
        <v>1110</v>
      </c>
      <c r="M573" s="12" t="s">
        <v>838</v>
      </c>
      <c r="N573" t="s">
        <v>1403</v>
      </c>
      <c r="O573" t="s">
        <v>1429</v>
      </c>
      <c r="P573" s="31">
        <v>0.01</v>
      </c>
      <c r="Q573">
        <v>1</v>
      </c>
      <c r="R573">
        <v>1.2E-4</v>
      </c>
    </row>
    <row r="574" spans="1:18" x14ac:dyDescent="0.45">
      <c r="A574" s="7">
        <v>574</v>
      </c>
      <c r="B574" s="7" t="s">
        <v>1538</v>
      </c>
      <c r="C574" s="3" t="s">
        <v>1300</v>
      </c>
      <c r="D574" s="3" t="s">
        <v>1301</v>
      </c>
      <c r="E574" t="s">
        <v>1302</v>
      </c>
      <c r="F574" t="s">
        <v>1010</v>
      </c>
      <c r="G574" t="s">
        <v>830</v>
      </c>
      <c r="H574" t="s">
        <v>768</v>
      </c>
      <c r="I574" s="12" t="s">
        <v>1107</v>
      </c>
      <c r="K574" s="12" t="s">
        <v>1062</v>
      </c>
      <c r="L574" s="12" t="s">
        <v>1110</v>
      </c>
      <c r="M574" s="12" t="s">
        <v>838</v>
      </c>
      <c r="N574" s="14" t="s">
        <v>1414</v>
      </c>
      <c r="P574" s="26">
        <v>1E-3</v>
      </c>
      <c r="Q574" s="22">
        <v>1</v>
      </c>
      <c r="R574" s="16">
        <f>P574*Q574*Config!$B$19</f>
        <v>7.3491641641941442E-4</v>
      </c>
    </row>
    <row r="575" spans="1:18" x14ac:dyDescent="0.45">
      <c r="A575" s="7">
        <v>575</v>
      </c>
      <c r="B575" s="7" t="s">
        <v>1425</v>
      </c>
      <c r="C575" s="3" t="s">
        <v>1426</v>
      </c>
      <c r="D575" s="3" t="s">
        <v>1427</v>
      </c>
      <c r="E575" t="s">
        <v>1428</v>
      </c>
      <c r="F575" t="s">
        <v>985</v>
      </c>
      <c r="G575" t="s">
        <v>830</v>
      </c>
      <c r="H575" t="s">
        <v>808</v>
      </c>
      <c r="I575" s="12" t="s">
        <v>1107</v>
      </c>
      <c r="J575" t="s">
        <v>1292</v>
      </c>
      <c r="K575" s="12" t="s">
        <v>1062</v>
      </c>
      <c r="L575" s="12" t="s">
        <v>1110</v>
      </c>
      <c r="M575" s="12" t="s">
        <v>838</v>
      </c>
      <c r="N575" t="s">
        <v>1403</v>
      </c>
      <c r="O575" t="s">
        <v>1430</v>
      </c>
      <c r="P575" s="31">
        <v>0.01</v>
      </c>
      <c r="Q575">
        <v>1</v>
      </c>
      <c r="R575">
        <v>1.2E-4</v>
      </c>
    </row>
    <row r="576" spans="1:18" x14ac:dyDescent="0.45">
      <c r="A576" s="29">
        <v>575</v>
      </c>
      <c r="B576" s="7" t="s">
        <v>1547</v>
      </c>
      <c r="C576" s="7" t="s">
        <v>1627</v>
      </c>
      <c r="D576" s="7" t="s">
        <v>1554</v>
      </c>
      <c r="F576" t="s">
        <v>984</v>
      </c>
      <c r="G576" t="s">
        <v>833</v>
      </c>
      <c r="H576" t="s">
        <v>808</v>
      </c>
      <c r="I576" s="12" t="s">
        <v>1107</v>
      </c>
      <c r="J576" s="12"/>
      <c r="K576" s="12" t="s">
        <v>1062</v>
      </c>
      <c r="L576" s="12" t="s">
        <v>1110</v>
      </c>
      <c r="M576" s="12" t="s">
        <v>838</v>
      </c>
      <c r="N576" t="s">
        <v>1488</v>
      </c>
      <c r="O576" t="s">
        <v>1416</v>
      </c>
      <c r="P576" s="26">
        <v>2E-3</v>
      </c>
      <c r="Q576" s="22">
        <v>1</v>
      </c>
      <c r="R576" s="16">
        <f>P576*Q576*Config!$B$19</f>
        <v>1.4698328328388288E-3</v>
      </c>
    </row>
    <row r="577" spans="1:18" x14ac:dyDescent="0.45">
      <c r="A577" s="7">
        <v>576</v>
      </c>
      <c r="B577" s="7" t="s">
        <v>1425</v>
      </c>
      <c r="C577" s="3" t="s">
        <v>1426</v>
      </c>
      <c r="D577" s="3" t="s">
        <v>1427</v>
      </c>
      <c r="E577" t="s">
        <v>1428</v>
      </c>
      <c r="F577" t="s">
        <v>1010</v>
      </c>
      <c r="G577" t="s">
        <v>830</v>
      </c>
      <c r="H577" t="s">
        <v>808</v>
      </c>
      <c r="I577" s="12" t="s">
        <v>1107</v>
      </c>
      <c r="J577" t="s">
        <v>1292</v>
      </c>
      <c r="K577" s="12" t="s">
        <v>1062</v>
      </c>
      <c r="L577" s="12" t="s">
        <v>1110</v>
      </c>
      <c r="M577" s="12" t="s">
        <v>838</v>
      </c>
      <c r="N577" t="s">
        <v>1403</v>
      </c>
      <c r="O577" t="s">
        <v>1431</v>
      </c>
      <c r="P577" s="31">
        <v>0.01</v>
      </c>
      <c r="Q577">
        <v>1</v>
      </c>
      <c r="R577">
        <v>1.2E-4</v>
      </c>
    </row>
    <row r="578" spans="1:18" x14ac:dyDescent="0.45">
      <c r="A578" s="7">
        <v>576</v>
      </c>
      <c r="B578" s="7" t="s">
        <v>1547</v>
      </c>
      <c r="C578" s="7" t="s">
        <v>1627</v>
      </c>
      <c r="D578" s="7" t="s">
        <v>1554</v>
      </c>
      <c r="F578" t="s">
        <v>985</v>
      </c>
      <c r="G578" t="s">
        <v>833</v>
      </c>
      <c r="H578" t="s">
        <v>808</v>
      </c>
      <c r="I578" s="12" t="s">
        <v>1107</v>
      </c>
      <c r="J578" s="12"/>
      <c r="K578" s="12" t="s">
        <v>1062</v>
      </c>
      <c r="L578" s="12" t="s">
        <v>1110</v>
      </c>
      <c r="M578" s="12" t="s">
        <v>838</v>
      </c>
      <c r="N578" t="s">
        <v>1488</v>
      </c>
      <c r="O578" t="s">
        <v>1417</v>
      </c>
      <c r="P578" s="26">
        <v>2E-3</v>
      </c>
      <c r="Q578" s="22">
        <v>1</v>
      </c>
      <c r="R578" s="16">
        <f>P578*Q578*Config!$B$19</f>
        <v>1.4698328328388288E-3</v>
      </c>
    </row>
    <row r="579" spans="1:18" x14ac:dyDescent="0.45">
      <c r="A579" s="7">
        <v>577</v>
      </c>
      <c r="B579" s="7" t="s">
        <v>1432</v>
      </c>
      <c r="C579" s="3" t="s">
        <v>1433</v>
      </c>
      <c r="D579" s="3" t="s">
        <v>1434</v>
      </c>
      <c r="E579" t="s">
        <v>1435</v>
      </c>
      <c r="F579" t="s">
        <v>984</v>
      </c>
      <c r="G579" t="s">
        <v>830</v>
      </c>
      <c r="H579" t="s">
        <v>808</v>
      </c>
      <c r="I579" s="12" t="s">
        <v>1107</v>
      </c>
      <c r="J579" t="s">
        <v>1292</v>
      </c>
      <c r="K579" s="12" t="s">
        <v>1062</v>
      </c>
      <c r="L579" s="12" t="s">
        <v>1110</v>
      </c>
      <c r="M579" s="12" t="s">
        <v>838</v>
      </c>
      <c r="N579" t="s">
        <v>1403</v>
      </c>
      <c r="O579" t="s">
        <v>1436</v>
      </c>
      <c r="P579" s="31">
        <v>0.01</v>
      </c>
      <c r="Q579">
        <v>1</v>
      </c>
      <c r="R579">
        <v>1.2E-4</v>
      </c>
    </row>
    <row r="580" spans="1:18" x14ac:dyDescent="0.45">
      <c r="A580" s="29">
        <v>577</v>
      </c>
      <c r="B580" s="7" t="s">
        <v>1547</v>
      </c>
      <c r="C580" s="7" t="s">
        <v>1627</v>
      </c>
      <c r="D580" s="7" t="s">
        <v>1554</v>
      </c>
      <c r="F580" t="s">
        <v>1010</v>
      </c>
      <c r="G580" t="s">
        <v>833</v>
      </c>
      <c r="H580" t="s">
        <v>808</v>
      </c>
      <c r="I580" s="12" t="s">
        <v>1107</v>
      </c>
      <c r="J580" s="12"/>
      <c r="K580" s="12" t="s">
        <v>1062</v>
      </c>
      <c r="L580" s="12" t="s">
        <v>1110</v>
      </c>
      <c r="M580" s="12" t="s">
        <v>838</v>
      </c>
      <c r="N580" t="s">
        <v>1488</v>
      </c>
      <c r="O580" t="s">
        <v>1418</v>
      </c>
      <c r="P580" s="26">
        <v>2E-3</v>
      </c>
      <c r="Q580" s="22">
        <v>1</v>
      </c>
      <c r="R580" s="16">
        <f>P580*Q580*Config!$B$19</f>
        <v>1.4698328328388288E-3</v>
      </c>
    </row>
    <row r="581" spans="1:18" x14ac:dyDescent="0.45">
      <c r="A581" s="7">
        <v>578</v>
      </c>
      <c r="B581" s="7" t="s">
        <v>1432</v>
      </c>
      <c r="C581" s="3" t="s">
        <v>1433</v>
      </c>
      <c r="D581" s="3" t="s">
        <v>1434</v>
      </c>
      <c r="E581" t="s">
        <v>1435</v>
      </c>
      <c r="F581" t="s">
        <v>985</v>
      </c>
      <c r="G581" t="s">
        <v>830</v>
      </c>
      <c r="H581" t="s">
        <v>808</v>
      </c>
      <c r="I581" s="12" t="s">
        <v>1107</v>
      </c>
      <c r="J581" t="s">
        <v>1292</v>
      </c>
      <c r="K581" s="12" t="s">
        <v>1062</v>
      </c>
      <c r="L581" s="12" t="s">
        <v>1110</v>
      </c>
      <c r="M581" s="12" t="s">
        <v>838</v>
      </c>
      <c r="N581" t="s">
        <v>1403</v>
      </c>
      <c r="O581" t="s">
        <v>1437</v>
      </c>
      <c r="P581" s="31">
        <v>0.01</v>
      </c>
      <c r="Q581">
        <v>1</v>
      </c>
      <c r="R581">
        <v>1.2E-4</v>
      </c>
    </row>
    <row r="582" spans="1:18" x14ac:dyDescent="0.45">
      <c r="A582" s="7">
        <v>579</v>
      </c>
      <c r="B582" s="7" t="s">
        <v>1432</v>
      </c>
      <c r="C582" s="3" t="s">
        <v>1433</v>
      </c>
      <c r="D582" s="3" t="s">
        <v>1434</v>
      </c>
      <c r="E582" t="s">
        <v>1435</v>
      </c>
      <c r="F582" t="s">
        <v>1010</v>
      </c>
      <c r="G582" t="s">
        <v>830</v>
      </c>
      <c r="H582" t="s">
        <v>808</v>
      </c>
      <c r="I582" s="12" t="s">
        <v>1107</v>
      </c>
      <c r="J582" t="s">
        <v>1292</v>
      </c>
      <c r="K582" s="12" t="s">
        <v>1062</v>
      </c>
      <c r="L582" s="12" t="s">
        <v>1110</v>
      </c>
      <c r="M582" s="12" t="s">
        <v>838</v>
      </c>
      <c r="N582" t="s">
        <v>1403</v>
      </c>
      <c r="O582" t="s">
        <v>1438</v>
      </c>
      <c r="P582" s="31">
        <v>0.01</v>
      </c>
      <c r="Q582">
        <v>1</v>
      </c>
      <c r="R582">
        <v>1.2E-4</v>
      </c>
    </row>
    <row r="583" spans="1:18" x14ac:dyDescent="0.45">
      <c r="A583" s="7">
        <v>580</v>
      </c>
      <c r="B583" s="7" t="s">
        <v>1532</v>
      </c>
      <c r="C583" s="3" t="s">
        <v>1439</v>
      </c>
      <c r="D583" s="3" t="s">
        <v>1440</v>
      </c>
      <c r="E583" t="s">
        <v>1441</v>
      </c>
      <c r="F583" t="s">
        <v>984</v>
      </c>
      <c r="G583" t="s">
        <v>830</v>
      </c>
      <c r="H583" t="s">
        <v>808</v>
      </c>
      <c r="I583" s="12" t="s">
        <v>1107</v>
      </c>
      <c r="J583" t="s">
        <v>1292</v>
      </c>
      <c r="K583" s="12" t="s">
        <v>1062</v>
      </c>
      <c r="L583" s="12" t="s">
        <v>1110</v>
      </c>
      <c r="M583" s="12" t="s">
        <v>838</v>
      </c>
      <c r="N583" t="s">
        <v>1403</v>
      </c>
      <c r="O583" t="s">
        <v>1442</v>
      </c>
      <c r="P583" s="31">
        <v>0.01</v>
      </c>
      <c r="Q583">
        <v>1</v>
      </c>
      <c r="R583">
        <v>1.2E-4</v>
      </c>
    </row>
    <row r="584" spans="1:18" x14ac:dyDescent="0.45">
      <c r="A584" s="7">
        <v>581</v>
      </c>
      <c r="B584" s="7" t="s">
        <v>1532</v>
      </c>
      <c r="C584" s="3" t="s">
        <v>1439</v>
      </c>
      <c r="D584" s="3" t="s">
        <v>1440</v>
      </c>
      <c r="E584" t="s">
        <v>1441</v>
      </c>
      <c r="F584" t="s">
        <v>985</v>
      </c>
      <c r="G584" t="s">
        <v>830</v>
      </c>
      <c r="H584" t="s">
        <v>808</v>
      </c>
      <c r="I584" s="12" t="s">
        <v>1107</v>
      </c>
      <c r="J584" t="s">
        <v>1292</v>
      </c>
      <c r="K584" s="12" t="s">
        <v>1062</v>
      </c>
      <c r="L584" s="12" t="s">
        <v>1110</v>
      </c>
      <c r="M584" s="12" t="s">
        <v>838</v>
      </c>
      <c r="N584" t="s">
        <v>1403</v>
      </c>
      <c r="O584" t="s">
        <v>1443</v>
      </c>
      <c r="P584" s="31">
        <v>0.01</v>
      </c>
      <c r="Q584">
        <v>1</v>
      </c>
      <c r="R584">
        <v>1.2E-4</v>
      </c>
    </row>
    <row r="585" spans="1:18" x14ac:dyDescent="0.45">
      <c r="A585" s="7">
        <v>582</v>
      </c>
      <c r="B585" s="7" t="s">
        <v>1532</v>
      </c>
      <c r="C585" s="3" t="s">
        <v>1439</v>
      </c>
      <c r="D585" s="3" t="s">
        <v>1440</v>
      </c>
      <c r="E585" t="s">
        <v>1441</v>
      </c>
      <c r="F585" t="s">
        <v>1010</v>
      </c>
      <c r="G585" t="s">
        <v>830</v>
      </c>
      <c r="H585" t="s">
        <v>808</v>
      </c>
      <c r="I585" s="12" t="s">
        <v>1107</v>
      </c>
      <c r="J585" t="s">
        <v>1292</v>
      </c>
      <c r="K585" s="12" t="s">
        <v>1062</v>
      </c>
      <c r="L585" s="12" t="s">
        <v>1110</v>
      </c>
      <c r="M585" s="12" t="s">
        <v>838</v>
      </c>
      <c r="N585" t="s">
        <v>1403</v>
      </c>
      <c r="O585" t="s">
        <v>1444</v>
      </c>
      <c r="P585" s="31">
        <v>0.01</v>
      </c>
      <c r="Q585">
        <v>1</v>
      </c>
      <c r="R585">
        <v>1.2E-4</v>
      </c>
    </row>
    <row r="586" spans="1:18" x14ac:dyDescent="0.45">
      <c r="A586" s="7">
        <v>583</v>
      </c>
      <c r="B586" s="7" t="s">
        <v>1533</v>
      </c>
      <c r="C586" s="3" t="s">
        <v>1445</v>
      </c>
      <c r="D586" s="3" t="s">
        <v>1446</v>
      </c>
      <c r="E586" t="s">
        <v>1447</v>
      </c>
      <c r="F586" t="s">
        <v>984</v>
      </c>
      <c r="G586" t="s">
        <v>830</v>
      </c>
      <c r="H586" t="s">
        <v>808</v>
      </c>
      <c r="I586" s="12" t="s">
        <v>1107</v>
      </c>
      <c r="J586" t="s">
        <v>1292</v>
      </c>
      <c r="K586" s="12" t="s">
        <v>1062</v>
      </c>
      <c r="L586" s="12" t="s">
        <v>1110</v>
      </c>
      <c r="M586" s="12" t="s">
        <v>838</v>
      </c>
      <c r="N586" t="s">
        <v>1403</v>
      </c>
      <c r="O586" t="s">
        <v>1448</v>
      </c>
      <c r="P586" s="31">
        <v>0.01</v>
      </c>
      <c r="Q586">
        <v>1</v>
      </c>
      <c r="R586">
        <v>1.2E-4</v>
      </c>
    </row>
    <row r="587" spans="1:18" x14ac:dyDescent="0.45">
      <c r="A587" s="7">
        <v>584</v>
      </c>
      <c r="B587" s="7" t="s">
        <v>1533</v>
      </c>
      <c r="C587" s="3" t="s">
        <v>1445</v>
      </c>
      <c r="D587" s="3" t="s">
        <v>1446</v>
      </c>
      <c r="E587" t="s">
        <v>1447</v>
      </c>
      <c r="F587" t="s">
        <v>985</v>
      </c>
      <c r="G587" t="s">
        <v>830</v>
      </c>
      <c r="H587" t="s">
        <v>808</v>
      </c>
      <c r="I587" s="12" t="s">
        <v>1107</v>
      </c>
      <c r="J587" t="s">
        <v>1292</v>
      </c>
      <c r="K587" s="12" t="s">
        <v>1062</v>
      </c>
      <c r="L587" s="12" t="s">
        <v>1110</v>
      </c>
      <c r="M587" s="12" t="s">
        <v>838</v>
      </c>
      <c r="N587" t="s">
        <v>1403</v>
      </c>
      <c r="O587" t="s">
        <v>1449</v>
      </c>
      <c r="P587" s="31">
        <v>0.01</v>
      </c>
      <c r="Q587">
        <v>1</v>
      </c>
      <c r="R587">
        <v>1.2E-4</v>
      </c>
    </row>
    <row r="588" spans="1:18" x14ac:dyDescent="0.45">
      <c r="A588" s="7">
        <v>585</v>
      </c>
      <c r="B588" s="7" t="s">
        <v>1533</v>
      </c>
      <c r="C588" s="3" t="s">
        <v>1445</v>
      </c>
      <c r="D588" s="3" t="s">
        <v>1446</v>
      </c>
      <c r="E588" t="s">
        <v>1447</v>
      </c>
      <c r="F588" t="s">
        <v>1010</v>
      </c>
      <c r="G588" t="s">
        <v>830</v>
      </c>
      <c r="H588" t="s">
        <v>808</v>
      </c>
      <c r="I588" s="12" t="s">
        <v>1107</v>
      </c>
      <c r="J588" t="s">
        <v>1292</v>
      </c>
      <c r="K588" s="12" t="s">
        <v>1062</v>
      </c>
      <c r="L588" s="12" t="s">
        <v>1110</v>
      </c>
      <c r="M588" s="12" t="s">
        <v>838</v>
      </c>
      <c r="N588" t="s">
        <v>1403</v>
      </c>
      <c r="O588" t="s">
        <v>1450</v>
      </c>
      <c r="P588" s="31">
        <v>0.01</v>
      </c>
      <c r="Q588">
        <v>1</v>
      </c>
      <c r="R588">
        <v>1.2E-4</v>
      </c>
    </row>
    <row r="589" spans="1:18" x14ac:dyDescent="0.45">
      <c r="A589" s="7">
        <v>586</v>
      </c>
      <c r="B589" s="7" t="s">
        <v>1545</v>
      </c>
      <c r="C589" s="7" t="s">
        <v>1548</v>
      </c>
      <c r="D589" s="7" t="s">
        <v>1551</v>
      </c>
      <c r="E589" t="s">
        <v>1451</v>
      </c>
      <c r="F589" t="s">
        <v>984</v>
      </c>
      <c r="G589" t="s">
        <v>833</v>
      </c>
      <c r="H589" t="s">
        <v>808</v>
      </c>
      <c r="I589" t="s">
        <v>1107</v>
      </c>
      <c r="J589" t="s">
        <v>1292</v>
      </c>
      <c r="K589" t="s">
        <v>1062</v>
      </c>
      <c r="L589" t="s">
        <v>1110</v>
      </c>
      <c r="M589" s="12" t="s">
        <v>838</v>
      </c>
      <c r="N589" t="s">
        <v>1488</v>
      </c>
      <c r="O589" t="s">
        <v>1452</v>
      </c>
      <c r="P589" s="31">
        <v>1E-4</v>
      </c>
      <c r="Q589">
        <v>1</v>
      </c>
      <c r="R589">
        <v>1.2E-4</v>
      </c>
    </row>
    <row r="590" spans="1:18" x14ac:dyDescent="0.45">
      <c r="A590" s="7">
        <v>587</v>
      </c>
      <c r="B590" s="7" t="s">
        <v>1545</v>
      </c>
      <c r="C590" s="7" t="s">
        <v>1548</v>
      </c>
      <c r="D590" s="7" t="s">
        <v>1551</v>
      </c>
      <c r="E590" t="s">
        <v>1451</v>
      </c>
      <c r="F590" t="s">
        <v>985</v>
      </c>
      <c r="G590" t="s">
        <v>833</v>
      </c>
      <c r="H590" t="s">
        <v>808</v>
      </c>
      <c r="I590" t="s">
        <v>1107</v>
      </c>
      <c r="J590" t="s">
        <v>1292</v>
      </c>
      <c r="K590" t="s">
        <v>1062</v>
      </c>
      <c r="L590" t="s">
        <v>1110</v>
      </c>
      <c r="M590" s="12" t="s">
        <v>838</v>
      </c>
      <c r="N590" t="s">
        <v>1488</v>
      </c>
      <c r="O590" t="s">
        <v>1453</v>
      </c>
      <c r="P590" s="31">
        <v>1E-4</v>
      </c>
      <c r="Q590">
        <v>1</v>
      </c>
      <c r="R590">
        <v>1.2E-4</v>
      </c>
    </row>
    <row r="591" spans="1:18" x14ac:dyDescent="0.45">
      <c r="A591" s="7">
        <v>588</v>
      </c>
      <c r="B591" s="7" t="s">
        <v>1545</v>
      </c>
      <c r="C591" s="7" t="s">
        <v>1548</v>
      </c>
      <c r="D591" s="7" t="s">
        <v>1551</v>
      </c>
      <c r="E591" t="s">
        <v>1451</v>
      </c>
      <c r="F591" t="s">
        <v>1010</v>
      </c>
      <c r="G591" t="s">
        <v>833</v>
      </c>
      <c r="H591" t="s">
        <v>808</v>
      </c>
      <c r="I591" t="s">
        <v>1107</v>
      </c>
      <c r="J591" t="s">
        <v>1292</v>
      </c>
      <c r="K591" t="s">
        <v>1062</v>
      </c>
      <c r="L591" t="s">
        <v>1110</v>
      </c>
      <c r="M591" s="12" t="s">
        <v>838</v>
      </c>
      <c r="N591" t="s">
        <v>1488</v>
      </c>
      <c r="O591" t="s">
        <v>1454</v>
      </c>
      <c r="P591" s="31">
        <v>1E-4</v>
      </c>
      <c r="Q591">
        <v>1</v>
      </c>
      <c r="R591">
        <v>1.2E-4</v>
      </c>
    </row>
    <row r="592" spans="1:18" x14ac:dyDescent="0.45">
      <c r="A592" s="7">
        <v>589</v>
      </c>
      <c r="B592" s="7" t="s">
        <v>1543</v>
      </c>
      <c r="C592" s="7" t="s">
        <v>1628</v>
      </c>
      <c r="D592" s="7" t="s">
        <v>1549</v>
      </c>
      <c r="E592" t="s">
        <v>1455</v>
      </c>
      <c r="F592" t="s">
        <v>984</v>
      </c>
      <c r="G592" t="s">
        <v>833</v>
      </c>
      <c r="H592" t="s">
        <v>808</v>
      </c>
      <c r="I592" t="s">
        <v>1107</v>
      </c>
      <c r="J592" t="s">
        <v>1292</v>
      </c>
      <c r="K592" t="s">
        <v>1062</v>
      </c>
      <c r="L592" t="s">
        <v>1110</v>
      </c>
      <c r="M592" s="12" t="s">
        <v>838</v>
      </c>
      <c r="N592" t="s">
        <v>1488</v>
      </c>
      <c r="O592" t="s">
        <v>1456</v>
      </c>
      <c r="P592" s="31">
        <v>1E-4</v>
      </c>
      <c r="Q592">
        <v>1</v>
      </c>
      <c r="R592">
        <v>1.2E-4</v>
      </c>
    </row>
    <row r="593" spans="1:18" x14ac:dyDescent="0.45">
      <c r="A593" s="7">
        <v>590</v>
      </c>
      <c r="B593" s="7" t="s">
        <v>1543</v>
      </c>
      <c r="C593" s="7" t="s">
        <v>1628</v>
      </c>
      <c r="D593" s="7" t="s">
        <v>1549</v>
      </c>
      <c r="E593" t="s">
        <v>1455</v>
      </c>
      <c r="F593" t="s">
        <v>985</v>
      </c>
      <c r="G593" t="s">
        <v>833</v>
      </c>
      <c r="H593" t="s">
        <v>808</v>
      </c>
      <c r="I593" t="s">
        <v>1107</v>
      </c>
      <c r="J593" t="s">
        <v>1292</v>
      </c>
      <c r="K593" t="s">
        <v>1062</v>
      </c>
      <c r="L593" t="s">
        <v>1110</v>
      </c>
      <c r="M593" s="12" t="s">
        <v>838</v>
      </c>
      <c r="N593" t="s">
        <v>1488</v>
      </c>
      <c r="O593" t="s">
        <v>1457</v>
      </c>
      <c r="P593" s="31">
        <v>1E-4</v>
      </c>
      <c r="Q593">
        <v>1</v>
      </c>
      <c r="R593">
        <v>1.2E-4</v>
      </c>
    </row>
    <row r="594" spans="1:18" x14ac:dyDescent="0.45">
      <c r="A594" s="7">
        <v>591</v>
      </c>
      <c r="B594" s="7" t="s">
        <v>1543</v>
      </c>
      <c r="C594" s="7" t="s">
        <v>1628</v>
      </c>
      <c r="D594" s="7" t="s">
        <v>1549</v>
      </c>
      <c r="E594" t="s">
        <v>1455</v>
      </c>
      <c r="F594" t="s">
        <v>1010</v>
      </c>
      <c r="G594" t="s">
        <v>833</v>
      </c>
      <c r="H594" t="s">
        <v>808</v>
      </c>
      <c r="I594" t="s">
        <v>1107</v>
      </c>
      <c r="J594" t="s">
        <v>1292</v>
      </c>
      <c r="K594" t="s">
        <v>1062</v>
      </c>
      <c r="L594" t="s">
        <v>1110</v>
      </c>
      <c r="M594" s="12" t="s">
        <v>838</v>
      </c>
      <c r="N594" t="s">
        <v>1488</v>
      </c>
      <c r="O594" t="s">
        <v>1458</v>
      </c>
      <c r="P594" s="31">
        <v>1E-4</v>
      </c>
      <c r="Q594">
        <v>1</v>
      </c>
      <c r="R594">
        <v>1.2E-4</v>
      </c>
    </row>
    <row r="595" spans="1:18" x14ac:dyDescent="0.45">
      <c r="A595" s="7">
        <v>592</v>
      </c>
      <c r="B595" s="7" t="s">
        <v>1459</v>
      </c>
      <c r="C595" s="3" t="s">
        <v>1460</v>
      </c>
      <c r="D595" s="3" t="s">
        <v>1461</v>
      </c>
      <c r="E595" t="s">
        <v>1462</v>
      </c>
      <c r="F595" t="s">
        <v>990</v>
      </c>
      <c r="G595" t="s">
        <v>830</v>
      </c>
      <c r="H595" t="s">
        <v>808</v>
      </c>
      <c r="I595" s="12" t="s">
        <v>1107</v>
      </c>
      <c r="J595" t="s">
        <v>1292</v>
      </c>
      <c r="K595" s="12" t="s">
        <v>1062</v>
      </c>
      <c r="L595" s="12" t="s">
        <v>1110</v>
      </c>
      <c r="M595" s="12" t="s">
        <v>838</v>
      </c>
      <c r="N595" t="s">
        <v>1403</v>
      </c>
      <c r="O595" t="s">
        <v>1463</v>
      </c>
      <c r="P595" s="31">
        <v>0.01</v>
      </c>
      <c r="Q595">
        <v>1</v>
      </c>
      <c r="R595">
        <v>1.2E-4</v>
      </c>
    </row>
    <row r="596" spans="1:18" x14ac:dyDescent="0.45">
      <c r="A596" s="7">
        <v>593</v>
      </c>
      <c r="B596" s="7" t="s">
        <v>1464</v>
      </c>
      <c r="C596" s="3" t="s">
        <v>1465</v>
      </c>
      <c r="D596" s="3" t="s">
        <v>1466</v>
      </c>
      <c r="E596" t="s">
        <v>1467</v>
      </c>
      <c r="F596" t="s">
        <v>990</v>
      </c>
      <c r="G596" t="s">
        <v>830</v>
      </c>
      <c r="H596" t="s">
        <v>808</v>
      </c>
      <c r="I596" s="12" t="s">
        <v>1107</v>
      </c>
      <c r="J596" t="s">
        <v>1292</v>
      </c>
      <c r="K596" s="12" t="s">
        <v>1062</v>
      </c>
      <c r="L596" s="12" t="s">
        <v>1110</v>
      </c>
      <c r="M596" s="12" t="s">
        <v>838</v>
      </c>
      <c r="N596" t="s">
        <v>1403</v>
      </c>
      <c r="O596" t="s">
        <v>1468</v>
      </c>
      <c r="P596" s="31">
        <v>0.01</v>
      </c>
      <c r="Q596">
        <v>1</v>
      </c>
      <c r="R596">
        <v>1.2E-4</v>
      </c>
    </row>
    <row r="597" spans="1:18" x14ac:dyDescent="0.45">
      <c r="A597" s="7">
        <v>594</v>
      </c>
      <c r="B597" s="7" t="s">
        <v>1469</v>
      </c>
      <c r="C597" s="3" t="s">
        <v>1470</v>
      </c>
      <c r="D597" s="3" t="s">
        <v>1471</v>
      </c>
      <c r="E597" t="s">
        <v>1472</v>
      </c>
      <c r="F597" t="s">
        <v>990</v>
      </c>
      <c r="G597" t="s">
        <v>830</v>
      </c>
      <c r="H597" t="s">
        <v>808</v>
      </c>
      <c r="I597" s="12" t="s">
        <v>1107</v>
      </c>
      <c r="J597" t="s">
        <v>1292</v>
      </c>
      <c r="K597" s="12" t="s">
        <v>1062</v>
      </c>
      <c r="L597" s="12" t="s">
        <v>1110</v>
      </c>
      <c r="M597" s="12" t="s">
        <v>838</v>
      </c>
      <c r="N597" t="s">
        <v>1403</v>
      </c>
      <c r="O597" t="s">
        <v>1473</v>
      </c>
      <c r="P597" s="31">
        <v>0.01</v>
      </c>
      <c r="Q597">
        <v>1</v>
      </c>
      <c r="R597">
        <v>1.2E-4</v>
      </c>
    </row>
    <row r="598" spans="1:18" x14ac:dyDescent="0.45">
      <c r="A598" s="7">
        <v>595</v>
      </c>
      <c r="B598" s="7" t="s">
        <v>1544</v>
      </c>
      <c r="C598" s="7" t="s">
        <v>1629</v>
      </c>
      <c r="D598" s="7" t="s">
        <v>1550</v>
      </c>
      <c r="E598" t="s">
        <v>1474</v>
      </c>
      <c r="F598" t="s">
        <v>984</v>
      </c>
      <c r="G598" t="s">
        <v>833</v>
      </c>
      <c r="H598" t="s">
        <v>808</v>
      </c>
      <c r="I598" t="s">
        <v>1107</v>
      </c>
      <c r="J598" t="s">
        <v>1292</v>
      </c>
      <c r="K598" t="s">
        <v>1062</v>
      </c>
      <c r="L598" t="s">
        <v>1110</v>
      </c>
      <c r="M598" s="12" t="s">
        <v>838</v>
      </c>
      <c r="N598" t="s">
        <v>1488</v>
      </c>
      <c r="O598" t="s">
        <v>1475</v>
      </c>
      <c r="P598" s="31">
        <v>1E-4</v>
      </c>
      <c r="Q598">
        <v>1</v>
      </c>
      <c r="R598">
        <v>1.2E-4</v>
      </c>
    </row>
    <row r="599" spans="1:18" x14ac:dyDescent="0.45">
      <c r="A599" s="7">
        <v>596</v>
      </c>
      <c r="B599" s="7" t="s">
        <v>1544</v>
      </c>
      <c r="C599" s="7" t="s">
        <v>1629</v>
      </c>
      <c r="D599" s="7" t="s">
        <v>1550</v>
      </c>
      <c r="E599" t="s">
        <v>1474</v>
      </c>
      <c r="F599" t="s">
        <v>985</v>
      </c>
      <c r="G599" t="s">
        <v>833</v>
      </c>
      <c r="H599" t="s">
        <v>808</v>
      </c>
      <c r="I599" t="s">
        <v>1107</v>
      </c>
      <c r="J599" t="s">
        <v>1292</v>
      </c>
      <c r="K599" t="s">
        <v>1062</v>
      </c>
      <c r="L599" t="s">
        <v>1110</v>
      </c>
      <c r="M599" s="12" t="s">
        <v>838</v>
      </c>
      <c r="N599" t="s">
        <v>1488</v>
      </c>
      <c r="O599" t="s">
        <v>1476</v>
      </c>
      <c r="P599" s="31">
        <v>1E-4</v>
      </c>
      <c r="Q599">
        <v>1</v>
      </c>
      <c r="R599">
        <v>1.2E-4</v>
      </c>
    </row>
    <row r="600" spans="1:18" x14ac:dyDescent="0.45">
      <c r="A600" s="7">
        <v>597</v>
      </c>
      <c r="B600" s="7" t="s">
        <v>1544</v>
      </c>
      <c r="C600" s="7" t="s">
        <v>1629</v>
      </c>
      <c r="D600" s="7" t="s">
        <v>1550</v>
      </c>
      <c r="E600" t="s">
        <v>1474</v>
      </c>
      <c r="F600" t="s">
        <v>1010</v>
      </c>
      <c r="G600" t="s">
        <v>833</v>
      </c>
      <c r="H600" t="s">
        <v>808</v>
      </c>
      <c r="I600" t="s">
        <v>1107</v>
      </c>
      <c r="J600" t="s">
        <v>1292</v>
      </c>
      <c r="K600" t="s">
        <v>1062</v>
      </c>
      <c r="L600" t="s">
        <v>1110</v>
      </c>
      <c r="M600" s="12" t="s">
        <v>838</v>
      </c>
      <c r="N600" t="s">
        <v>1488</v>
      </c>
      <c r="O600" t="s">
        <v>1477</v>
      </c>
      <c r="P600" s="31">
        <v>1E-4</v>
      </c>
      <c r="Q600">
        <v>1</v>
      </c>
      <c r="R600">
        <v>1.2E-4</v>
      </c>
    </row>
    <row r="601" spans="1:18" x14ac:dyDescent="0.45">
      <c r="A601" s="7">
        <v>598</v>
      </c>
      <c r="B601" s="7" t="s">
        <v>1534</v>
      </c>
      <c r="C601" s="3" t="s">
        <v>1364</v>
      </c>
      <c r="D601" s="3" t="s">
        <v>1365</v>
      </c>
      <c r="E601" t="s">
        <v>1478</v>
      </c>
      <c r="F601" t="s">
        <v>984</v>
      </c>
      <c r="G601" t="s">
        <v>830</v>
      </c>
      <c r="H601" t="s">
        <v>808</v>
      </c>
      <c r="I601" s="12" t="s">
        <v>1107</v>
      </c>
      <c r="J601" t="s">
        <v>1292</v>
      </c>
      <c r="K601" s="12" t="s">
        <v>1062</v>
      </c>
      <c r="L601" s="12" t="s">
        <v>1110</v>
      </c>
      <c r="M601" s="12" t="s">
        <v>838</v>
      </c>
      <c r="N601" t="s">
        <v>1403</v>
      </c>
      <c r="O601" t="s">
        <v>1479</v>
      </c>
      <c r="P601" s="31">
        <v>0.01</v>
      </c>
      <c r="Q601">
        <v>1</v>
      </c>
      <c r="R601">
        <v>1.2E-4</v>
      </c>
    </row>
    <row r="602" spans="1:18" x14ac:dyDescent="0.45">
      <c r="A602" s="7">
        <v>599</v>
      </c>
      <c r="B602" s="7" t="s">
        <v>1534</v>
      </c>
      <c r="C602" s="3" t="s">
        <v>1364</v>
      </c>
      <c r="D602" s="3" t="s">
        <v>1365</v>
      </c>
      <c r="E602" t="s">
        <v>1478</v>
      </c>
      <c r="F602" t="s">
        <v>985</v>
      </c>
      <c r="G602" t="s">
        <v>830</v>
      </c>
      <c r="H602" t="s">
        <v>808</v>
      </c>
      <c r="I602" s="12" t="s">
        <v>1107</v>
      </c>
      <c r="J602" t="s">
        <v>1292</v>
      </c>
      <c r="K602" s="12" t="s">
        <v>1062</v>
      </c>
      <c r="L602" s="12" t="s">
        <v>1110</v>
      </c>
      <c r="M602" s="12" t="s">
        <v>838</v>
      </c>
      <c r="N602" t="s">
        <v>1403</v>
      </c>
      <c r="O602" t="s">
        <v>1480</v>
      </c>
      <c r="P602" s="31">
        <v>0.01</v>
      </c>
      <c r="Q602">
        <v>1</v>
      </c>
      <c r="R602">
        <v>1.2E-4</v>
      </c>
    </row>
    <row r="603" spans="1:18" x14ac:dyDescent="0.45">
      <c r="A603" s="7">
        <v>600</v>
      </c>
      <c r="B603" s="7" t="s">
        <v>1534</v>
      </c>
      <c r="C603" s="3" t="s">
        <v>1364</v>
      </c>
      <c r="D603" s="3" t="s">
        <v>1365</v>
      </c>
      <c r="E603" t="s">
        <v>1478</v>
      </c>
      <c r="F603" t="s">
        <v>1010</v>
      </c>
      <c r="G603" t="s">
        <v>830</v>
      </c>
      <c r="H603" t="s">
        <v>808</v>
      </c>
      <c r="I603" s="12" t="s">
        <v>1107</v>
      </c>
      <c r="J603" t="s">
        <v>1292</v>
      </c>
      <c r="K603" s="12" t="s">
        <v>1062</v>
      </c>
      <c r="L603" s="12" t="s">
        <v>1110</v>
      </c>
      <c r="M603" s="12" t="s">
        <v>838</v>
      </c>
      <c r="N603" t="s">
        <v>1403</v>
      </c>
      <c r="O603" t="s">
        <v>1481</v>
      </c>
      <c r="P603" s="31">
        <v>0.01</v>
      </c>
      <c r="Q603">
        <v>1</v>
      </c>
      <c r="R603">
        <v>1.2E-4</v>
      </c>
    </row>
    <row r="604" spans="1:18" x14ac:dyDescent="0.45">
      <c r="A604" s="7">
        <v>601</v>
      </c>
      <c r="B604" s="7" t="s">
        <v>1535</v>
      </c>
      <c r="C604" s="3" t="s">
        <v>1482</v>
      </c>
      <c r="D604" s="3" t="s">
        <v>1483</v>
      </c>
      <c r="E604" t="s">
        <v>1484</v>
      </c>
      <c r="F604" t="s">
        <v>984</v>
      </c>
      <c r="G604" t="s">
        <v>830</v>
      </c>
      <c r="H604" t="s">
        <v>808</v>
      </c>
      <c r="I604" s="12" t="s">
        <v>1107</v>
      </c>
      <c r="J604" t="s">
        <v>1292</v>
      </c>
      <c r="K604" s="12" t="s">
        <v>1062</v>
      </c>
      <c r="L604" s="12" t="s">
        <v>1110</v>
      </c>
      <c r="M604" s="12" t="s">
        <v>838</v>
      </c>
      <c r="N604" t="s">
        <v>1403</v>
      </c>
      <c r="O604" t="s">
        <v>1485</v>
      </c>
      <c r="P604" s="31">
        <v>0.01</v>
      </c>
      <c r="Q604">
        <v>1</v>
      </c>
      <c r="R604">
        <v>1.2E-4</v>
      </c>
    </row>
    <row r="605" spans="1:18" x14ac:dyDescent="0.45">
      <c r="A605" s="7">
        <v>602</v>
      </c>
      <c r="B605" s="7" t="s">
        <v>1535</v>
      </c>
      <c r="C605" s="3" t="s">
        <v>1482</v>
      </c>
      <c r="D605" s="3" t="s">
        <v>1483</v>
      </c>
      <c r="E605" t="s">
        <v>1484</v>
      </c>
      <c r="F605" t="s">
        <v>985</v>
      </c>
      <c r="G605" t="s">
        <v>830</v>
      </c>
      <c r="H605" t="s">
        <v>808</v>
      </c>
      <c r="I605" s="12" t="s">
        <v>1107</v>
      </c>
      <c r="J605" t="s">
        <v>1292</v>
      </c>
      <c r="K605" s="12" t="s">
        <v>1062</v>
      </c>
      <c r="L605" s="12" t="s">
        <v>1110</v>
      </c>
      <c r="M605" s="12" t="s">
        <v>838</v>
      </c>
      <c r="N605" t="s">
        <v>1403</v>
      </c>
      <c r="O605" t="s">
        <v>1486</v>
      </c>
      <c r="P605" s="31">
        <v>0.01</v>
      </c>
      <c r="Q605">
        <v>1</v>
      </c>
      <c r="R605">
        <v>1.2E-4</v>
      </c>
    </row>
    <row r="606" spans="1:18" x14ac:dyDescent="0.45">
      <c r="A606" s="7">
        <v>603</v>
      </c>
      <c r="B606" s="7" t="s">
        <v>1535</v>
      </c>
      <c r="C606" s="3" t="s">
        <v>1482</v>
      </c>
      <c r="D606" s="3" t="s">
        <v>1483</v>
      </c>
      <c r="E606" t="s">
        <v>1484</v>
      </c>
      <c r="F606" t="s">
        <v>1010</v>
      </c>
      <c r="G606" t="s">
        <v>830</v>
      </c>
      <c r="H606" t="s">
        <v>808</v>
      </c>
      <c r="I606" s="12" t="s">
        <v>1107</v>
      </c>
      <c r="J606" t="s">
        <v>1292</v>
      </c>
      <c r="K606" s="12" t="s">
        <v>1062</v>
      </c>
      <c r="L606" s="12" t="s">
        <v>1110</v>
      </c>
      <c r="M606" s="12" t="s">
        <v>838</v>
      </c>
      <c r="N606" t="s">
        <v>1403</v>
      </c>
      <c r="O606" t="s">
        <v>1487</v>
      </c>
      <c r="P606" s="31">
        <v>0.01</v>
      </c>
      <c r="Q606">
        <v>1</v>
      </c>
      <c r="R606">
        <v>1.2E-4</v>
      </c>
    </row>
    <row r="607" spans="1:18" x14ac:dyDescent="0.45">
      <c r="A607" s="7">
        <v>604</v>
      </c>
      <c r="B607" s="7" t="s">
        <v>1490</v>
      </c>
      <c r="C607" s="3" t="s">
        <v>1515</v>
      </c>
      <c r="D607" s="3" t="s">
        <v>1491</v>
      </c>
      <c r="E607" t="s">
        <v>1501</v>
      </c>
      <c r="F607" t="s">
        <v>1010</v>
      </c>
      <c r="G607" t="s">
        <v>832</v>
      </c>
      <c r="H607" t="s">
        <v>808</v>
      </c>
      <c r="I607" t="s">
        <v>1107</v>
      </c>
      <c r="K607" t="s">
        <v>1062</v>
      </c>
      <c r="L607" t="s">
        <v>1110</v>
      </c>
      <c r="M607" t="s">
        <v>1492</v>
      </c>
      <c r="O607" t="s">
        <v>1498</v>
      </c>
      <c r="P607">
        <v>1E-4</v>
      </c>
      <c r="Q607">
        <v>1</v>
      </c>
      <c r="R607">
        <v>1.2E-4</v>
      </c>
    </row>
    <row r="608" spans="1:18" x14ac:dyDescent="0.45">
      <c r="A608" s="7">
        <v>605</v>
      </c>
      <c r="B608" s="7" t="s">
        <v>1494</v>
      </c>
      <c r="C608" s="3" t="s">
        <v>1516</v>
      </c>
      <c r="D608" s="3" t="s">
        <v>1496</v>
      </c>
      <c r="E608" t="s">
        <v>1502</v>
      </c>
      <c r="F608" t="s">
        <v>1010</v>
      </c>
      <c r="G608" t="s">
        <v>832</v>
      </c>
      <c r="H608" t="s">
        <v>783</v>
      </c>
      <c r="I608" t="s">
        <v>1107</v>
      </c>
      <c r="K608" t="s">
        <v>1062</v>
      </c>
      <c r="L608" t="s">
        <v>1110</v>
      </c>
      <c r="M608" t="s">
        <v>1492</v>
      </c>
      <c r="O608" t="s">
        <v>1493</v>
      </c>
      <c r="P608">
        <v>1E-4</v>
      </c>
      <c r="Q608">
        <v>1</v>
      </c>
      <c r="R608">
        <v>1.2E-4</v>
      </c>
    </row>
    <row r="609" spans="1:18" x14ac:dyDescent="0.45">
      <c r="A609" s="7">
        <v>606</v>
      </c>
      <c r="B609" s="7" t="s">
        <v>1495</v>
      </c>
      <c r="C609" s="3" t="s">
        <v>1500</v>
      </c>
      <c r="D609" s="3" t="s">
        <v>1497</v>
      </c>
      <c r="E609" t="s">
        <v>1503</v>
      </c>
      <c r="F609" t="s">
        <v>1010</v>
      </c>
      <c r="G609" t="s">
        <v>832</v>
      </c>
      <c r="H609" t="s">
        <v>768</v>
      </c>
      <c r="I609" t="s">
        <v>1107</v>
      </c>
      <c r="K609" t="s">
        <v>1062</v>
      </c>
      <c r="L609" t="s">
        <v>1110</v>
      </c>
      <c r="M609" t="s">
        <v>1492</v>
      </c>
      <c r="O609" t="s">
        <v>1499</v>
      </c>
      <c r="P609">
        <v>1E-4</v>
      </c>
      <c r="Q609">
        <v>1</v>
      </c>
      <c r="R609">
        <v>1.2E-4</v>
      </c>
    </row>
    <row r="610" spans="1:18" x14ac:dyDescent="0.45">
      <c r="A610" s="7">
        <v>607</v>
      </c>
      <c r="B610" s="3" t="s">
        <v>1623</v>
      </c>
      <c r="C610" s="7" t="s">
        <v>1504</v>
      </c>
      <c r="D610" s="7" t="s">
        <v>1505</v>
      </c>
      <c r="E610" t="s">
        <v>1506</v>
      </c>
      <c r="F610" t="s">
        <v>985</v>
      </c>
      <c r="G610" t="s">
        <v>832</v>
      </c>
      <c r="H610" t="s">
        <v>808</v>
      </c>
      <c r="I610" s="12" t="s">
        <v>1107</v>
      </c>
      <c r="J610" t="s">
        <v>784</v>
      </c>
      <c r="K610" t="s">
        <v>1062</v>
      </c>
      <c r="L610" t="s">
        <v>1111</v>
      </c>
      <c r="M610" t="s">
        <v>972</v>
      </c>
      <c r="O610" t="s">
        <v>1507</v>
      </c>
      <c r="P610">
        <v>1E-4</v>
      </c>
      <c r="Q610">
        <v>1</v>
      </c>
      <c r="R610">
        <v>1.2E-4</v>
      </c>
    </row>
    <row r="611" spans="1:18" x14ac:dyDescent="0.45">
      <c r="A611" s="7">
        <v>608</v>
      </c>
      <c r="B611" s="7" t="s">
        <v>1513</v>
      </c>
      <c r="C611" s="3" t="s">
        <v>1518</v>
      </c>
      <c r="D611" s="3" t="s">
        <v>1514</v>
      </c>
      <c r="F611" t="s">
        <v>984</v>
      </c>
      <c r="G611" t="s">
        <v>832</v>
      </c>
      <c r="H611" t="s">
        <v>783</v>
      </c>
      <c r="I611" s="12" t="s">
        <v>1107</v>
      </c>
      <c r="K611" s="12" t="s">
        <v>1062</v>
      </c>
      <c r="M611" s="12" t="s">
        <v>838</v>
      </c>
      <c r="N611" s="14" t="s">
        <v>1003</v>
      </c>
      <c r="P611" s="16">
        <v>5.0000000000000001E-3</v>
      </c>
      <c r="Q611" s="22">
        <v>1</v>
      </c>
      <c r="R611" s="16">
        <f>P611*Q611*Config!$B$19</f>
        <v>3.6745820820970722E-3</v>
      </c>
    </row>
    <row r="612" spans="1:18" x14ac:dyDescent="0.45">
      <c r="A612" s="7">
        <v>609</v>
      </c>
      <c r="B612" s="7" t="s">
        <v>1513</v>
      </c>
      <c r="C612" s="3" t="s">
        <v>1518</v>
      </c>
      <c r="D612" s="3" t="s">
        <v>1514</v>
      </c>
      <c r="F612" t="s">
        <v>985</v>
      </c>
      <c r="G612" t="s">
        <v>832</v>
      </c>
      <c r="H612" t="s">
        <v>783</v>
      </c>
      <c r="I612" s="12" t="s">
        <v>1107</v>
      </c>
      <c r="K612" s="12" t="s">
        <v>1062</v>
      </c>
      <c r="M612" s="12" t="s">
        <v>838</v>
      </c>
      <c r="N612" s="14" t="s">
        <v>1003</v>
      </c>
      <c r="P612" s="16">
        <v>5.0000000000000001E-3</v>
      </c>
      <c r="Q612" s="22">
        <v>1</v>
      </c>
      <c r="R612" s="16">
        <f>P612*Q612*Config!$B$19</f>
        <v>3.6745820820970722E-3</v>
      </c>
    </row>
    <row r="613" spans="1:18" x14ac:dyDescent="0.45">
      <c r="A613" s="7">
        <v>610</v>
      </c>
      <c r="B613" s="7" t="s">
        <v>1513</v>
      </c>
      <c r="C613" s="3" t="s">
        <v>1518</v>
      </c>
      <c r="D613" s="3" t="s">
        <v>1514</v>
      </c>
      <c r="F613" t="s">
        <v>1010</v>
      </c>
      <c r="G613" t="s">
        <v>832</v>
      </c>
      <c r="H613" t="s">
        <v>783</v>
      </c>
      <c r="I613" s="12" t="s">
        <v>1107</v>
      </c>
      <c r="K613" s="12" t="s">
        <v>1062</v>
      </c>
      <c r="M613" s="12" t="s">
        <v>838</v>
      </c>
      <c r="N613" s="14" t="s">
        <v>1003</v>
      </c>
      <c r="P613" s="16">
        <v>5.0000000000000001E-3</v>
      </c>
      <c r="Q613" s="22">
        <v>1</v>
      </c>
      <c r="R613" s="16">
        <f>P613*Q613*Config!$B$19</f>
        <v>3.6745820820970722E-3</v>
      </c>
    </row>
    <row r="614" spans="1:18" x14ac:dyDescent="0.45">
      <c r="A614" s="7">
        <v>611</v>
      </c>
      <c r="B614" s="7" t="s">
        <v>1513</v>
      </c>
      <c r="C614" s="3" t="s">
        <v>1518</v>
      </c>
      <c r="D614" s="3" t="s">
        <v>1514</v>
      </c>
      <c r="F614" t="s">
        <v>971</v>
      </c>
      <c r="G614" t="s">
        <v>832</v>
      </c>
      <c r="H614" t="s">
        <v>783</v>
      </c>
      <c r="I614" s="12" t="s">
        <v>1107</v>
      </c>
      <c r="K614" s="12" t="s">
        <v>1062</v>
      </c>
      <c r="M614" s="12" t="s">
        <v>838</v>
      </c>
      <c r="N614" s="14" t="s">
        <v>1003</v>
      </c>
      <c r="P614" s="16">
        <v>5.0000000000000001E-3</v>
      </c>
      <c r="Q614" s="22">
        <v>1</v>
      </c>
      <c r="R614" s="16">
        <f>P614*Q614*Config!$B$19</f>
        <v>3.6745820820970722E-3</v>
      </c>
    </row>
    <row r="615" spans="1:18" x14ac:dyDescent="0.45">
      <c r="A615" s="7">
        <v>612</v>
      </c>
      <c r="B615" s="7" t="s">
        <v>1510</v>
      </c>
      <c r="C615" s="3" t="s">
        <v>1517</v>
      </c>
      <c r="D615" s="3" t="s">
        <v>1511</v>
      </c>
      <c r="F615" t="s">
        <v>984</v>
      </c>
      <c r="G615" t="s">
        <v>832</v>
      </c>
      <c r="H615" t="s">
        <v>808</v>
      </c>
      <c r="I615" s="12" t="s">
        <v>1107</v>
      </c>
      <c r="K615" s="12" t="s">
        <v>1062</v>
      </c>
      <c r="M615" s="12" t="s">
        <v>838</v>
      </c>
      <c r="N615" s="12" t="s">
        <v>1190</v>
      </c>
      <c r="P615" s="16">
        <v>5.0000000000000001E-3</v>
      </c>
      <c r="Q615" s="22">
        <v>1</v>
      </c>
      <c r="R615" s="16">
        <f>P615*Q615*Config!$B$19</f>
        <v>3.6745820820970722E-3</v>
      </c>
    </row>
    <row r="616" spans="1:18" x14ac:dyDescent="0.45">
      <c r="A616" s="7">
        <v>613</v>
      </c>
      <c r="B616" s="7" t="s">
        <v>1510</v>
      </c>
      <c r="C616" s="3" t="s">
        <v>1517</v>
      </c>
      <c r="D616" s="3" t="s">
        <v>1512</v>
      </c>
      <c r="F616" t="s">
        <v>984</v>
      </c>
      <c r="G616" t="s">
        <v>832</v>
      </c>
      <c r="H616" t="s">
        <v>808</v>
      </c>
      <c r="I616" s="12" t="s">
        <v>1107</v>
      </c>
      <c r="K616" s="12" t="s">
        <v>1062</v>
      </c>
      <c r="M616" s="12" t="s">
        <v>838</v>
      </c>
      <c r="N616" s="14" t="s">
        <v>1003</v>
      </c>
      <c r="P616" s="16">
        <v>5.0000000000000001E-3</v>
      </c>
      <c r="Q616" s="22">
        <v>1</v>
      </c>
      <c r="R616" s="16">
        <f>P616*Q616*Config!$B$19</f>
        <v>3.6745820820970722E-3</v>
      </c>
    </row>
    <row r="617" spans="1:18" x14ac:dyDescent="0.45">
      <c r="A617" s="7">
        <v>614</v>
      </c>
      <c r="B617" s="7" t="s">
        <v>1510</v>
      </c>
      <c r="C617" s="3" t="s">
        <v>1517</v>
      </c>
      <c r="D617" s="3" t="s">
        <v>1511</v>
      </c>
      <c r="F617" t="s">
        <v>985</v>
      </c>
      <c r="G617" t="s">
        <v>832</v>
      </c>
      <c r="H617" t="s">
        <v>808</v>
      </c>
      <c r="I617" s="12" t="s">
        <v>1107</v>
      </c>
      <c r="K617" s="12" t="s">
        <v>1062</v>
      </c>
      <c r="M617" s="12" t="s">
        <v>838</v>
      </c>
      <c r="N617" s="12" t="s">
        <v>1190</v>
      </c>
      <c r="P617" s="16">
        <v>5.0000000000000001E-3</v>
      </c>
      <c r="Q617" s="22">
        <v>1</v>
      </c>
      <c r="R617" s="16">
        <f>P617*Q617*Config!$B$19</f>
        <v>3.6745820820970722E-3</v>
      </c>
    </row>
    <row r="618" spans="1:18" x14ac:dyDescent="0.45">
      <c r="A618" s="7">
        <v>615</v>
      </c>
      <c r="B618" s="7" t="s">
        <v>1510</v>
      </c>
      <c r="C618" s="3" t="s">
        <v>1517</v>
      </c>
      <c r="D618" s="3" t="s">
        <v>1512</v>
      </c>
      <c r="F618" t="s">
        <v>985</v>
      </c>
      <c r="G618" t="s">
        <v>832</v>
      </c>
      <c r="H618" t="s">
        <v>808</v>
      </c>
      <c r="I618" s="12" t="s">
        <v>1107</v>
      </c>
      <c r="K618" s="12" t="s">
        <v>1062</v>
      </c>
      <c r="M618" s="12" t="s">
        <v>838</v>
      </c>
      <c r="N618" s="14" t="s">
        <v>1003</v>
      </c>
      <c r="P618" s="16">
        <v>5.0000000000000001E-3</v>
      </c>
      <c r="Q618" s="22">
        <v>1</v>
      </c>
      <c r="R618" s="16">
        <f>P618*Q618*Config!$B$19</f>
        <v>3.6745820820970722E-3</v>
      </c>
    </row>
    <row r="619" spans="1:18" x14ac:dyDescent="0.45">
      <c r="A619" s="7">
        <v>616</v>
      </c>
      <c r="B619" s="7" t="s">
        <v>1510</v>
      </c>
      <c r="C619" s="3" t="s">
        <v>1517</v>
      </c>
      <c r="D619" s="3" t="s">
        <v>1511</v>
      </c>
      <c r="F619" t="s">
        <v>1010</v>
      </c>
      <c r="G619" t="s">
        <v>832</v>
      </c>
      <c r="H619" t="s">
        <v>808</v>
      </c>
      <c r="I619" s="12" t="s">
        <v>1107</v>
      </c>
      <c r="K619" s="12" t="s">
        <v>1062</v>
      </c>
      <c r="M619" s="12" t="s">
        <v>838</v>
      </c>
      <c r="N619" s="12" t="s">
        <v>1190</v>
      </c>
      <c r="P619" s="16">
        <v>5.0000000000000001E-3</v>
      </c>
      <c r="Q619" s="22">
        <v>1</v>
      </c>
      <c r="R619" s="16">
        <f>P619*Q619*Config!$B$19</f>
        <v>3.6745820820970722E-3</v>
      </c>
    </row>
    <row r="620" spans="1:18" x14ac:dyDescent="0.45">
      <c r="A620" s="7">
        <v>617</v>
      </c>
      <c r="B620" s="7" t="s">
        <v>1510</v>
      </c>
      <c r="C620" s="3" t="s">
        <v>1517</v>
      </c>
      <c r="D620" s="3" t="s">
        <v>1512</v>
      </c>
      <c r="F620" t="s">
        <v>1010</v>
      </c>
      <c r="G620" t="s">
        <v>832</v>
      </c>
      <c r="H620" t="s">
        <v>808</v>
      </c>
      <c r="I620" s="12" t="s">
        <v>1107</v>
      </c>
      <c r="K620" s="12" t="s">
        <v>1062</v>
      </c>
      <c r="M620" s="12" t="s">
        <v>838</v>
      </c>
      <c r="N620" s="14" t="s">
        <v>1003</v>
      </c>
      <c r="P620" s="16">
        <v>5.0000000000000001E-3</v>
      </c>
      <c r="Q620" s="22">
        <v>1</v>
      </c>
      <c r="R620" s="16">
        <f>P620*Q620*Config!$B$19</f>
        <v>3.6745820820970722E-3</v>
      </c>
    </row>
    <row r="621" spans="1:18" x14ac:dyDescent="0.45">
      <c r="A621" s="7">
        <v>618</v>
      </c>
      <c r="B621" s="7" t="s">
        <v>1510</v>
      </c>
      <c r="C621" s="3" t="s">
        <v>1517</v>
      </c>
      <c r="D621" s="3" t="s">
        <v>1511</v>
      </c>
      <c r="F621" t="s">
        <v>971</v>
      </c>
      <c r="G621" t="s">
        <v>832</v>
      </c>
      <c r="H621" t="s">
        <v>808</v>
      </c>
      <c r="I621" s="12" t="s">
        <v>1107</v>
      </c>
      <c r="K621" s="12" t="s">
        <v>1062</v>
      </c>
      <c r="M621" s="12" t="s">
        <v>838</v>
      </c>
      <c r="N621" s="12" t="s">
        <v>1190</v>
      </c>
      <c r="P621" s="16">
        <v>5.0000000000000001E-3</v>
      </c>
      <c r="Q621" s="22">
        <v>1</v>
      </c>
      <c r="R621" s="16">
        <f>P621*Q621*Config!$B$19</f>
        <v>3.6745820820970722E-3</v>
      </c>
    </row>
    <row r="622" spans="1:18" x14ac:dyDescent="0.45">
      <c r="A622" s="7">
        <v>619</v>
      </c>
      <c r="B622" s="7" t="s">
        <v>1510</v>
      </c>
      <c r="C622" s="3" t="s">
        <v>1517</v>
      </c>
      <c r="D622" s="3" t="s">
        <v>1512</v>
      </c>
      <c r="F622" t="s">
        <v>971</v>
      </c>
      <c r="G622" t="s">
        <v>832</v>
      </c>
      <c r="H622" t="s">
        <v>808</v>
      </c>
      <c r="I622" s="12" t="s">
        <v>1107</v>
      </c>
      <c r="K622" s="12" t="s">
        <v>1062</v>
      </c>
      <c r="M622" s="12" t="s">
        <v>838</v>
      </c>
      <c r="N622" s="14" t="s">
        <v>1003</v>
      </c>
      <c r="P622" s="16">
        <v>5.0000000000000001E-3</v>
      </c>
      <c r="Q622" s="22">
        <v>1</v>
      </c>
      <c r="R622" s="16">
        <f>P622*Q622*Config!$B$19</f>
        <v>3.6745820820970722E-3</v>
      </c>
    </row>
    <row r="623" spans="1:18" x14ac:dyDescent="0.45">
      <c r="A623" s="7">
        <v>620</v>
      </c>
      <c r="B623" s="7" t="s">
        <v>1510</v>
      </c>
      <c r="C623" s="3" t="s">
        <v>1517</v>
      </c>
      <c r="D623" s="3" t="s">
        <v>1511</v>
      </c>
      <c r="F623" t="s">
        <v>986</v>
      </c>
      <c r="G623" t="s">
        <v>832</v>
      </c>
      <c r="H623" t="s">
        <v>808</v>
      </c>
      <c r="I623" s="12" t="s">
        <v>1107</v>
      </c>
      <c r="K623" s="12" t="s">
        <v>1062</v>
      </c>
      <c r="M623" s="12" t="s">
        <v>838</v>
      </c>
      <c r="N623" s="12" t="s">
        <v>1190</v>
      </c>
      <c r="P623" s="16">
        <v>5.0000000000000001E-3</v>
      </c>
      <c r="Q623" s="22">
        <v>1</v>
      </c>
      <c r="R623" s="16">
        <f>P623*Q623*Config!$B$19</f>
        <v>3.6745820820970722E-3</v>
      </c>
    </row>
    <row r="624" spans="1:18" x14ac:dyDescent="0.45">
      <c r="A624" s="7">
        <v>621</v>
      </c>
      <c r="B624" s="7" t="s">
        <v>1510</v>
      </c>
      <c r="C624" s="3" t="s">
        <v>1517</v>
      </c>
      <c r="D624" s="3" t="s">
        <v>1512</v>
      </c>
      <c r="F624" t="s">
        <v>986</v>
      </c>
      <c r="G624" t="s">
        <v>832</v>
      </c>
      <c r="H624" t="s">
        <v>808</v>
      </c>
      <c r="I624" s="12" t="s">
        <v>1107</v>
      </c>
      <c r="K624" s="12" t="s">
        <v>1062</v>
      </c>
      <c r="M624" s="12" t="s">
        <v>838</v>
      </c>
      <c r="N624" s="14" t="s">
        <v>1003</v>
      </c>
      <c r="P624" s="16">
        <v>5.0000000000000001E-3</v>
      </c>
      <c r="Q624" s="22">
        <v>1</v>
      </c>
      <c r="R624" s="16">
        <f>P624*Q624*Config!$B$19</f>
        <v>3.6745820820970722E-3</v>
      </c>
    </row>
    <row r="625" spans="1:18" x14ac:dyDescent="0.45">
      <c r="A625" s="7">
        <v>622</v>
      </c>
      <c r="B625" s="7" t="s">
        <v>1510</v>
      </c>
      <c r="C625" s="3" t="s">
        <v>1517</v>
      </c>
      <c r="D625" s="3" t="s">
        <v>1511</v>
      </c>
      <c r="F625" t="s">
        <v>987</v>
      </c>
      <c r="G625" t="s">
        <v>832</v>
      </c>
      <c r="H625" t="s">
        <v>808</v>
      </c>
      <c r="I625" s="12" t="s">
        <v>1107</v>
      </c>
      <c r="K625" s="12" t="s">
        <v>1062</v>
      </c>
      <c r="M625" s="12" t="s">
        <v>838</v>
      </c>
      <c r="N625" s="12" t="s">
        <v>1190</v>
      </c>
      <c r="P625" s="16">
        <v>5.0000000000000001E-3</v>
      </c>
      <c r="Q625" s="22">
        <v>1</v>
      </c>
      <c r="R625" s="16">
        <f>P625*Q625*Config!$B$19</f>
        <v>3.6745820820970722E-3</v>
      </c>
    </row>
    <row r="626" spans="1:18" x14ac:dyDescent="0.45">
      <c r="A626" s="7">
        <v>623</v>
      </c>
      <c r="B626" s="7" t="s">
        <v>1513</v>
      </c>
      <c r="C626" s="3" t="s">
        <v>1518</v>
      </c>
      <c r="D626" s="3" t="s">
        <v>1514</v>
      </c>
      <c r="F626" t="s">
        <v>987</v>
      </c>
      <c r="G626" t="s">
        <v>832</v>
      </c>
      <c r="H626" t="s">
        <v>808</v>
      </c>
      <c r="I626" s="12" t="s">
        <v>1107</v>
      </c>
      <c r="K626" s="12" t="s">
        <v>1062</v>
      </c>
      <c r="M626" s="12" t="s">
        <v>838</v>
      </c>
      <c r="N626" s="14" t="s">
        <v>1003</v>
      </c>
      <c r="P626" s="16">
        <v>5.0000000000000001E-3</v>
      </c>
      <c r="Q626" s="22">
        <v>1</v>
      </c>
      <c r="R626" s="16">
        <f>P626*Q626*Config!$B$19</f>
        <v>3.6745820820970722E-3</v>
      </c>
    </row>
    <row r="627" spans="1:18" x14ac:dyDescent="0.45">
      <c r="A627" s="7">
        <v>624</v>
      </c>
      <c r="B627" s="7" t="s">
        <v>1513</v>
      </c>
      <c r="C627" s="3" t="s">
        <v>1518</v>
      </c>
      <c r="D627" s="3" t="s">
        <v>1514</v>
      </c>
      <c r="F627" t="s">
        <v>986</v>
      </c>
      <c r="G627" t="s">
        <v>832</v>
      </c>
      <c r="H627" t="s">
        <v>783</v>
      </c>
      <c r="I627" s="12" t="s">
        <v>1107</v>
      </c>
      <c r="K627" s="12" t="s">
        <v>1062</v>
      </c>
      <c r="M627" s="12" t="s">
        <v>838</v>
      </c>
      <c r="N627" s="14" t="s">
        <v>1003</v>
      </c>
      <c r="P627" s="16">
        <v>5.0000000000000001E-3</v>
      </c>
      <c r="Q627" s="22">
        <v>1</v>
      </c>
      <c r="R627" s="16">
        <f>P627*Q627*Config!$B$19</f>
        <v>3.6745820820970722E-3</v>
      </c>
    </row>
    <row r="628" spans="1:18" x14ac:dyDescent="0.45">
      <c r="A628" s="7">
        <v>625</v>
      </c>
      <c r="B628" s="7" t="s">
        <v>1513</v>
      </c>
      <c r="C628" s="3" t="s">
        <v>1518</v>
      </c>
      <c r="D628" s="3" t="s">
        <v>1514</v>
      </c>
      <c r="F628" t="s">
        <v>987</v>
      </c>
      <c r="G628" t="s">
        <v>832</v>
      </c>
      <c r="H628" t="s">
        <v>783</v>
      </c>
      <c r="I628" s="12" t="s">
        <v>1107</v>
      </c>
      <c r="K628" s="12" t="s">
        <v>1062</v>
      </c>
      <c r="M628" s="12" t="s">
        <v>838</v>
      </c>
      <c r="N628" s="14" t="s">
        <v>1003</v>
      </c>
      <c r="P628" s="16">
        <v>5.0000000000000001E-3</v>
      </c>
      <c r="Q628" s="22">
        <v>1</v>
      </c>
      <c r="R628" s="16">
        <f>P628*Q628*Config!$B$19</f>
        <v>3.6745820820970722E-3</v>
      </c>
    </row>
    <row r="629" spans="1:18" x14ac:dyDescent="0.45">
      <c r="A629" s="7">
        <v>626</v>
      </c>
      <c r="B629" s="7" t="s">
        <v>1513</v>
      </c>
      <c r="C629" s="3" t="s">
        <v>1518</v>
      </c>
      <c r="D629" s="7" t="s">
        <v>1524</v>
      </c>
      <c r="F629" t="s">
        <v>984</v>
      </c>
      <c r="G629" t="s">
        <v>832</v>
      </c>
      <c r="H629" t="s">
        <v>783</v>
      </c>
      <c r="I629" s="12" t="s">
        <v>1107</v>
      </c>
      <c r="K629" s="12" t="s">
        <v>1062</v>
      </c>
      <c r="M629" s="12" t="s">
        <v>838</v>
      </c>
      <c r="P629" s="16">
        <v>5.0000000000000001E-3</v>
      </c>
      <c r="Q629" s="22">
        <v>1</v>
      </c>
      <c r="R629" s="16">
        <f>P629*Q629*Config!$B$19</f>
        <v>3.6745820820970722E-3</v>
      </c>
    </row>
    <row r="630" spans="1:18" x14ac:dyDescent="0.45">
      <c r="A630" s="7">
        <v>627</v>
      </c>
      <c r="B630" s="7" t="s">
        <v>1513</v>
      </c>
      <c r="C630" s="3" t="s">
        <v>1518</v>
      </c>
      <c r="D630" s="7" t="s">
        <v>1524</v>
      </c>
      <c r="F630" t="s">
        <v>985</v>
      </c>
      <c r="G630" t="s">
        <v>832</v>
      </c>
      <c r="H630" t="s">
        <v>783</v>
      </c>
      <c r="I630" s="12" t="s">
        <v>1107</v>
      </c>
      <c r="K630" s="12" t="s">
        <v>1062</v>
      </c>
      <c r="M630" s="12" t="s">
        <v>838</v>
      </c>
      <c r="P630" s="16">
        <v>5.0000000000000001E-3</v>
      </c>
      <c r="Q630" s="22">
        <v>1</v>
      </c>
      <c r="R630" s="16">
        <f>P630*Q630*Config!$B$19</f>
        <v>3.6745820820970722E-3</v>
      </c>
    </row>
    <row r="631" spans="1:18" x14ac:dyDescent="0.45">
      <c r="A631" s="7">
        <v>628</v>
      </c>
      <c r="B631" s="7" t="s">
        <v>1513</v>
      </c>
      <c r="C631" s="3" t="s">
        <v>1518</v>
      </c>
      <c r="D631" s="7" t="s">
        <v>1524</v>
      </c>
      <c r="F631" t="s">
        <v>1010</v>
      </c>
      <c r="G631" t="s">
        <v>832</v>
      </c>
      <c r="H631" t="s">
        <v>783</v>
      </c>
      <c r="I631" s="12" t="s">
        <v>1107</v>
      </c>
      <c r="K631" s="12" t="s">
        <v>1062</v>
      </c>
      <c r="M631" s="12" t="s">
        <v>838</v>
      </c>
      <c r="P631" s="16">
        <v>5.0000000000000001E-3</v>
      </c>
      <c r="Q631" s="22">
        <v>1</v>
      </c>
      <c r="R631" s="16">
        <f>P631*Q631*Config!$B$19</f>
        <v>3.6745820820970722E-3</v>
      </c>
    </row>
    <row r="632" spans="1:18" x14ac:dyDescent="0.45">
      <c r="A632" s="7">
        <v>629</v>
      </c>
      <c r="B632" s="7" t="s">
        <v>1513</v>
      </c>
      <c r="C632" s="3" t="s">
        <v>1518</v>
      </c>
      <c r="D632" s="7" t="s">
        <v>1524</v>
      </c>
      <c r="F632" t="s">
        <v>971</v>
      </c>
      <c r="G632" t="s">
        <v>832</v>
      </c>
      <c r="H632" t="s">
        <v>783</v>
      </c>
      <c r="I632" s="12" t="s">
        <v>1107</v>
      </c>
      <c r="K632" s="12" t="s">
        <v>1062</v>
      </c>
      <c r="M632" s="12" t="s">
        <v>838</v>
      </c>
      <c r="P632" s="16">
        <v>5.0000000000000001E-3</v>
      </c>
      <c r="Q632" s="22">
        <v>1</v>
      </c>
      <c r="R632" s="16">
        <f>P632*Q632*Config!$B$19</f>
        <v>3.6745820820970722E-3</v>
      </c>
    </row>
    <row r="633" spans="1:18" x14ac:dyDescent="0.45">
      <c r="A633" s="7">
        <v>630</v>
      </c>
      <c r="B633" s="7" t="s">
        <v>1513</v>
      </c>
      <c r="C633" s="3" t="s">
        <v>1518</v>
      </c>
      <c r="D633" s="7" t="s">
        <v>1524</v>
      </c>
      <c r="F633" t="s">
        <v>986</v>
      </c>
      <c r="G633" t="s">
        <v>832</v>
      </c>
      <c r="H633" t="s">
        <v>783</v>
      </c>
      <c r="I633" s="12" t="s">
        <v>1107</v>
      </c>
      <c r="K633" s="12" t="s">
        <v>1062</v>
      </c>
      <c r="M633" s="12" t="s">
        <v>838</v>
      </c>
      <c r="P633" s="16">
        <v>5.0000000000000001E-3</v>
      </c>
      <c r="Q633" s="22">
        <v>1</v>
      </c>
      <c r="R633" s="16">
        <f>P633*Q633*Config!$B$19</f>
        <v>3.6745820820970722E-3</v>
      </c>
    </row>
    <row r="634" spans="1:18" x14ac:dyDescent="0.45">
      <c r="A634" s="7">
        <v>631</v>
      </c>
      <c r="B634" s="7" t="s">
        <v>1513</v>
      </c>
      <c r="C634" s="3" t="s">
        <v>1518</v>
      </c>
      <c r="D634" s="7" t="s">
        <v>1524</v>
      </c>
      <c r="F634" t="s">
        <v>987</v>
      </c>
      <c r="G634" t="s">
        <v>832</v>
      </c>
      <c r="H634" t="s">
        <v>783</v>
      </c>
      <c r="I634" s="12" t="s">
        <v>1107</v>
      </c>
      <c r="K634" s="12" t="s">
        <v>1062</v>
      </c>
      <c r="M634" s="12" t="s">
        <v>838</v>
      </c>
      <c r="P634" s="16">
        <v>5.0000000000000001E-3</v>
      </c>
      <c r="Q634" s="22">
        <v>1</v>
      </c>
      <c r="R634" s="16">
        <f>P634*Q634*Config!$B$19</f>
        <v>3.6745820820970722E-3</v>
      </c>
    </row>
    <row r="635" spans="1:18" x14ac:dyDescent="0.45">
      <c r="A635" s="7">
        <v>632</v>
      </c>
      <c r="B635" s="7" t="s">
        <v>1580</v>
      </c>
      <c r="C635" s="7" t="s">
        <v>1576</v>
      </c>
      <c r="D635" s="7" t="s">
        <v>1585</v>
      </c>
      <c r="F635" t="s">
        <v>984</v>
      </c>
      <c r="G635" t="s">
        <v>831</v>
      </c>
      <c r="H635" t="s">
        <v>768</v>
      </c>
      <c r="I635" s="14" t="s">
        <v>806</v>
      </c>
      <c r="K635" s="12" t="s">
        <v>1062</v>
      </c>
      <c r="L635" s="12" t="s">
        <v>1110</v>
      </c>
      <c r="M635" s="12" t="s">
        <v>838</v>
      </c>
      <c r="N635" s="12" t="s">
        <v>1190</v>
      </c>
      <c r="P635" s="16">
        <f>PRODUCT(_xlfn.XLOOKUP(F635,Config!$A$2:$A$15,Config!$B$2:$B$15),_xlfn.XLOOKUP(G635,Config!$C$2:$C$7,Config!$D$2:$D$7),_xlfn.XLOOKUP(H635,Config!$E$2:$E$5,Config!$F$2:$F$5),_xlfn.XLOOKUP(I635,Config!$G$2:$G$3,Config!$H$2:$H$3),_xlfn.XLOOKUP(J635,Config!$I$2:$I$3,Config!$J$2:$J$3),_xlfn.XLOOKUP(K635,Config!$K$2:$K$3,Config!$L$2:$L$3),_xlfn.XLOOKUP(L635,Config!$M$2:$M$3,Config!$N$2:$N$3),_xlfn.XLOOKUP(M635,Config!$O$2:$O$6,Config!$P$2:$P$6))</f>
        <v>1.2621692159999998E-3</v>
      </c>
      <c r="Q635" s="22">
        <v>0.75</v>
      </c>
      <c r="R635" s="16">
        <f>P635*Q635*Config!$B$19</f>
        <v>6.9569165785321636E-4</v>
      </c>
    </row>
    <row r="636" spans="1:18" x14ac:dyDescent="0.45">
      <c r="A636" s="7">
        <v>633</v>
      </c>
      <c r="B636" s="7" t="s">
        <v>1580</v>
      </c>
      <c r="C636" s="7" t="s">
        <v>1576</v>
      </c>
      <c r="D636" s="7" t="s">
        <v>1585</v>
      </c>
      <c r="F636" t="s">
        <v>971</v>
      </c>
      <c r="G636" t="s">
        <v>831</v>
      </c>
      <c r="H636" t="s">
        <v>768</v>
      </c>
      <c r="I636" s="14" t="s">
        <v>806</v>
      </c>
      <c r="K636" s="12" t="s">
        <v>1062</v>
      </c>
      <c r="L636" s="12" t="s">
        <v>1110</v>
      </c>
      <c r="M636" s="12" t="s">
        <v>838</v>
      </c>
      <c r="N636" s="12" t="s">
        <v>1190</v>
      </c>
      <c r="P636" s="16">
        <f>PRODUCT(_xlfn.XLOOKUP(F636,Config!$A$2:$A$15,Config!$B$2:$B$15),_xlfn.XLOOKUP(G636,Config!$C$2:$C$7,Config!$D$2:$D$7),_xlfn.XLOOKUP(H636,Config!$E$2:$E$5,Config!$F$2:$F$5),_xlfn.XLOOKUP(I636,Config!$G$2:$G$3,Config!$H$2:$H$3),_xlfn.XLOOKUP(J636,Config!$I$2:$I$3,Config!$J$2:$J$3),_xlfn.XLOOKUP(K636,Config!$K$2:$K$3,Config!$L$2:$L$3),_xlfn.XLOOKUP(L636,Config!$M$2:$M$3,Config!$N$2:$N$3),_xlfn.XLOOKUP(M636,Config!$O$2:$O$6,Config!$P$2:$P$6))</f>
        <v>7.099701839999999E-4</v>
      </c>
      <c r="Q636" s="22">
        <v>0.75</v>
      </c>
      <c r="R636" s="16">
        <f>P636*Q636*Config!$B$19</f>
        <v>3.9132655754243415E-4</v>
      </c>
    </row>
    <row r="637" spans="1:18" x14ac:dyDescent="0.45">
      <c r="A637" s="7">
        <v>634</v>
      </c>
      <c r="B637" s="7" t="s">
        <v>1580</v>
      </c>
      <c r="C637" s="7" t="s">
        <v>1576</v>
      </c>
      <c r="D637" s="7" t="s">
        <v>1585</v>
      </c>
      <c r="F637" t="s">
        <v>985</v>
      </c>
      <c r="G637" t="s">
        <v>831</v>
      </c>
      <c r="H637" t="s">
        <v>768</v>
      </c>
      <c r="I637" s="14" t="s">
        <v>806</v>
      </c>
      <c r="K637" s="12" t="s">
        <v>1062</v>
      </c>
      <c r="L637" s="12" t="s">
        <v>1110</v>
      </c>
      <c r="M637" s="12" t="s">
        <v>838</v>
      </c>
      <c r="N637" s="12" t="s">
        <v>1190</v>
      </c>
      <c r="P637" s="16">
        <f>PRODUCT(_xlfn.XLOOKUP(F637,Config!$A$2:$A$15,Config!$B$2:$B$15),_xlfn.XLOOKUP(G637,Config!$C$2:$C$7,Config!$D$2:$D$7),_xlfn.XLOOKUP(H637,Config!$E$2:$E$5,Config!$F$2:$F$5),_xlfn.XLOOKUP(I637,Config!$G$2:$G$3,Config!$H$2:$H$3),_xlfn.XLOOKUP(J637,Config!$I$2:$I$3,Config!$J$2:$J$3),_xlfn.XLOOKUP(K637,Config!$K$2:$K$3,Config!$L$2:$L$3),_xlfn.XLOOKUP(L637,Config!$M$2:$M$3,Config!$N$2:$N$3),_xlfn.XLOOKUP(M637,Config!$O$2:$O$6,Config!$P$2:$P$6))</f>
        <v>1.0900552320000001E-3</v>
      </c>
      <c r="Q637" s="22">
        <v>0.75</v>
      </c>
      <c r="R637" s="16">
        <f>P637*Q637*Config!$B$19</f>
        <v>6.0082461360050506E-4</v>
      </c>
    </row>
    <row r="638" spans="1:18" x14ac:dyDescent="0.45">
      <c r="A638" s="7">
        <v>635</v>
      </c>
      <c r="B638" s="7" t="s">
        <v>1580</v>
      </c>
      <c r="C638" s="7" t="s">
        <v>1576</v>
      </c>
      <c r="D638" s="7" t="s">
        <v>1585</v>
      </c>
      <c r="F638" t="s">
        <v>986</v>
      </c>
      <c r="G638" t="s">
        <v>831</v>
      </c>
      <c r="H638" t="s">
        <v>768</v>
      </c>
      <c r="I638" s="14" t="s">
        <v>806</v>
      </c>
      <c r="K638" s="12" t="s">
        <v>1062</v>
      </c>
      <c r="L638" s="12" t="s">
        <v>1110</v>
      </c>
      <c r="M638" s="12" t="s">
        <v>838</v>
      </c>
      <c r="N638" s="12" t="s">
        <v>1190</v>
      </c>
      <c r="P638" s="16">
        <f>PRODUCT(_xlfn.XLOOKUP(F638,Config!$A$2:$A$15,Config!$B$2:$B$15),_xlfn.XLOOKUP(G638,Config!$C$2:$C$7,Config!$D$2:$D$7),_xlfn.XLOOKUP(H638,Config!$E$2:$E$5,Config!$F$2:$F$5),_xlfn.XLOOKUP(I638,Config!$G$2:$G$3,Config!$H$2:$H$3),_xlfn.XLOOKUP(J638,Config!$I$2:$I$3,Config!$J$2:$J$3),_xlfn.XLOOKUP(K638,Config!$K$2:$K$3,Config!$L$2:$L$3),_xlfn.XLOOKUP(L638,Config!$M$2:$M$3,Config!$N$2:$N$3),_xlfn.XLOOKUP(M638,Config!$O$2:$O$6,Config!$P$2:$P$6))</f>
        <v>6.1315606800000006E-4</v>
      </c>
      <c r="Q638" s="22">
        <v>0.75</v>
      </c>
      <c r="R638" s="16">
        <f>P638*Q638*Config!$B$19</f>
        <v>3.3796384515028411E-4</v>
      </c>
    </row>
    <row r="639" spans="1:18" x14ac:dyDescent="0.45">
      <c r="A639" s="7">
        <v>636</v>
      </c>
      <c r="B639" s="7" t="s">
        <v>1565</v>
      </c>
      <c r="C639" s="7" t="s">
        <v>1566</v>
      </c>
      <c r="D639" s="7" t="s">
        <v>1567</v>
      </c>
      <c r="F639" t="s">
        <v>984</v>
      </c>
      <c r="G639" t="s">
        <v>833</v>
      </c>
      <c r="H639" t="s">
        <v>808</v>
      </c>
      <c r="I639" s="12" t="s">
        <v>1107</v>
      </c>
      <c r="K639" s="12" t="s">
        <v>1062</v>
      </c>
      <c r="L639" s="12" t="s">
        <v>1110</v>
      </c>
      <c r="M639" s="12" t="s">
        <v>838</v>
      </c>
      <c r="N639" s="12" t="s">
        <v>1190</v>
      </c>
      <c r="O639" t="s">
        <v>1570</v>
      </c>
      <c r="P639" s="16">
        <f>PRODUCT(_xlfn.XLOOKUP(F639,Config!$A$2:$A$15,Config!$B$2:$B$15),_xlfn.XLOOKUP(G639,Config!$C$2:$C$7,Config!$D$2:$D$7),_xlfn.XLOOKUP(H639,Config!$E$2:$E$5,Config!$F$2:$F$5),_xlfn.XLOOKUP(I639,Config!$G$2:$G$3,Config!$H$2:$H$3),_xlfn.XLOOKUP(J639,Config!$I$2:$I$3,Config!$J$2:$J$3),_xlfn.XLOOKUP(K639,Config!$K$2:$K$3,Config!$L$2:$L$3),_xlfn.XLOOKUP(L639,Config!$M$2:$M$3,Config!$N$2:$N$3),_xlfn.XLOOKUP(M639,Config!$O$2:$O$6,Config!$P$2:$P$6))</f>
        <v>1.6197838272000004E-3</v>
      </c>
      <c r="Q639" s="22">
        <v>1</v>
      </c>
      <c r="R639" s="16">
        <f>P639*Q639*Config!$B$19</f>
        <v>1.1904057256599482E-3</v>
      </c>
    </row>
    <row r="640" spans="1:18" x14ac:dyDescent="0.45">
      <c r="A640" s="7">
        <v>637</v>
      </c>
      <c r="B640" s="7" t="s">
        <v>1565</v>
      </c>
      <c r="C640" s="7" t="s">
        <v>1566</v>
      </c>
      <c r="D640" s="7" t="s">
        <v>1567</v>
      </c>
      <c r="F640" t="s">
        <v>971</v>
      </c>
      <c r="G640" t="s">
        <v>833</v>
      </c>
      <c r="H640" t="s">
        <v>808</v>
      </c>
      <c r="I640" s="12" t="s">
        <v>1107</v>
      </c>
      <c r="K640" s="12" t="s">
        <v>1062</v>
      </c>
      <c r="L640" s="12" t="s">
        <v>1110</v>
      </c>
      <c r="M640" s="12" t="s">
        <v>838</v>
      </c>
      <c r="N640" s="12" t="s">
        <v>1190</v>
      </c>
      <c r="O640" t="s">
        <v>1571</v>
      </c>
      <c r="P640" s="16">
        <f>PRODUCT(_xlfn.XLOOKUP(F640,Config!$A$2:$A$15,Config!$B$2:$B$15),_xlfn.XLOOKUP(G640,Config!$C$2:$C$7,Config!$D$2:$D$7),_xlfn.XLOOKUP(H640,Config!$E$2:$E$5,Config!$F$2:$F$5),_xlfn.XLOOKUP(I640,Config!$G$2:$G$3,Config!$H$2:$H$3),_xlfn.XLOOKUP(J640,Config!$I$2:$I$3,Config!$J$2:$J$3),_xlfn.XLOOKUP(K640,Config!$K$2:$K$3,Config!$L$2:$L$3),_xlfn.XLOOKUP(L640,Config!$M$2:$M$3,Config!$N$2:$N$3),_xlfn.XLOOKUP(M640,Config!$O$2:$O$6,Config!$P$2:$P$6))</f>
        <v>9.1112840280000026E-4</v>
      </c>
      <c r="Q640" s="22">
        <v>1</v>
      </c>
      <c r="R640" s="16">
        <f>P640*Q640*Config!$B$19</f>
        <v>6.6960322068372092E-4</v>
      </c>
    </row>
    <row r="641" spans="1:19" x14ac:dyDescent="0.45">
      <c r="A641" s="7">
        <v>638</v>
      </c>
      <c r="B641" s="7" t="s">
        <v>1565</v>
      </c>
      <c r="C641" s="7" t="s">
        <v>1566</v>
      </c>
      <c r="D641" s="7" t="s">
        <v>1567</v>
      </c>
      <c r="F641" t="s">
        <v>985</v>
      </c>
      <c r="G641" t="s">
        <v>833</v>
      </c>
      <c r="H641" t="s">
        <v>808</v>
      </c>
      <c r="I641" s="12" t="s">
        <v>1107</v>
      </c>
      <c r="K641" s="12" t="s">
        <v>1062</v>
      </c>
      <c r="L641" s="12" t="s">
        <v>1110</v>
      </c>
      <c r="M641" s="12" t="s">
        <v>838</v>
      </c>
      <c r="N641" s="12" t="s">
        <v>1190</v>
      </c>
      <c r="P641" s="16">
        <f>PRODUCT(_xlfn.XLOOKUP(F641,Config!$A$2:$A$15,Config!$B$2:$B$15),_xlfn.XLOOKUP(G641,Config!$C$2:$C$7,Config!$D$2:$D$7),_xlfn.XLOOKUP(H641,Config!$E$2:$E$5,Config!$F$2:$F$5),_xlfn.XLOOKUP(I641,Config!$G$2:$G$3,Config!$H$2:$H$3),_xlfn.XLOOKUP(J641,Config!$I$2:$I$3,Config!$J$2:$J$3),_xlfn.XLOOKUP(K641,Config!$K$2:$K$3,Config!$L$2:$L$3),_xlfn.XLOOKUP(L641,Config!$M$2:$M$3,Config!$N$2:$N$3),_xlfn.XLOOKUP(M641,Config!$O$2:$O$6,Config!$P$2:$P$6))</f>
        <v>1.3989042144000002E-3</v>
      </c>
      <c r="Q641" s="22">
        <v>1</v>
      </c>
      <c r="R641" s="16">
        <f>P641*Q641*Config!$B$19</f>
        <v>1.0280776721608644E-3</v>
      </c>
    </row>
    <row r="642" spans="1:19" x14ac:dyDescent="0.45">
      <c r="A642" s="7">
        <v>639</v>
      </c>
      <c r="B642" s="7" t="s">
        <v>1565</v>
      </c>
      <c r="C642" s="7" t="s">
        <v>1566</v>
      </c>
      <c r="D642" s="7" t="s">
        <v>1567</v>
      </c>
      <c r="F642" t="s">
        <v>986</v>
      </c>
      <c r="G642" t="s">
        <v>833</v>
      </c>
      <c r="H642" t="s">
        <v>808</v>
      </c>
      <c r="I642" s="12" t="s">
        <v>1107</v>
      </c>
      <c r="K642" s="12" t="s">
        <v>1062</v>
      </c>
      <c r="L642" s="12" t="s">
        <v>1110</v>
      </c>
      <c r="M642" s="12" t="s">
        <v>838</v>
      </c>
      <c r="N642" s="12" t="s">
        <v>1190</v>
      </c>
      <c r="P642" s="16">
        <f>PRODUCT(_xlfn.XLOOKUP(F642,Config!$A$2:$A$15,Config!$B$2:$B$15),_xlfn.XLOOKUP(G642,Config!$C$2:$C$7,Config!$D$2:$D$7),_xlfn.XLOOKUP(H642,Config!$E$2:$E$5,Config!$F$2:$F$5),_xlfn.XLOOKUP(I642,Config!$G$2:$G$3,Config!$H$2:$H$3),_xlfn.XLOOKUP(J642,Config!$I$2:$I$3,Config!$J$2:$J$3),_xlfn.XLOOKUP(K642,Config!$K$2:$K$3,Config!$L$2:$L$3),_xlfn.XLOOKUP(L642,Config!$M$2:$M$3,Config!$N$2:$N$3),_xlfn.XLOOKUP(M642,Config!$O$2:$O$6,Config!$P$2:$P$6))</f>
        <v>7.8688362060000026E-4</v>
      </c>
      <c r="Q642" s="22">
        <v>1</v>
      </c>
      <c r="R642" s="16">
        <f>P642*Q642*Config!$B$19</f>
        <v>5.7829369059048629E-4</v>
      </c>
    </row>
    <row r="643" spans="1:19" x14ac:dyDescent="0.45">
      <c r="A643" s="7">
        <v>640</v>
      </c>
      <c r="B643" s="7" t="s">
        <v>1565</v>
      </c>
      <c r="C643" s="7" t="s">
        <v>1566</v>
      </c>
      <c r="D643" s="7" t="s">
        <v>1567</v>
      </c>
      <c r="F643" t="s">
        <v>1010</v>
      </c>
      <c r="G643" t="s">
        <v>833</v>
      </c>
      <c r="H643" t="s">
        <v>808</v>
      </c>
      <c r="I643" s="12" t="s">
        <v>1107</v>
      </c>
      <c r="K643" s="12" t="s">
        <v>1062</v>
      </c>
      <c r="L643" s="12" t="s">
        <v>1110</v>
      </c>
      <c r="M643" s="12" t="s">
        <v>838</v>
      </c>
      <c r="N643" s="12" t="s">
        <v>1190</v>
      </c>
      <c r="P643" s="16">
        <f>PRODUCT(_xlfn.XLOOKUP(F643,Config!$A$2:$A$15,Config!$B$2:$B$15),_xlfn.XLOOKUP(G643,Config!$C$2:$C$7,Config!$D$2:$D$7),_xlfn.XLOOKUP(H643,Config!$E$2:$E$5,Config!$F$2:$F$5),_xlfn.XLOOKUP(I643,Config!$G$2:$G$3,Config!$H$2:$H$3),_xlfn.XLOOKUP(J643,Config!$I$2:$I$3,Config!$J$2:$J$3),_xlfn.XLOOKUP(K643,Config!$K$2:$K$3,Config!$L$2:$L$3),_xlfn.XLOOKUP(L643,Config!$M$2:$M$3,Config!$N$2:$N$3),_xlfn.XLOOKUP(M643,Config!$O$2:$O$6,Config!$P$2:$P$6))</f>
        <v>1.0859914296000002E-3</v>
      </c>
      <c r="Q643" s="22">
        <v>1</v>
      </c>
      <c r="R643" s="16">
        <f>P643*Q643*Config!$B$19</f>
        <v>7.9811292970382891E-4</v>
      </c>
    </row>
    <row r="644" spans="1:19" x14ac:dyDescent="0.45">
      <c r="A644" s="7">
        <v>641</v>
      </c>
      <c r="B644" s="7" t="s">
        <v>1565</v>
      </c>
      <c r="C644" s="7" t="s">
        <v>1566</v>
      </c>
      <c r="D644" s="7" t="s">
        <v>1567</v>
      </c>
      <c r="F644" t="s">
        <v>987</v>
      </c>
      <c r="G644" t="s">
        <v>833</v>
      </c>
      <c r="H644" t="s">
        <v>808</v>
      </c>
      <c r="I644" s="12" t="s">
        <v>1107</v>
      </c>
      <c r="K644" s="12" t="s">
        <v>1062</v>
      </c>
      <c r="L644" s="12" t="s">
        <v>1110</v>
      </c>
      <c r="M644" s="12" t="s">
        <v>838</v>
      </c>
      <c r="N644" s="12" t="s">
        <v>1190</v>
      </c>
      <c r="P644" s="16">
        <f>PRODUCT(_xlfn.XLOOKUP(F644,Config!$A$2:$A$15,Config!$B$2:$B$15),_xlfn.XLOOKUP(G644,Config!$C$2:$C$7,Config!$D$2:$D$7),_xlfn.XLOOKUP(H644,Config!$E$2:$E$5,Config!$F$2:$F$5),_xlfn.XLOOKUP(I644,Config!$G$2:$G$3,Config!$H$2:$H$3),_xlfn.XLOOKUP(J644,Config!$I$2:$I$3,Config!$J$2:$J$3),_xlfn.XLOOKUP(K644,Config!$K$2:$K$3,Config!$L$2:$L$3),_xlfn.XLOOKUP(L644,Config!$M$2:$M$3,Config!$N$2:$N$3),_xlfn.XLOOKUP(M644,Config!$O$2:$O$6,Config!$P$2:$P$6))</f>
        <v>4.0724678609999992E-4</v>
      </c>
      <c r="Q644" s="22">
        <v>1</v>
      </c>
      <c r="R644" s="16">
        <f>P644*Q644*Config!$B$19</f>
        <v>2.9929234863893575E-4</v>
      </c>
    </row>
    <row r="645" spans="1:19" x14ac:dyDescent="0.45">
      <c r="A645" s="7">
        <v>642</v>
      </c>
      <c r="B645" s="7" t="s">
        <v>1565</v>
      </c>
      <c r="C645" s="7" t="s">
        <v>1566</v>
      </c>
      <c r="D645" s="7" t="s">
        <v>1567</v>
      </c>
      <c r="F645" t="s">
        <v>988</v>
      </c>
      <c r="G645" t="s">
        <v>833</v>
      </c>
      <c r="H645" t="s">
        <v>808</v>
      </c>
      <c r="I645" s="12" t="s">
        <v>1107</v>
      </c>
      <c r="K645" s="12" t="s">
        <v>1062</v>
      </c>
      <c r="L645" s="12" t="s">
        <v>1110</v>
      </c>
      <c r="M645" s="12" t="s">
        <v>838</v>
      </c>
      <c r="N645" s="12" t="s">
        <v>1190</v>
      </c>
      <c r="P645" s="16">
        <f>PRODUCT(_xlfn.XLOOKUP(F645,Config!$A$2:$A$15,Config!$B$2:$B$15),_xlfn.XLOOKUP(G645,Config!$C$2:$C$7,Config!$D$2:$D$7),_xlfn.XLOOKUP(H645,Config!$E$2:$E$5,Config!$F$2:$F$5),_xlfn.XLOOKUP(I645,Config!$G$2:$G$3,Config!$H$2:$H$3),_xlfn.XLOOKUP(J645,Config!$I$2:$I$3,Config!$J$2:$J$3),_xlfn.XLOOKUP(K645,Config!$K$2:$K$3,Config!$L$2:$L$3),_xlfn.XLOOKUP(L645,Config!$M$2:$M$3,Config!$N$2:$N$3),_xlfn.XLOOKUP(M645,Config!$O$2:$O$6,Config!$P$2:$P$6))</f>
        <v>1.0859914296000002E-3</v>
      </c>
      <c r="Q645" s="22">
        <v>1</v>
      </c>
      <c r="R645" s="16">
        <f>P645*Q645*Config!$B$19</f>
        <v>7.9811292970382891E-4</v>
      </c>
    </row>
    <row r="646" spans="1:19" x14ac:dyDescent="0.45">
      <c r="A646" s="7">
        <v>643</v>
      </c>
      <c r="B646" s="7" t="s">
        <v>1624</v>
      </c>
      <c r="C646" s="7" t="s">
        <v>1568</v>
      </c>
      <c r="D646" s="7" t="s">
        <v>1569</v>
      </c>
      <c r="F646" t="s">
        <v>990</v>
      </c>
      <c r="G646" t="s">
        <v>833</v>
      </c>
      <c r="H646" t="s">
        <v>808</v>
      </c>
      <c r="I646" s="12" t="s">
        <v>1107</v>
      </c>
      <c r="K646" s="12" t="s">
        <v>1062</v>
      </c>
      <c r="L646" s="12" t="s">
        <v>1110</v>
      </c>
      <c r="M646" s="12" t="s">
        <v>838</v>
      </c>
      <c r="N646" s="12" t="s">
        <v>1190</v>
      </c>
      <c r="P646" s="16">
        <f>PRODUCT(_xlfn.XLOOKUP(F646,Config!$A$2:$A$15,Config!$B$2:$B$15),_xlfn.XLOOKUP(G646,Config!$C$2:$C$7,Config!$D$2:$D$7),_xlfn.XLOOKUP(H646,Config!$E$2:$E$5,Config!$F$2:$F$5),_xlfn.XLOOKUP(I646,Config!$G$2:$G$3,Config!$H$2:$H$3),_xlfn.XLOOKUP(J646,Config!$I$2:$I$3,Config!$J$2:$J$3),_xlfn.XLOOKUP(K646,Config!$K$2:$K$3,Config!$L$2:$L$3),_xlfn.XLOOKUP(L646,Config!$M$2:$M$3,Config!$N$2:$N$3),_xlfn.XLOOKUP(M646,Config!$O$2:$O$6,Config!$P$2:$P$6))</f>
        <v>1.0859914296000002E-3</v>
      </c>
      <c r="Q646" s="22">
        <v>1</v>
      </c>
      <c r="R646" s="16">
        <f>P646*Q646*Config!$B$19</f>
        <v>7.9811292970382891E-4</v>
      </c>
    </row>
    <row r="647" spans="1:19" x14ac:dyDescent="0.45">
      <c r="A647" s="7">
        <v>644</v>
      </c>
      <c r="B647" s="7" t="s">
        <v>1580</v>
      </c>
      <c r="C647" s="7" t="s">
        <v>1576</v>
      </c>
      <c r="D647" s="7" t="s">
        <v>1585</v>
      </c>
      <c r="F647" t="s">
        <v>1010</v>
      </c>
      <c r="G647" t="s">
        <v>831</v>
      </c>
      <c r="H647" t="s">
        <v>768</v>
      </c>
      <c r="I647" s="14" t="s">
        <v>806</v>
      </c>
      <c r="K647" s="12" t="s">
        <v>1062</v>
      </c>
      <c r="L647" s="12" t="s">
        <v>1110</v>
      </c>
      <c r="M647" s="12" t="s">
        <v>838</v>
      </c>
      <c r="N647" s="12" t="s">
        <v>1190</v>
      </c>
      <c r="P647" s="16">
        <f>PRODUCT(_xlfn.XLOOKUP(F647,Config!$A$2:$A$15,Config!$B$2:$B$15),_xlfn.XLOOKUP(G647,Config!$C$2:$C$7,Config!$D$2:$D$7),_xlfn.XLOOKUP(H647,Config!$E$2:$E$5,Config!$F$2:$F$5),_xlfn.XLOOKUP(I647,Config!$G$2:$G$3,Config!$H$2:$H$3),_xlfn.XLOOKUP(J647,Config!$I$2:$I$3,Config!$J$2:$J$3),_xlfn.XLOOKUP(K647,Config!$K$2:$K$3,Config!$L$2:$L$3),_xlfn.XLOOKUP(L647,Config!$M$2:$M$3,Config!$N$2:$N$3),_xlfn.XLOOKUP(M647,Config!$O$2:$O$6,Config!$P$2:$P$6))</f>
        <v>8.4622708800000004E-4</v>
      </c>
      <c r="Q647" s="22">
        <v>0.75</v>
      </c>
      <c r="R647" s="16">
        <f>P647*Q647*Config!$B$19</f>
        <v>4.6642963424249731E-4</v>
      </c>
    </row>
    <row r="648" spans="1:19" x14ac:dyDescent="0.45">
      <c r="A648" s="7">
        <v>645</v>
      </c>
      <c r="B648" s="7" t="s">
        <v>1580</v>
      </c>
      <c r="C648" s="7" t="s">
        <v>1576</v>
      </c>
      <c r="D648" s="7" t="s">
        <v>1585</v>
      </c>
      <c r="F648" t="s">
        <v>987</v>
      </c>
      <c r="G648" t="s">
        <v>831</v>
      </c>
      <c r="H648" t="s">
        <v>768</v>
      </c>
      <c r="I648" s="14" t="s">
        <v>806</v>
      </c>
      <c r="K648" s="12" t="s">
        <v>1062</v>
      </c>
      <c r="L648" s="12" t="s">
        <v>1110</v>
      </c>
      <c r="M648" s="12" t="s">
        <v>838</v>
      </c>
      <c r="N648" s="12" t="s">
        <v>1190</v>
      </c>
      <c r="P648" s="16">
        <f>PRODUCT(_xlfn.XLOOKUP(F648,Config!$A$2:$A$15,Config!$B$2:$B$15),_xlfn.XLOOKUP(G648,Config!$C$2:$C$7,Config!$D$2:$D$7),_xlfn.XLOOKUP(H648,Config!$E$2:$E$5,Config!$F$2:$F$5),_xlfn.XLOOKUP(I648,Config!$G$2:$G$3,Config!$H$2:$H$3),_xlfn.XLOOKUP(J648,Config!$I$2:$I$3,Config!$J$2:$J$3),_xlfn.XLOOKUP(K648,Config!$K$2:$K$3,Config!$L$2:$L$3),_xlfn.XLOOKUP(L648,Config!$M$2:$M$3,Config!$N$2:$N$3),_xlfn.XLOOKUP(M648,Config!$O$2:$O$6,Config!$P$2:$P$6))</f>
        <v>3.1733515799999988E-4</v>
      </c>
      <c r="Q648" s="22">
        <v>0.75</v>
      </c>
      <c r="R648" s="16">
        <f>P648*Q648*Config!$B$19</f>
        <v>1.7491111284093644E-4</v>
      </c>
    </row>
    <row r="649" spans="1:19" x14ac:dyDescent="0.45">
      <c r="A649" s="7">
        <v>646</v>
      </c>
      <c r="B649" s="7" t="s">
        <v>1579</v>
      </c>
      <c r="C649" s="7" t="s">
        <v>1578</v>
      </c>
      <c r="D649" s="7" t="s">
        <v>1583</v>
      </c>
      <c r="F649" t="s">
        <v>988</v>
      </c>
      <c r="G649" t="s">
        <v>831</v>
      </c>
      <c r="H649" t="s">
        <v>768</v>
      </c>
      <c r="I649" s="14" t="s">
        <v>806</v>
      </c>
      <c r="K649" s="12" t="s">
        <v>1062</v>
      </c>
      <c r="L649" s="12" t="s">
        <v>1110</v>
      </c>
      <c r="M649" s="12" t="s">
        <v>838</v>
      </c>
      <c r="N649" s="12" t="s">
        <v>1190</v>
      </c>
      <c r="P649" s="16">
        <f>PRODUCT(_xlfn.XLOOKUP(F649,Config!$A$2:$A$15,Config!$B$2:$B$15),_xlfn.XLOOKUP(G649,Config!$C$2:$C$7,Config!$D$2:$D$7),_xlfn.XLOOKUP(H649,Config!$E$2:$E$5,Config!$F$2:$F$5),_xlfn.XLOOKUP(I649,Config!$G$2:$G$3,Config!$H$2:$H$3),_xlfn.XLOOKUP(J649,Config!$I$2:$I$3,Config!$J$2:$J$3),_xlfn.XLOOKUP(K649,Config!$K$2:$K$3,Config!$L$2:$L$3),_xlfn.XLOOKUP(L649,Config!$M$2:$M$3,Config!$N$2:$N$3),_xlfn.XLOOKUP(M649,Config!$O$2:$O$6,Config!$P$2:$P$6))</f>
        <v>8.4622708800000004E-4</v>
      </c>
      <c r="Q649" s="22">
        <v>1</v>
      </c>
      <c r="R649" s="16">
        <f>P649*Q649*Config!$B$19</f>
        <v>6.2190617898999652E-4</v>
      </c>
    </row>
    <row r="650" spans="1:19" x14ac:dyDescent="0.45">
      <c r="A650" s="7">
        <v>647</v>
      </c>
      <c r="B650" s="7" t="s">
        <v>1581</v>
      </c>
      <c r="C650" s="7" t="s">
        <v>1577</v>
      </c>
      <c r="D650" s="7" t="s">
        <v>1584</v>
      </c>
      <c r="F650" t="s">
        <v>990</v>
      </c>
      <c r="G650" t="s">
        <v>831</v>
      </c>
      <c r="H650" t="s">
        <v>768</v>
      </c>
      <c r="I650" s="14" t="s">
        <v>806</v>
      </c>
      <c r="K650" s="12" t="s">
        <v>1062</v>
      </c>
      <c r="L650" s="12" t="s">
        <v>1110</v>
      </c>
      <c r="M650" s="12" t="s">
        <v>838</v>
      </c>
      <c r="N650" s="12" t="s">
        <v>1190</v>
      </c>
      <c r="P650" s="16">
        <f>PRODUCT(_xlfn.XLOOKUP(F650,Config!$A$2:$A$15,Config!$B$2:$B$15),_xlfn.XLOOKUP(G650,Config!$C$2:$C$7,Config!$D$2:$D$7),_xlfn.XLOOKUP(H650,Config!$E$2:$E$5,Config!$F$2:$F$5),_xlfn.XLOOKUP(I650,Config!$G$2:$G$3,Config!$H$2:$H$3),_xlfn.XLOOKUP(J650,Config!$I$2:$I$3,Config!$J$2:$J$3),_xlfn.XLOOKUP(K650,Config!$K$2:$K$3,Config!$L$2:$L$3),_xlfn.XLOOKUP(L650,Config!$M$2:$M$3,Config!$N$2:$N$3),_xlfn.XLOOKUP(M650,Config!$O$2:$O$6,Config!$P$2:$P$6))</f>
        <v>8.4622708800000004E-4</v>
      </c>
      <c r="Q650" s="22">
        <v>1</v>
      </c>
      <c r="R650" s="16">
        <f>P650*Q650*Config!$B$19</f>
        <v>6.2190617898999652E-4</v>
      </c>
    </row>
    <row r="651" spans="1:19" x14ac:dyDescent="0.45">
      <c r="A651" s="7">
        <v>648</v>
      </c>
      <c r="B651" s="7" t="s">
        <v>1580</v>
      </c>
      <c r="C651" s="7" t="s">
        <v>1576</v>
      </c>
      <c r="D651" s="7" t="s">
        <v>1582</v>
      </c>
      <c r="F651" t="s">
        <v>984</v>
      </c>
      <c r="G651" t="s">
        <v>831</v>
      </c>
      <c r="H651" t="s">
        <v>768</v>
      </c>
      <c r="I651" s="14" t="s">
        <v>806</v>
      </c>
      <c r="K651" s="12" t="s">
        <v>1062</v>
      </c>
      <c r="L651" s="12" t="s">
        <v>1110</v>
      </c>
      <c r="M651" s="12" t="s">
        <v>838</v>
      </c>
      <c r="N651" s="14" t="s">
        <v>1003</v>
      </c>
      <c r="P651" s="16">
        <f>PRODUCT(_xlfn.XLOOKUP(F651,Config!$A$2:$A$15,Config!$B$2:$B$15),_xlfn.XLOOKUP(G651,Config!$C$2:$C$7,Config!$D$2:$D$7),_xlfn.XLOOKUP(H651,Config!$E$2:$E$5,Config!$F$2:$F$5),_xlfn.XLOOKUP(I651,Config!$G$2:$G$3,Config!$H$2:$H$3),_xlfn.XLOOKUP(J651,Config!$I$2:$I$3,Config!$J$2:$J$3),_xlfn.XLOOKUP(K651,Config!$K$2:$K$3,Config!$L$2:$L$3),_xlfn.XLOOKUP(L651,Config!$M$2:$M$3,Config!$N$2:$N$3),_xlfn.XLOOKUP(M651,Config!$O$2:$O$6,Config!$P$2:$P$6))</f>
        <v>1.2621692159999998E-3</v>
      </c>
      <c r="Q651" s="22">
        <v>0.25</v>
      </c>
      <c r="R651" s="16">
        <f>P651*Q651*Config!$B$19</f>
        <v>2.3189721928440542E-4</v>
      </c>
      <c r="S651" t="s">
        <v>1288</v>
      </c>
    </row>
    <row r="652" spans="1:19" x14ac:dyDescent="0.45">
      <c r="A652" s="7">
        <v>649</v>
      </c>
      <c r="B652" s="7" t="s">
        <v>1580</v>
      </c>
      <c r="C652" s="7" t="s">
        <v>1576</v>
      </c>
      <c r="D652" s="7" t="s">
        <v>1582</v>
      </c>
      <c r="F652" t="s">
        <v>971</v>
      </c>
      <c r="G652" t="s">
        <v>831</v>
      </c>
      <c r="H652" t="s">
        <v>768</v>
      </c>
      <c r="I652" s="14" t="s">
        <v>806</v>
      </c>
      <c r="K652" s="12" t="s">
        <v>1062</v>
      </c>
      <c r="L652" s="12" t="s">
        <v>1110</v>
      </c>
      <c r="M652" s="12" t="s">
        <v>838</v>
      </c>
      <c r="N652" s="14" t="s">
        <v>1003</v>
      </c>
      <c r="P652" s="16">
        <f>PRODUCT(_xlfn.XLOOKUP(F652,Config!$A$2:$A$15,Config!$B$2:$B$15),_xlfn.XLOOKUP(G652,Config!$C$2:$C$7,Config!$D$2:$D$7),_xlfn.XLOOKUP(H652,Config!$E$2:$E$5,Config!$F$2:$F$5),_xlfn.XLOOKUP(I652,Config!$G$2:$G$3,Config!$H$2:$H$3),_xlfn.XLOOKUP(J652,Config!$I$2:$I$3,Config!$J$2:$J$3),_xlfn.XLOOKUP(K652,Config!$K$2:$K$3,Config!$L$2:$L$3),_xlfn.XLOOKUP(L652,Config!$M$2:$M$3,Config!$N$2:$N$3),_xlfn.XLOOKUP(M652,Config!$O$2:$O$6,Config!$P$2:$P$6))</f>
        <v>7.099701839999999E-4</v>
      </c>
      <c r="Q652" s="22">
        <v>0.25</v>
      </c>
      <c r="R652" s="16">
        <f>P652*Q652*Config!$B$19</f>
        <v>1.3044218584747804E-4</v>
      </c>
      <c r="S652" t="s">
        <v>1288</v>
      </c>
    </row>
    <row r="653" spans="1:19" x14ac:dyDescent="0.45">
      <c r="A653" s="7">
        <v>650</v>
      </c>
      <c r="B653" s="7" t="s">
        <v>1580</v>
      </c>
      <c r="C653" s="7" t="s">
        <v>1576</v>
      </c>
      <c r="D653" s="7" t="s">
        <v>1582</v>
      </c>
      <c r="F653" t="s">
        <v>985</v>
      </c>
      <c r="G653" t="s">
        <v>831</v>
      </c>
      <c r="H653" t="s">
        <v>768</v>
      </c>
      <c r="I653" s="14" t="s">
        <v>806</v>
      </c>
      <c r="K653" s="12" t="s">
        <v>1062</v>
      </c>
      <c r="L653" s="12" t="s">
        <v>1110</v>
      </c>
      <c r="M653" s="12" t="s">
        <v>838</v>
      </c>
      <c r="N653" s="14" t="s">
        <v>1003</v>
      </c>
      <c r="P653" s="16">
        <f>PRODUCT(_xlfn.XLOOKUP(F653,Config!$A$2:$A$15,Config!$B$2:$B$15),_xlfn.XLOOKUP(G653,Config!$C$2:$C$7,Config!$D$2:$D$7),_xlfn.XLOOKUP(H653,Config!$E$2:$E$5,Config!$F$2:$F$5),_xlfn.XLOOKUP(I653,Config!$G$2:$G$3,Config!$H$2:$H$3),_xlfn.XLOOKUP(J653,Config!$I$2:$I$3,Config!$J$2:$J$3),_xlfn.XLOOKUP(K653,Config!$K$2:$K$3,Config!$L$2:$L$3),_xlfn.XLOOKUP(L653,Config!$M$2:$M$3,Config!$N$2:$N$3),_xlfn.XLOOKUP(M653,Config!$O$2:$O$6,Config!$P$2:$P$6))</f>
        <v>1.0900552320000001E-3</v>
      </c>
      <c r="Q653" s="22">
        <v>0.25</v>
      </c>
      <c r="R653" s="16">
        <f>P653*Q653*Config!$B$19</f>
        <v>2.0027487120016836E-4</v>
      </c>
      <c r="S653" t="s">
        <v>1288</v>
      </c>
    </row>
    <row r="654" spans="1:19" x14ac:dyDescent="0.45">
      <c r="A654" s="7">
        <v>651</v>
      </c>
      <c r="B654" s="7" t="s">
        <v>1580</v>
      </c>
      <c r="C654" s="7" t="s">
        <v>1576</v>
      </c>
      <c r="D654" s="7" t="s">
        <v>1582</v>
      </c>
      <c r="F654" t="s">
        <v>986</v>
      </c>
      <c r="G654" t="s">
        <v>831</v>
      </c>
      <c r="H654" t="s">
        <v>768</v>
      </c>
      <c r="I654" s="14" t="s">
        <v>806</v>
      </c>
      <c r="K654" s="12" t="s">
        <v>1062</v>
      </c>
      <c r="L654" s="12" t="s">
        <v>1110</v>
      </c>
      <c r="M654" s="12" t="s">
        <v>838</v>
      </c>
      <c r="N654" s="14" t="s">
        <v>1003</v>
      </c>
      <c r="P654" s="16">
        <f>PRODUCT(_xlfn.XLOOKUP(F654,Config!$A$2:$A$15,Config!$B$2:$B$15),_xlfn.XLOOKUP(G654,Config!$C$2:$C$7,Config!$D$2:$D$7),_xlfn.XLOOKUP(H654,Config!$E$2:$E$5,Config!$F$2:$F$5),_xlfn.XLOOKUP(I654,Config!$G$2:$G$3,Config!$H$2:$H$3),_xlfn.XLOOKUP(J654,Config!$I$2:$I$3,Config!$J$2:$J$3),_xlfn.XLOOKUP(K654,Config!$K$2:$K$3,Config!$L$2:$L$3),_xlfn.XLOOKUP(L654,Config!$M$2:$M$3,Config!$N$2:$N$3),_xlfn.XLOOKUP(M654,Config!$O$2:$O$6,Config!$P$2:$P$6))</f>
        <v>6.1315606800000006E-4</v>
      </c>
      <c r="Q654" s="22">
        <v>0.25</v>
      </c>
      <c r="R654" s="16">
        <f>P654*Q654*Config!$B$19</f>
        <v>1.1265461505009471E-4</v>
      </c>
      <c r="S654" t="s">
        <v>1288</v>
      </c>
    </row>
    <row r="655" spans="1:19" x14ac:dyDescent="0.45">
      <c r="A655" s="7">
        <v>652</v>
      </c>
      <c r="B655" s="7" t="s">
        <v>1580</v>
      </c>
      <c r="C655" s="7" t="s">
        <v>1576</v>
      </c>
      <c r="D655" s="7" t="s">
        <v>1582</v>
      </c>
      <c r="F655" t="s">
        <v>1010</v>
      </c>
      <c r="G655" t="s">
        <v>831</v>
      </c>
      <c r="H655" t="s">
        <v>768</v>
      </c>
      <c r="I655" s="14" t="s">
        <v>806</v>
      </c>
      <c r="K655" s="12" t="s">
        <v>1062</v>
      </c>
      <c r="L655" s="12" t="s">
        <v>1110</v>
      </c>
      <c r="M655" s="12" t="s">
        <v>838</v>
      </c>
      <c r="N655" s="14" t="s">
        <v>1003</v>
      </c>
      <c r="P655" s="16">
        <f>PRODUCT(_xlfn.XLOOKUP(F655,Config!$A$2:$A$15,Config!$B$2:$B$15),_xlfn.XLOOKUP(G655,Config!$C$2:$C$7,Config!$D$2:$D$7),_xlfn.XLOOKUP(H655,Config!$E$2:$E$5,Config!$F$2:$F$5),_xlfn.XLOOKUP(I655,Config!$G$2:$G$3,Config!$H$2:$H$3),_xlfn.XLOOKUP(J655,Config!$I$2:$I$3,Config!$J$2:$J$3),_xlfn.XLOOKUP(K655,Config!$K$2:$K$3,Config!$L$2:$L$3),_xlfn.XLOOKUP(L655,Config!$M$2:$M$3,Config!$N$2:$N$3),_xlfn.XLOOKUP(M655,Config!$O$2:$O$6,Config!$P$2:$P$6))</f>
        <v>8.4622708800000004E-4</v>
      </c>
      <c r="Q655" s="22">
        <v>0.25</v>
      </c>
      <c r="R655" s="16">
        <f>P655*Q655*Config!$B$19</f>
        <v>1.5547654474749913E-4</v>
      </c>
      <c r="S655" t="s">
        <v>1288</v>
      </c>
    </row>
    <row r="656" spans="1:19" x14ac:dyDescent="0.45">
      <c r="A656" s="7">
        <v>653</v>
      </c>
      <c r="B656" s="7" t="s">
        <v>1580</v>
      </c>
      <c r="C656" s="7" t="s">
        <v>1576</v>
      </c>
      <c r="D656" s="7" t="s">
        <v>1582</v>
      </c>
      <c r="F656" t="s">
        <v>987</v>
      </c>
      <c r="G656" t="s">
        <v>831</v>
      </c>
      <c r="H656" t="s">
        <v>768</v>
      </c>
      <c r="I656" s="14" t="s">
        <v>806</v>
      </c>
      <c r="K656" s="12" t="s">
        <v>1062</v>
      </c>
      <c r="L656" s="12" t="s">
        <v>1110</v>
      </c>
      <c r="M656" s="12" t="s">
        <v>838</v>
      </c>
      <c r="N656" s="14" t="s">
        <v>1003</v>
      </c>
      <c r="P656" s="16">
        <f>PRODUCT(_xlfn.XLOOKUP(F656,Config!$A$2:$A$15,Config!$B$2:$B$15),_xlfn.XLOOKUP(G656,Config!$C$2:$C$7,Config!$D$2:$D$7),_xlfn.XLOOKUP(H656,Config!$E$2:$E$5,Config!$F$2:$F$5),_xlfn.XLOOKUP(I656,Config!$G$2:$G$3,Config!$H$2:$H$3),_xlfn.XLOOKUP(J656,Config!$I$2:$I$3,Config!$J$2:$J$3),_xlfn.XLOOKUP(K656,Config!$K$2:$K$3,Config!$L$2:$L$3),_xlfn.XLOOKUP(L656,Config!$M$2:$M$3,Config!$N$2:$N$3),_xlfn.XLOOKUP(M656,Config!$O$2:$O$6,Config!$P$2:$P$6))</f>
        <v>3.1733515799999988E-4</v>
      </c>
      <c r="Q656" s="22">
        <v>0.25</v>
      </c>
      <c r="R656" s="16">
        <f>P656*Q656*Config!$B$19</f>
        <v>5.8303704280312143E-5</v>
      </c>
      <c r="S656" t="s">
        <v>1288</v>
      </c>
    </row>
    <row r="657" spans="1:18" x14ac:dyDescent="0.45">
      <c r="A657" s="7">
        <v>657</v>
      </c>
      <c r="B657" s="7" t="s">
        <v>1587</v>
      </c>
      <c r="C657" s="7" t="s">
        <v>1594</v>
      </c>
      <c r="D657" s="7" t="s">
        <v>1600</v>
      </c>
      <c r="E657" t="s">
        <v>873</v>
      </c>
      <c r="F657" t="s">
        <v>995</v>
      </c>
      <c r="G657" t="s">
        <v>831</v>
      </c>
      <c r="H657" t="s">
        <v>768</v>
      </c>
      <c r="I657" t="s">
        <v>806</v>
      </c>
      <c r="K657" s="12" t="s">
        <v>1062</v>
      </c>
      <c r="L657" s="12" t="s">
        <v>1110</v>
      </c>
      <c r="M657" s="12" t="s">
        <v>838</v>
      </c>
      <c r="N657" s="12" t="s">
        <v>1190</v>
      </c>
      <c r="P657" s="16">
        <f>PRODUCT(_xlfn.XLOOKUP(F657,Config!$A$2:$A$15,Config!$B$2:$B$15),_xlfn.XLOOKUP(G657,Config!$C$2:$C$7,Config!$D$2:$D$7),_xlfn.XLOOKUP(H657,Config!$E$2:$E$5,Config!$F$2:$F$5),_xlfn.XLOOKUP(I657,Config!$G$2:$G$3,Config!$H$2:$H$3),_xlfn.XLOOKUP(J657,Config!$I$2:$I$3,Config!$J$2:$J$3),_xlfn.XLOOKUP(K657,Config!$K$2:$K$3,Config!$L$2:$L$3),_xlfn.XLOOKUP(L657,Config!$M$2:$M$3,Config!$N$2:$N$3),_xlfn.XLOOKUP(M657,Config!$O$2:$O$6,Config!$P$2:$P$6))</f>
        <v>3.1733515799999988E-4</v>
      </c>
      <c r="Q657" s="22">
        <v>1</v>
      </c>
      <c r="R657" s="16">
        <f>P657*Q657*Config!$B$19</f>
        <v>2.3321481712124857E-4</v>
      </c>
    </row>
    <row r="658" spans="1:18" x14ac:dyDescent="0.45">
      <c r="A658" s="7">
        <v>658</v>
      </c>
      <c r="B658" s="7" t="s">
        <v>1589</v>
      </c>
      <c r="C658" s="7" t="s">
        <v>1595</v>
      </c>
      <c r="D658" s="7" t="s">
        <v>1601</v>
      </c>
      <c r="E658" t="s">
        <v>521</v>
      </c>
      <c r="F658" t="s">
        <v>989</v>
      </c>
      <c r="G658" t="s">
        <v>831</v>
      </c>
      <c r="H658" t="s">
        <v>768</v>
      </c>
      <c r="I658" t="s">
        <v>806</v>
      </c>
      <c r="K658" s="12" t="s">
        <v>1062</v>
      </c>
      <c r="L658" s="12" t="s">
        <v>1110</v>
      </c>
      <c r="M658" s="12" t="s">
        <v>838</v>
      </c>
      <c r="N658" s="12" t="s">
        <v>1190</v>
      </c>
      <c r="P658" s="16">
        <f>PRODUCT(_xlfn.XLOOKUP(F658,Config!$A$2:$A$15,Config!$B$2:$B$15),_xlfn.XLOOKUP(G658,Config!$C$2:$C$7,Config!$D$2:$D$7),_xlfn.XLOOKUP(H658,Config!$E$2:$E$5,Config!$F$2:$F$5),_xlfn.XLOOKUP(I658,Config!$G$2:$G$3,Config!$H$2:$H$3),_xlfn.XLOOKUP(J658,Config!$I$2:$I$3,Config!$J$2:$J$3),_xlfn.XLOOKUP(K658,Config!$K$2:$K$3,Config!$L$2:$L$3),_xlfn.XLOOKUP(L658,Config!$M$2:$M$3,Config!$N$2:$N$3),_xlfn.XLOOKUP(M658,Config!$O$2:$O$6,Config!$P$2:$P$6))</f>
        <v>8.4622708800000004E-4</v>
      </c>
      <c r="Q658" s="22">
        <v>1</v>
      </c>
      <c r="R658" s="16">
        <f>P658*Q658*Config!$B$19</f>
        <v>6.2190617898999652E-4</v>
      </c>
    </row>
    <row r="659" spans="1:18" x14ac:dyDescent="0.45">
      <c r="A659" s="7">
        <v>659</v>
      </c>
      <c r="B659" s="7" t="s">
        <v>1590</v>
      </c>
      <c r="C659" s="7" t="s">
        <v>1596</v>
      </c>
      <c r="D659" s="7" t="s">
        <v>1602</v>
      </c>
      <c r="F659" t="s">
        <v>990</v>
      </c>
      <c r="G659" t="s">
        <v>831</v>
      </c>
      <c r="H659" t="s">
        <v>768</v>
      </c>
      <c r="I659" t="s">
        <v>806</v>
      </c>
      <c r="K659" s="12" t="s">
        <v>1062</v>
      </c>
      <c r="L659" s="12" t="s">
        <v>1110</v>
      </c>
      <c r="M659" t="s">
        <v>836</v>
      </c>
      <c r="N659" s="12" t="s">
        <v>1190</v>
      </c>
      <c r="P659" s="16">
        <f>PRODUCT(_xlfn.XLOOKUP(F659,Config!$A$2:$A$15,Config!$B$2:$B$15),_xlfn.XLOOKUP(G659,Config!$C$2:$C$7,Config!$D$2:$D$7),_xlfn.XLOOKUP(H659,Config!$E$2:$E$5,Config!$F$2:$F$5),_xlfn.XLOOKUP(I659,Config!$G$2:$G$3,Config!$H$2:$H$3),_xlfn.XLOOKUP(J659,Config!$I$2:$I$3,Config!$J$2:$J$3),_xlfn.XLOOKUP(K659,Config!$K$2:$K$3,Config!$L$2:$L$3),_xlfn.XLOOKUP(L659,Config!$M$2:$M$3,Config!$N$2:$N$3),_xlfn.XLOOKUP(M659,Config!$O$2:$O$6,Config!$P$2:$P$6))</f>
        <v>2.1155677200000001E-4</v>
      </c>
      <c r="Q659" s="22">
        <v>1</v>
      </c>
      <c r="R659" s="16">
        <f>P659*Q659*Config!$B$19</f>
        <v>1.5547654474749913E-4</v>
      </c>
    </row>
    <row r="660" spans="1:18" x14ac:dyDescent="0.45">
      <c r="A660" s="7">
        <v>660</v>
      </c>
      <c r="B660" s="7" t="s">
        <v>1591</v>
      </c>
      <c r="C660" s="7" t="s">
        <v>1597</v>
      </c>
      <c r="D660" s="7" t="s">
        <v>1603</v>
      </c>
      <c r="E660" t="s">
        <v>1607</v>
      </c>
      <c r="F660" t="s">
        <v>984</v>
      </c>
      <c r="G660" t="s">
        <v>831</v>
      </c>
      <c r="H660" t="s">
        <v>768</v>
      </c>
      <c r="I660" t="s">
        <v>806</v>
      </c>
      <c r="K660" s="12" t="s">
        <v>1062</v>
      </c>
      <c r="L660" t="s">
        <v>1111</v>
      </c>
      <c r="M660" s="12" t="s">
        <v>838</v>
      </c>
      <c r="N660" s="12" t="s">
        <v>1190</v>
      </c>
      <c r="P660" s="16">
        <f>PRODUCT(_xlfn.XLOOKUP(F660,Config!$A$2:$A$15,Config!$B$2:$B$15),_xlfn.XLOOKUP(G660,Config!$C$2:$C$7,Config!$D$2:$D$7),_xlfn.XLOOKUP(H660,Config!$E$2:$E$5,Config!$F$2:$F$5),_xlfn.XLOOKUP(I660,Config!$G$2:$G$3,Config!$H$2:$H$3),_xlfn.XLOOKUP(J660,Config!$I$2:$I$3,Config!$J$2:$J$3),_xlfn.XLOOKUP(K660,Config!$K$2:$K$3,Config!$L$2:$L$3),_xlfn.XLOOKUP(L660,Config!$M$2:$M$3,Config!$N$2:$N$3),_xlfn.XLOOKUP(M660,Config!$O$2:$O$6,Config!$P$2:$P$6))</f>
        <v>2.2273574399999996E-4</v>
      </c>
      <c r="Q660" s="22">
        <v>1</v>
      </c>
      <c r="R660" s="16">
        <f>P660*Q660*Config!$B$19</f>
        <v>1.6369215478899204E-4</v>
      </c>
    </row>
    <row r="661" spans="1:18" x14ac:dyDescent="0.45">
      <c r="A661" s="7">
        <v>661</v>
      </c>
      <c r="B661" s="7" t="s">
        <v>1591</v>
      </c>
      <c r="C661" s="7" t="s">
        <v>1597</v>
      </c>
      <c r="D661" s="7" t="s">
        <v>1604</v>
      </c>
      <c r="E661" t="s">
        <v>1608</v>
      </c>
      <c r="F661" t="s">
        <v>984</v>
      </c>
      <c r="G661" t="s">
        <v>831</v>
      </c>
      <c r="H661" t="s">
        <v>768</v>
      </c>
      <c r="I661" t="s">
        <v>806</v>
      </c>
      <c r="K661" s="12" t="s">
        <v>1062</v>
      </c>
      <c r="L661" t="s">
        <v>1111</v>
      </c>
      <c r="M661" s="12" t="s">
        <v>838</v>
      </c>
      <c r="N661" s="14" t="s">
        <v>1003</v>
      </c>
      <c r="P661" s="16">
        <f>PRODUCT(_xlfn.XLOOKUP(F661,Config!$A$2:$A$15,Config!$B$2:$B$15),_xlfn.XLOOKUP(G661,Config!$C$2:$C$7,Config!$D$2:$D$7),_xlfn.XLOOKUP(H661,Config!$E$2:$E$5,Config!$F$2:$F$5),_xlfn.XLOOKUP(I661,Config!$G$2:$G$3,Config!$H$2:$H$3),_xlfn.XLOOKUP(J661,Config!$I$2:$I$3,Config!$J$2:$J$3),_xlfn.XLOOKUP(K661,Config!$K$2:$K$3,Config!$L$2:$L$3),_xlfn.XLOOKUP(L661,Config!$M$2:$M$3,Config!$N$2:$N$3),_xlfn.XLOOKUP(M661,Config!$O$2:$O$6,Config!$P$2:$P$6))</f>
        <v>2.2273574399999996E-4</v>
      </c>
      <c r="Q661" s="22">
        <v>1</v>
      </c>
      <c r="R661" s="16">
        <f>P661*Q661*Config!$B$19</f>
        <v>1.6369215478899204E-4</v>
      </c>
    </row>
    <row r="662" spans="1:18" x14ac:dyDescent="0.45">
      <c r="A662" s="7">
        <v>662</v>
      </c>
      <c r="B662" s="7" t="s">
        <v>1591</v>
      </c>
      <c r="C662" s="7" t="s">
        <v>1597</v>
      </c>
      <c r="D662" s="7" t="s">
        <v>1603</v>
      </c>
      <c r="E662" t="s">
        <v>1607</v>
      </c>
      <c r="F662" t="s">
        <v>985</v>
      </c>
      <c r="G662" t="s">
        <v>831</v>
      </c>
      <c r="H662" t="s">
        <v>768</v>
      </c>
      <c r="I662" t="s">
        <v>806</v>
      </c>
      <c r="K662" s="12" t="s">
        <v>1062</v>
      </c>
      <c r="L662" t="s">
        <v>1111</v>
      </c>
      <c r="M662" s="12" t="s">
        <v>838</v>
      </c>
      <c r="N662" s="12" t="s">
        <v>1190</v>
      </c>
      <c r="P662" s="16">
        <f>PRODUCT(_xlfn.XLOOKUP(F662,Config!$A$2:$A$15,Config!$B$2:$B$15),_xlfn.XLOOKUP(G662,Config!$C$2:$C$7,Config!$D$2:$D$7),_xlfn.XLOOKUP(H662,Config!$E$2:$E$5,Config!$F$2:$F$5),_xlfn.XLOOKUP(I662,Config!$G$2:$G$3,Config!$H$2:$H$3),_xlfn.XLOOKUP(J662,Config!$I$2:$I$3,Config!$J$2:$J$3),_xlfn.XLOOKUP(K662,Config!$K$2:$K$3,Config!$L$2:$L$3),_xlfn.XLOOKUP(L662,Config!$M$2:$M$3,Config!$N$2:$N$3),_xlfn.XLOOKUP(M662,Config!$O$2:$O$6,Config!$P$2:$P$6))</f>
        <v>1.92362688E-4</v>
      </c>
      <c r="Q662" s="22">
        <v>1</v>
      </c>
      <c r="R662" s="16">
        <f>P662*Q662*Config!$B$19</f>
        <v>1.4137049731776589E-4</v>
      </c>
    </row>
    <row r="663" spans="1:18" x14ac:dyDescent="0.45">
      <c r="A663" s="7">
        <v>663</v>
      </c>
      <c r="B663" s="7" t="s">
        <v>1591</v>
      </c>
      <c r="C663" s="7" t="s">
        <v>1597</v>
      </c>
      <c r="D663" s="7" t="s">
        <v>1604</v>
      </c>
      <c r="E663" t="s">
        <v>1608</v>
      </c>
      <c r="F663" t="s">
        <v>985</v>
      </c>
      <c r="G663" t="s">
        <v>831</v>
      </c>
      <c r="H663" t="s">
        <v>768</v>
      </c>
      <c r="I663" t="s">
        <v>806</v>
      </c>
      <c r="K663" s="12" t="s">
        <v>1062</v>
      </c>
      <c r="L663" t="s">
        <v>1111</v>
      </c>
      <c r="M663" s="12" t="s">
        <v>838</v>
      </c>
      <c r="N663" s="14" t="s">
        <v>1003</v>
      </c>
      <c r="P663" s="16">
        <f>PRODUCT(_xlfn.XLOOKUP(F663,Config!$A$2:$A$15,Config!$B$2:$B$15),_xlfn.XLOOKUP(G663,Config!$C$2:$C$7,Config!$D$2:$D$7),_xlfn.XLOOKUP(H663,Config!$E$2:$E$5,Config!$F$2:$F$5),_xlfn.XLOOKUP(I663,Config!$G$2:$G$3,Config!$H$2:$H$3),_xlfn.XLOOKUP(J663,Config!$I$2:$I$3,Config!$J$2:$J$3),_xlfn.XLOOKUP(K663,Config!$K$2:$K$3,Config!$L$2:$L$3),_xlfn.XLOOKUP(L663,Config!$M$2:$M$3,Config!$N$2:$N$3),_xlfn.XLOOKUP(M663,Config!$O$2:$O$6,Config!$P$2:$P$6))</f>
        <v>1.92362688E-4</v>
      </c>
      <c r="Q663" s="22">
        <v>1</v>
      </c>
      <c r="R663" s="16">
        <f>P663*Q663*Config!$B$19</f>
        <v>1.4137049731776589E-4</v>
      </c>
    </row>
    <row r="664" spans="1:18" x14ac:dyDescent="0.45">
      <c r="A664" s="7">
        <v>664</v>
      </c>
      <c r="B664" s="7" t="s">
        <v>1591</v>
      </c>
      <c r="C664" s="7" t="s">
        <v>1597</v>
      </c>
      <c r="D664" s="7" t="s">
        <v>1603</v>
      </c>
      <c r="E664" t="s">
        <v>1607</v>
      </c>
      <c r="F664" t="s">
        <v>1010</v>
      </c>
      <c r="G664" t="s">
        <v>831</v>
      </c>
      <c r="H664" t="s">
        <v>768</v>
      </c>
      <c r="I664" t="s">
        <v>806</v>
      </c>
      <c r="K664" s="12" t="s">
        <v>1062</v>
      </c>
      <c r="L664" t="s">
        <v>1111</v>
      </c>
      <c r="M664" s="12" t="s">
        <v>838</v>
      </c>
      <c r="N664" s="12" t="s">
        <v>1190</v>
      </c>
      <c r="P664" s="16">
        <f>PRODUCT(_xlfn.XLOOKUP(F664,Config!$A$2:$A$15,Config!$B$2:$B$15),_xlfn.XLOOKUP(G664,Config!$C$2:$C$7,Config!$D$2:$D$7),_xlfn.XLOOKUP(H664,Config!$E$2:$E$5,Config!$F$2:$F$5),_xlfn.XLOOKUP(I664,Config!$G$2:$G$3,Config!$H$2:$H$3),_xlfn.XLOOKUP(J664,Config!$I$2:$I$3,Config!$J$2:$J$3),_xlfn.XLOOKUP(K664,Config!$K$2:$K$3,Config!$L$2:$L$3),_xlfn.XLOOKUP(L664,Config!$M$2:$M$3,Config!$N$2:$N$3),_xlfn.XLOOKUP(M664,Config!$O$2:$O$6,Config!$P$2:$P$6))</f>
        <v>1.4933419200000001E-4</v>
      </c>
      <c r="Q664" s="22">
        <v>1</v>
      </c>
      <c r="R664" s="16">
        <f>P664*Q664*Config!$B$19</f>
        <v>1.0974814923352879E-4</v>
      </c>
    </row>
    <row r="665" spans="1:18" x14ac:dyDescent="0.45">
      <c r="A665" s="7">
        <v>665</v>
      </c>
      <c r="B665" s="7" t="s">
        <v>1591</v>
      </c>
      <c r="C665" s="7" t="s">
        <v>1597</v>
      </c>
      <c r="D665" s="7" t="s">
        <v>1604</v>
      </c>
      <c r="E665" t="s">
        <v>1608</v>
      </c>
      <c r="F665" t="s">
        <v>1010</v>
      </c>
      <c r="G665" t="s">
        <v>831</v>
      </c>
      <c r="H665" t="s">
        <v>768</v>
      </c>
      <c r="I665" t="s">
        <v>806</v>
      </c>
      <c r="K665" s="12" t="s">
        <v>1062</v>
      </c>
      <c r="L665" t="s">
        <v>1111</v>
      </c>
      <c r="M665" s="12" t="s">
        <v>838</v>
      </c>
      <c r="N665" s="14" t="s">
        <v>1003</v>
      </c>
      <c r="P665" s="16">
        <f>PRODUCT(_xlfn.XLOOKUP(F665,Config!$A$2:$A$15,Config!$B$2:$B$15),_xlfn.XLOOKUP(G665,Config!$C$2:$C$7,Config!$D$2:$D$7),_xlfn.XLOOKUP(H665,Config!$E$2:$E$5,Config!$F$2:$F$5),_xlfn.XLOOKUP(I665,Config!$G$2:$G$3,Config!$H$2:$H$3),_xlfn.XLOOKUP(J665,Config!$I$2:$I$3,Config!$J$2:$J$3),_xlfn.XLOOKUP(K665,Config!$K$2:$K$3,Config!$L$2:$L$3),_xlfn.XLOOKUP(L665,Config!$M$2:$M$3,Config!$N$2:$N$3),_xlfn.XLOOKUP(M665,Config!$O$2:$O$6,Config!$P$2:$P$6))</f>
        <v>1.4933419200000001E-4</v>
      </c>
      <c r="Q665" s="22">
        <v>1</v>
      </c>
      <c r="R665" s="16">
        <f>P665*Q665*Config!$B$19</f>
        <v>1.0974814923352879E-4</v>
      </c>
    </row>
    <row r="666" spans="1:18" x14ac:dyDescent="0.45">
      <c r="A666" s="7">
        <v>666</v>
      </c>
      <c r="B666" s="7" t="s">
        <v>1592</v>
      </c>
      <c r="C666" s="7" t="s">
        <v>1598</v>
      </c>
      <c r="D666" s="7" t="s">
        <v>1605</v>
      </c>
      <c r="E666" t="s">
        <v>1607</v>
      </c>
      <c r="F666" t="s">
        <v>990</v>
      </c>
      <c r="G666" t="s">
        <v>831</v>
      </c>
      <c r="H666" t="s">
        <v>768</v>
      </c>
      <c r="I666" t="s">
        <v>806</v>
      </c>
      <c r="K666" s="12" t="s">
        <v>1062</v>
      </c>
      <c r="L666" t="s">
        <v>1111</v>
      </c>
      <c r="M666" s="12" t="s">
        <v>838</v>
      </c>
      <c r="N666" s="12" t="s">
        <v>1190</v>
      </c>
      <c r="P666" s="16">
        <f>PRODUCT(_xlfn.XLOOKUP(F666,Config!$A$2:$A$15,Config!$B$2:$B$15),_xlfn.XLOOKUP(G666,Config!$C$2:$C$7,Config!$D$2:$D$7),_xlfn.XLOOKUP(H666,Config!$E$2:$E$5,Config!$F$2:$F$5),_xlfn.XLOOKUP(I666,Config!$G$2:$G$3,Config!$H$2:$H$3),_xlfn.XLOOKUP(J666,Config!$I$2:$I$3,Config!$J$2:$J$3),_xlfn.XLOOKUP(K666,Config!$K$2:$K$3,Config!$L$2:$L$3),_xlfn.XLOOKUP(L666,Config!$M$2:$M$3,Config!$N$2:$N$3),_xlfn.XLOOKUP(M666,Config!$O$2:$O$6,Config!$P$2:$P$6))</f>
        <v>1.4933419200000001E-4</v>
      </c>
      <c r="Q666" s="22">
        <v>1</v>
      </c>
      <c r="R666" s="16">
        <f>P666*Q666*Config!$B$19</f>
        <v>1.0974814923352879E-4</v>
      </c>
    </row>
    <row r="667" spans="1:18" x14ac:dyDescent="0.45">
      <c r="A667" s="7">
        <v>667</v>
      </c>
      <c r="B667" s="7" t="s">
        <v>1593</v>
      </c>
      <c r="C667" s="7" t="s">
        <v>1599</v>
      </c>
      <c r="D667" s="7" t="s">
        <v>1606</v>
      </c>
      <c r="E667" t="s">
        <v>1607</v>
      </c>
      <c r="F667" t="s">
        <v>988</v>
      </c>
      <c r="G667" t="s">
        <v>831</v>
      </c>
      <c r="H667" t="s">
        <v>768</v>
      </c>
      <c r="I667" t="s">
        <v>806</v>
      </c>
      <c r="K667" s="12" t="s">
        <v>1062</v>
      </c>
      <c r="L667" t="s">
        <v>1111</v>
      </c>
      <c r="M667" s="12" t="s">
        <v>838</v>
      </c>
      <c r="N667" s="12" t="s">
        <v>1190</v>
      </c>
      <c r="P667" s="16">
        <f>PRODUCT(_xlfn.XLOOKUP(F667,Config!$A$2:$A$15,Config!$B$2:$B$15),_xlfn.XLOOKUP(G667,Config!$C$2:$C$7,Config!$D$2:$D$7),_xlfn.XLOOKUP(H667,Config!$E$2:$E$5,Config!$F$2:$F$5),_xlfn.XLOOKUP(I667,Config!$G$2:$G$3,Config!$H$2:$H$3),_xlfn.XLOOKUP(J667,Config!$I$2:$I$3,Config!$J$2:$J$3),_xlfn.XLOOKUP(K667,Config!$K$2:$K$3,Config!$L$2:$L$3),_xlfn.XLOOKUP(L667,Config!$M$2:$M$3,Config!$N$2:$N$3),_xlfn.XLOOKUP(M667,Config!$O$2:$O$6,Config!$P$2:$P$6))</f>
        <v>1.4933419200000001E-4</v>
      </c>
      <c r="Q667" s="22">
        <v>1</v>
      </c>
      <c r="R667" s="16">
        <f>P667*Q667*Config!$B$19</f>
        <v>1.0974814923352879E-4</v>
      </c>
    </row>
    <row r="668" spans="1:18" x14ac:dyDescent="0.45">
      <c r="A668" s="7">
        <v>668</v>
      </c>
      <c r="B668" s="7" t="s">
        <v>1591</v>
      </c>
      <c r="C668" s="7" t="s">
        <v>1597</v>
      </c>
      <c r="D668" s="7" t="s">
        <v>1603</v>
      </c>
      <c r="E668" t="s">
        <v>1607</v>
      </c>
      <c r="F668" t="s">
        <v>971</v>
      </c>
      <c r="G668" t="s">
        <v>831</v>
      </c>
      <c r="H668" t="s">
        <v>768</v>
      </c>
      <c r="I668" t="s">
        <v>806</v>
      </c>
      <c r="K668" s="12" t="s">
        <v>1062</v>
      </c>
      <c r="L668" t="s">
        <v>1111</v>
      </c>
      <c r="M668" s="12" t="s">
        <v>838</v>
      </c>
      <c r="N668" s="12" t="s">
        <v>1190</v>
      </c>
      <c r="P668" s="16">
        <f>PRODUCT(_xlfn.XLOOKUP(F668,Config!$A$2:$A$15,Config!$B$2:$B$15),_xlfn.XLOOKUP(G668,Config!$C$2:$C$7,Config!$D$2:$D$7),_xlfn.XLOOKUP(H668,Config!$E$2:$E$5,Config!$F$2:$F$5),_xlfn.XLOOKUP(I668,Config!$G$2:$G$3,Config!$H$2:$H$3),_xlfn.XLOOKUP(J668,Config!$I$2:$I$3,Config!$J$2:$J$3),_xlfn.XLOOKUP(K668,Config!$K$2:$K$3,Config!$L$2:$L$3),_xlfn.XLOOKUP(L668,Config!$M$2:$M$3,Config!$N$2:$N$3),_xlfn.XLOOKUP(M668,Config!$O$2:$O$6,Config!$P$2:$P$6))</f>
        <v>1.2528885599999998E-4</v>
      </c>
      <c r="Q668" s="22">
        <v>1</v>
      </c>
      <c r="R668" s="16">
        <f>P668*Q668*Config!$B$19</f>
        <v>9.2076837068808031E-5</v>
      </c>
    </row>
    <row r="669" spans="1:18" x14ac:dyDescent="0.45">
      <c r="A669" s="7">
        <v>669</v>
      </c>
      <c r="B669" s="7" t="s">
        <v>1591</v>
      </c>
      <c r="C669" s="7" t="s">
        <v>1597</v>
      </c>
      <c r="D669" s="7" t="s">
        <v>1604</v>
      </c>
      <c r="E669" t="s">
        <v>1608</v>
      </c>
      <c r="F669" t="s">
        <v>971</v>
      </c>
      <c r="G669" t="s">
        <v>831</v>
      </c>
      <c r="H669" t="s">
        <v>768</v>
      </c>
      <c r="I669" t="s">
        <v>806</v>
      </c>
      <c r="K669" s="12" t="s">
        <v>1062</v>
      </c>
      <c r="L669" t="s">
        <v>1111</v>
      </c>
      <c r="M669" s="12" t="s">
        <v>838</v>
      </c>
      <c r="N669" s="14" t="s">
        <v>1003</v>
      </c>
      <c r="P669" s="16">
        <f>PRODUCT(_xlfn.XLOOKUP(F669,Config!$A$2:$A$15,Config!$B$2:$B$15),_xlfn.XLOOKUP(G669,Config!$C$2:$C$7,Config!$D$2:$D$7),_xlfn.XLOOKUP(H669,Config!$E$2:$E$5,Config!$F$2:$F$5),_xlfn.XLOOKUP(I669,Config!$G$2:$G$3,Config!$H$2:$H$3),_xlfn.XLOOKUP(J669,Config!$I$2:$I$3,Config!$J$2:$J$3),_xlfn.XLOOKUP(K669,Config!$K$2:$K$3,Config!$L$2:$L$3),_xlfn.XLOOKUP(L669,Config!$M$2:$M$3,Config!$N$2:$N$3),_xlfn.XLOOKUP(M669,Config!$O$2:$O$6,Config!$P$2:$P$6))</f>
        <v>1.2528885599999998E-4</v>
      </c>
      <c r="Q669" s="22">
        <v>1</v>
      </c>
      <c r="R669" s="16">
        <f>P669*Q669*Config!$B$19</f>
        <v>9.2076837068808031E-5</v>
      </c>
    </row>
    <row r="670" spans="1:18" x14ac:dyDescent="0.45">
      <c r="A670" s="7">
        <v>670</v>
      </c>
      <c r="B670" s="7" t="s">
        <v>1591</v>
      </c>
      <c r="C670" s="7" t="s">
        <v>1597</v>
      </c>
      <c r="D670" s="7" t="s">
        <v>1603</v>
      </c>
      <c r="E670" t="s">
        <v>1607</v>
      </c>
      <c r="F670" t="s">
        <v>986</v>
      </c>
      <c r="G670" t="s">
        <v>831</v>
      </c>
      <c r="H670" t="s">
        <v>768</v>
      </c>
      <c r="I670" t="s">
        <v>806</v>
      </c>
      <c r="K670" s="12" t="s">
        <v>1062</v>
      </c>
      <c r="L670" t="s">
        <v>1111</v>
      </c>
      <c r="M670" s="12" t="s">
        <v>838</v>
      </c>
      <c r="N670" s="12" t="s">
        <v>1190</v>
      </c>
      <c r="P670" s="16">
        <f>PRODUCT(_xlfn.XLOOKUP(F670,Config!$A$2:$A$15,Config!$B$2:$B$15),_xlfn.XLOOKUP(G670,Config!$C$2:$C$7,Config!$D$2:$D$7),_xlfn.XLOOKUP(H670,Config!$E$2:$E$5,Config!$F$2:$F$5),_xlfn.XLOOKUP(I670,Config!$G$2:$G$3,Config!$H$2:$H$3),_xlfn.XLOOKUP(J670,Config!$I$2:$I$3,Config!$J$2:$J$3),_xlfn.XLOOKUP(K670,Config!$K$2:$K$3,Config!$L$2:$L$3),_xlfn.XLOOKUP(L670,Config!$M$2:$M$3,Config!$N$2:$N$3),_xlfn.XLOOKUP(M670,Config!$O$2:$O$6,Config!$P$2:$P$6))</f>
        <v>1.0820401200000002E-4</v>
      </c>
      <c r="Q670" s="22">
        <v>1</v>
      </c>
      <c r="R670" s="16">
        <f>P670*Q670*Config!$B$19</f>
        <v>7.952090474124332E-5</v>
      </c>
    </row>
    <row r="671" spans="1:18" x14ac:dyDescent="0.45">
      <c r="A671" s="7">
        <v>671</v>
      </c>
      <c r="B671" s="7" t="s">
        <v>1591</v>
      </c>
      <c r="C671" s="7" t="s">
        <v>1597</v>
      </c>
      <c r="D671" s="7" t="s">
        <v>1604</v>
      </c>
      <c r="E671" t="s">
        <v>1608</v>
      </c>
      <c r="F671" t="s">
        <v>986</v>
      </c>
      <c r="G671" t="s">
        <v>831</v>
      </c>
      <c r="H671" t="s">
        <v>768</v>
      </c>
      <c r="I671" t="s">
        <v>806</v>
      </c>
      <c r="K671" s="12" t="s">
        <v>1062</v>
      </c>
      <c r="L671" t="s">
        <v>1111</v>
      </c>
      <c r="M671" s="12" t="s">
        <v>838</v>
      </c>
      <c r="N671" s="14" t="s">
        <v>1003</v>
      </c>
      <c r="P671" s="16">
        <f>PRODUCT(_xlfn.XLOOKUP(F671,Config!$A$2:$A$15,Config!$B$2:$B$15),_xlfn.XLOOKUP(G671,Config!$C$2:$C$7,Config!$D$2:$D$7),_xlfn.XLOOKUP(H671,Config!$E$2:$E$5,Config!$F$2:$F$5),_xlfn.XLOOKUP(I671,Config!$G$2:$G$3,Config!$H$2:$H$3),_xlfn.XLOOKUP(J671,Config!$I$2:$I$3,Config!$J$2:$J$3),_xlfn.XLOOKUP(K671,Config!$K$2:$K$3,Config!$L$2:$L$3),_xlfn.XLOOKUP(L671,Config!$M$2:$M$3,Config!$N$2:$N$3),_xlfn.XLOOKUP(M671,Config!$O$2:$O$6,Config!$P$2:$P$6))</f>
        <v>1.0820401200000002E-4</v>
      </c>
      <c r="Q671" s="22">
        <v>1</v>
      </c>
      <c r="R671" s="16">
        <f>P671*Q671*Config!$B$19</f>
        <v>7.952090474124332E-5</v>
      </c>
    </row>
    <row r="672" spans="1:18" x14ac:dyDescent="0.45">
      <c r="A672" s="7">
        <v>672</v>
      </c>
      <c r="B672" s="7" t="s">
        <v>1591</v>
      </c>
      <c r="C672" s="7" t="s">
        <v>1597</v>
      </c>
      <c r="D672" s="7" t="s">
        <v>1603</v>
      </c>
      <c r="E672" t="s">
        <v>1607</v>
      </c>
      <c r="F672" t="s">
        <v>987</v>
      </c>
      <c r="G672" t="s">
        <v>831</v>
      </c>
      <c r="H672" t="s">
        <v>768</v>
      </c>
      <c r="I672" t="s">
        <v>806</v>
      </c>
      <c r="K672" s="12" t="s">
        <v>1062</v>
      </c>
      <c r="L672" t="s">
        <v>1111</v>
      </c>
      <c r="M672" s="12" t="s">
        <v>838</v>
      </c>
      <c r="N672" s="12" t="s">
        <v>1190</v>
      </c>
      <c r="P672" s="16">
        <f>PRODUCT(_xlfn.XLOOKUP(F672,Config!$A$2:$A$15,Config!$B$2:$B$15),_xlfn.XLOOKUP(G672,Config!$C$2:$C$7,Config!$D$2:$D$7),_xlfn.XLOOKUP(H672,Config!$E$2:$E$5,Config!$F$2:$F$5),_xlfn.XLOOKUP(I672,Config!$G$2:$G$3,Config!$H$2:$H$3),_xlfn.XLOOKUP(J672,Config!$I$2:$I$3,Config!$J$2:$J$3),_xlfn.XLOOKUP(K672,Config!$K$2:$K$3,Config!$L$2:$L$3),_xlfn.XLOOKUP(L672,Config!$M$2:$M$3,Config!$N$2:$N$3),_xlfn.XLOOKUP(M672,Config!$O$2:$O$6,Config!$P$2:$P$6))</f>
        <v>5.600032199999998E-5</v>
      </c>
      <c r="Q672" s="22">
        <v>1</v>
      </c>
      <c r="R672" s="16">
        <f>P672*Q672*Config!$B$19</f>
        <v>4.1155555962573276E-5</v>
      </c>
    </row>
    <row r="673" spans="1:18" x14ac:dyDescent="0.45">
      <c r="A673" s="7">
        <v>673</v>
      </c>
      <c r="B673" s="7" t="s">
        <v>1591</v>
      </c>
      <c r="C673" s="7" t="s">
        <v>1597</v>
      </c>
      <c r="D673" s="7" t="s">
        <v>1604</v>
      </c>
      <c r="E673" t="s">
        <v>1607</v>
      </c>
      <c r="F673" t="s">
        <v>987</v>
      </c>
      <c r="G673" t="s">
        <v>831</v>
      </c>
      <c r="H673" t="s">
        <v>768</v>
      </c>
      <c r="I673" t="s">
        <v>806</v>
      </c>
      <c r="J673" s="12"/>
      <c r="K673" s="12" t="s">
        <v>1062</v>
      </c>
      <c r="L673" t="s">
        <v>1111</v>
      </c>
      <c r="M673" s="12" t="s">
        <v>838</v>
      </c>
      <c r="N673" s="14" t="s">
        <v>1003</v>
      </c>
      <c r="P673" s="16">
        <f>PRODUCT(_xlfn.XLOOKUP(F673,Config!$A$2:$A$15,Config!$B$2:$B$15),_xlfn.XLOOKUP(G673,Config!$C$2:$C$7,Config!$D$2:$D$7),_xlfn.XLOOKUP(H673,Config!$E$2:$E$5,Config!$F$2:$F$5),_xlfn.XLOOKUP(I673,Config!$G$2:$G$3,Config!$H$2:$H$3),_xlfn.XLOOKUP(J673,Config!$I$2:$I$3,Config!$J$2:$J$3),_xlfn.XLOOKUP(K673,Config!$K$2:$K$3,Config!$L$2:$L$3),_xlfn.XLOOKUP(L673,Config!$M$2:$M$3,Config!$N$2:$N$3),_xlfn.XLOOKUP(M673,Config!$O$2:$O$6,Config!$P$2:$P$6))</f>
        <v>5.600032199999998E-5</v>
      </c>
      <c r="Q673" s="22">
        <v>1</v>
      </c>
      <c r="R673" s="16">
        <f>P673*Q673*Config!$B$19</f>
        <v>4.1155555962573276E-5</v>
      </c>
    </row>
    <row r="674" spans="1:18" x14ac:dyDescent="0.45">
      <c r="A674" s="7">
        <v>675</v>
      </c>
      <c r="B674" s="7" t="s">
        <v>1611</v>
      </c>
      <c r="C674" s="7" t="s">
        <v>1612</v>
      </c>
      <c r="D674" s="7" t="s">
        <v>1613</v>
      </c>
      <c r="E674" t="s">
        <v>1610</v>
      </c>
      <c r="F674" t="s">
        <v>984</v>
      </c>
      <c r="G674" t="s">
        <v>832</v>
      </c>
      <c r="H674" t="s">
        <v>808</v>
      </c>
      <c r="I674" t="s">
        <v>806</v>
      </c>
      <c r="K674" s="12" t="s">
        <v>1062</v>
      </c>
      <c r="L674" s="12" t="s">
        <v>1110</v>
      </c>
      <c r="M674" s="12" t="s">
        <v>838</v>
      </c>
      <c r="N674" s="12" t="s">
        <v>1190</v>
      </c>
      <c r="P674" s="16">
        <f>PRODUCT(_xlfn.XLOOKUP(F674,Config!$A$2:$A$15,Config!$B$2:$B$15),_xlfn.XLOOKUP(G674,Config!$C$2:$C$7,Config!$D$2:$D$7),_xlfn.XLOOKUP(H674,Config!$E$2:$E$5,Config!$F$2:$F$5),_xlfn.XLOOKUP(I674,Config!$G$2:$G$3,Config!$H$2:$H$3),_xlfn.XLOOKUP(J674,Config!$I$2:$I$3,Config!$J$2:$J$3),_xlfn.XLOOKUP(K674,Config!$K$2:$K$3,Config!$L$2:$L$3),_xlfn.XLOOKUP(L674,Config!$M$2:$M$3,Config!$N$2:$N$3),_xlfn.XLOOKUP(M674,Config!$O$2:$O$6,Config!$P$2:$P$6))</f>
        <v>2.6776018368000008E-3</v>
      </c>
      <c r="Q674" s="22">
        <v>1</v>
      </c>
      <c r="R674" s="16">
        <f>P674*Q674*Config!$B$19</f>
        <v>1.9678135464990983E-3</v>
      </c>
    </row>
    <row r="675" spans="1:18" x14ac:dyDescent="0.45">
      <c r="A675" s="7">
        <v>676</v>
      </c>
      <c r="B675" s="7" t="s">
        <v>1611</v>
      </c>
      <c r="C675" s="7" t="s">
        <v>1612</v>
      </c>
      <c r="D675" s="7" t="s">
        <v>1614</v>
      </c>
      <c r="E675" t="s">
        <v>1610</v>
      </c>
      <c r="F675" t="s">
        <v>984</v>
      </c>
      <c r="G675" t="s">
        <v>832</v>
      </c>
      <c r="H675" t="s">
        <v>808</v>
      </c>
      <c r="I675" t="s">
        <v>806</v>
      </c>
      <c r="J675" s="12"/>
      <c r="K675" s="12" t="s">
        <v>1062</v>
      </c>
      <c r="L675" s="12" t="s">
        <v>1110</v>
      </c>
      <c r="M675" s="12" t="s">
        <v>838</v>
      </c>
      <c r="N675" s="14" t="s">
        <v>1003</v>
      </c>
      <c r="P675" s="16">
        <f>PRODUCT(_xlfn.XLOOKUP(F675,Config!$A$2:$A$15,Config!$B$2:$B$15),_xlfn.XLOOKUP(G675,Config!$C$2:$C$7,Config!$D$2:$D$7),_xlfn.XLOOKUP(H675,Config!$E$2:$E$5,Config!$F$2:$F$5),_xlfn.XLOOKUP(I675,Config!$G$2:$G$3,Config!$H$2:$H$3),_xlfn.XLOOKUP(J675,Config!$I$2:$I$3,Config!$J$2:$J$3),_xlfn.XLOOKUP(K675,Config!$K$2:$K$3,Config!$L$2:$L$3),_xlfn.XLOOKUP(L675,Config!$M$2:$M$3,Config!$N$2:$N$3),_xlfn.XLOOKUP(M675,Config!$O$2:$O$6,Config!$P$2:$P$6))</f>
        <v>2.6776018368000008E-3</v>
      </c>
      <c r="Q675" s="22">
        <v>1</v>
      </c>
      <c r="R675" s="16">
        <f>P675*Q675*Config!$B$19</f>
        <v>1.9678135464990983E-3</v>
      </c>
    </row>
    <row r="676" spans="1:18" x14ac:dyDescent="0.45">
      <c r="A676" s="7">
        <v>677</v>
      </c>
      <c r="B676" s="7" t="s">
        <v>1611</v>
      </c>
      <c r="C676" s="7" t="s">
        <v>1612</v>
      </c>
      <c r="D676" s="7" t="s">
        <v>1613</v>
      </c>
      <c r="E676" t="s">
        <v>1610</v>
      </c>
      <c r="F676" t="s">
        <v>985</v>
      </c>
      <c r="G676" t="s">
        <v>832</v>
      </c>
      <c r="H676" t="s">
        <v>808</v>
      </c>
      <c r="I676" t="s">
        <v>806</v>
      </c>
      <c r="K676" s="12" t="s">
        <v>1062</v>
      </c>
      <c r="L676" s="12" t="s">
        <v>1110</v>
      </c>
      <c r="M676" s="12" t="s">
        <v>838</v>
      </c>
      <c r="N676" s="12" t="s">
        <v>1190</v>
      </c>
      <c r="P676" s="16">
        <f>PRODUCT(_xlfn.XLOOKUP(F676,Config!$A$2:$A$15,Config!$B$2:$B$15),_xlfn.XLOOKUP(G676,Config!$C$2:$C$7,Config!$D$2:$D$7),_xlfn.XLOOKUP(H676,Config!$E$2:$E$5,Config!$F$2:$F$5),_xlfn.XLOOKUP(I676,Config!$G$2:$G$3,Config!$H$2:$H$3),_xlfn.XLOOKUP(J676,Config!$I$2:$I$3,Config!$J$2:$J$3),_xlfn.XLOOKUP(K676,Config!$K$2:$K$3,Config!$L$2:$L$3),_xlfn.XLOOKUP(L676,Config!$M$2:$M$3,Config!$N$2:$N$3),_xlfn.XLOOKUP(M676,Config!$O$2:$O$6,Config!$P$2:$P$6))</f>
        <v>2.3124743135999998E-3</v>
      </c>
      <c r="Q676" s="22">
        <v>1</v>
      </c>
      <c r="R676" s="16">
        <f>P676*Q676*Config!$B$19</f>
        <v>1.6994753356128569E-3</v>
      </c>
    </row>
    <row r="677" spans="1:18" x14ac:dyDescent="0.45">
      <c r="A677" s="7">
        <v>678</v>
      </c>
      <c r="B677" s="7" t="s">
        <v>1611</v>
      </c>
      <c r="C677" s="7" t="s">
        <v>1612</v>
      </c>
      <c r="D677" s="7" t="s">
        <v>1614</v>
      </c>
      <c r="E677" t="s">
        <v>1610</v>
      </c>
      <c r="F677" t="s">
        <v>985</v>
      </c>
      <c r="G677" t="s">
        <v>832</v>
      </c>
      <c r="H677" t="s">
        <v>808</v>
      </c>
      <c r="I677" t="s">
        <v>806</v>
      </c>
      <c r="J677" s="12"/>
      <c r="K677" s="12" t="s">
        <v>1062</v>
      </c>
      <c r="L677" s="12" t="s">
        <v>1110</v>
      </c>
      <c r="M677" s="12" t="s">
        <v>838</v>
      </c>
      <c r="N677" s="14" t="s">
        <v>1003</v>
      </c>
      <c r="P677" s="16">
        <f>PRODUCT(_xlfn.XLOOKUP(F677,Config!$A$2:$A$15,Config!$B$2:$B$15),_xlfn.XLOOKUP(G677,Config!$C$2:$C$7,Config!$D$2:$D$7),_xlfn.XLOOKUP(H677,Config!$E$2:$E$5,Config!$F$2:$F$5),_xlfn.XLOOKUP(I677,Config!$G$2:$G$3,Config!$H$2:$H$3),_xlfn.XLOOKUP(J677,Config!$I$2:$I$3,Config!$J$2:$J$3),_xlfn.XLOOKUP(K677,Config!$K$2:$K$3,Config!$L$2:$L$3),_xlfn.XLOOKUP(L677,Config!$M$2:$M$3,Config!$N$2:$N$3),_xlfn.XLOOKUP(M677,Config!$O$2:$O$6,Config!$P$2:$P$6))</f>
        <v>2.3124743135999998E-3</v>
      </c>
      <c r="Q677" s="22">
        <v>1</v>
      </c>
      <c r="R677" s="16">
        <f>P677*Q677*Config!$B$19</f>
        <v>1.6994753356128569E-3</v>
      </c>
    </row>
    <row r="678" spans="1:18" x14ac:dyDescent="0.45">
      <c r="A678" s="7">
        <v>679</v>
      </c>
      <c r="B678" s="7" t="s">
        <v>1611</v>
      </c>
      <c r="C678" s="7" t="s">
        <v>1612</v>
      </c>
      <c r="D678" s="7" t="s">
        <v>1613</v>
      </c>
      <c r="E678" t="s">
        <v>1610</v>
      </c>
      <c r="F678" t="s">
        <v>1010</v>
      </c>
      <c r="G678" t="s">
        <v>832</v>
      </c>
      <c r="H678" t="s">
        <v>808</v>
      </c>
      <c r="I678" t="s">
        <v>806</v>
      </c>
      <c r="K678" s="12" t="s">
        <v>1062</v>
      </c>
      <c r="L678" s="12" t="s">
        <v>1110</v>
      </c>
      <c r="M678" s="12" t="s">
        <v>838</v>
      </c>
      <c r="N678" s="12" t="s">
        <v>1190</v>
      </c>
      <c r="P678" s="16">
        <f>PRODUCT(_xlfn.XLOOKUP(F678,Config!$A$2:$A$15,Config!$B$2:$B$15),_xlfn.XLOOKUP(G678,Config!$C$2:$C$7,Config!$D$2:$D$7),_xlfn.XLOOKUP(H678,Config!$E$2:$E$5,Config!$F$2:$F$5),_xlfn.XLOOKUP(I678,Config!$G$2:$G$3,Config!$H$2:$H$3),_xlfn.XLOOKUP(J678,Config!$I$2:$I$3,Config!$J$2:$J$3),_xlfn.XLOOKUP(K678,Config!$K$2:$K$3,Config!$L$2:$L$3),_xlfn.XLOOKUP(L678,Config!$M$2:$M$3,Config!$N$2:$N$3),_xlfn.XLOOKUP(M678,Config!$O$2:$O$6,Config!$P$2:$P$6))</f>
        <v>1.7952103224000006E-3</v>
      </c>
      <c r="Q678" s="22">
        <v>1</v>
      </c>
      <c r="R678" s="16">
        <f>P678*Q678*Config!$B$19</f>
        <v>1.31932953685735E-3</v>
      </c>
    </row>
    <row r="679" spans="1:18" x14ac:dyDescent="0.45">
      <c r="A679" s="7">
        <v>680</v>
      </c>
      <c r="B679" s="7" t="s">
        <v>1611</v>
      </c>
      <c r="C679" s="7" t="s">
        <v>1612</v>
      </c>
      <c r="D679" s="7" t="s">
        <v>1614</v>
      </c>
      <c r="E679" t="s">
        <v>1610</v>
      </c>
      <c r="F679" t="s">
        <v>1010</v>
      </c>
      <c r="G679" t="s">
        <v>832</v>
      </c>
      <c r="H679" t="s">
        <v>808</v>
      </c>
      <c r="I679" t="s">
        <v>806</v>
      </c>
      <c r="J679" s="12"/>
      <c r="K679" s="12" t="s">
        <v>1062</v>
      </c>
      <c r="L679" s="12" t="s">
        <v>1110</v>
      </c>
      <c r="M679" s="12" t="s">
        <v>838</v>
      </c>
      <c r="N679" s="14" t="s">
        <v>1003</v>
      </c>
      <c r="P679" s="16">
        <f>PRODUCT(_xlfn.XLOOKUP(F679,Config!$A$2:$A$15,Config!$B$2:$B$15),_xlfn.XLOOKUP(G679,Config!$C$2:$C$7,Config!$D$2:$D$7),_xlfn.XLOOKUP(H679,Config!$E$2:$E$5,Config!$F$2:$F$5),_xlfn.XLOOKUP(I679,Config!$G$2:$G$3,Config!$H$2:$H$3),_xlfn.XLOOKUP(J679,Config!$I$2:$I$3,Config!$J$2:$J$3),_xlfn.XLOOKUP(K679,Config!$K$2:$K$3,Config!$L$2:$L$3),_xlfn.XLOOKUP(L679,Config!$M$2:$M$3,Config!$N$2:$N$3),_xlfn.XLOOKUP(M679,Config!$O$2:$O$6,Config!$P$2:$P$6))</f>
        <v>1.7952103224000006E-3</v>
      </c>
      <c r="Q679" s="22">
        <v>1</v>
      </c>
      <c r="R679" s="16">
        <f>P679*Q679*Config!$B$19</f>
        <v>1.31932953685735E-3</v>
      </c>
    </row>
    <row r="680" spans="1:18" x14ac:dyDescent="0.45">
      <c r="A680" s="7">
        <v>681</v>
      </c>
      <c r="B680" s="7" t="s">
        <v>1611</v>
      </c>
      <c r="C680" s="7" t="s">
        <v>1612</v>
      </c>
      <c r="D680" s="7" t="s">
        <v>1613</v>
      </c>
      <c r="E680" t="s">
        <v>1610</v>
      </c>
      <c r="F680" t="s">
        <v>971</v>
      </c>
      <c r="G680" t="s">
        <v>832</v>
      </c>
      <c r="H680" t="s">
        <v>808</v>
      </c>
      <c r="I680" t="s">
        <v>806</v>
      </c>
      <c r="K680" s="12" t="s">
        <v>1062</v>
      </c>
      <c r="L680" s="12" t="s">
        <v>1110</v>
      </c>
      <c r="M680" s="12" t="s">
        <v>838</v>
      </c>
      <c r="N680" s="12" t="s">
        <v>1190</v>
      </c>
      <c r="P680" s="16">
        <f>PRODUCT(_xlfn.XLOOKUP(F680,Config!$A$2:$A$15,Config!$B$2:$B$15),_xlfn.XLOOKUP(G680,Config!$C$2:$C$7,Config!$D$2:$D$7),_xlfn.XLOOKUP(H680,Config!$E$2:$E$5,Config!$F$2:$F$5),_xlfn.XLOOKUP(I680,Config!$G$2:$G$3,Config!$H$2:$H$3),_xlfn.XLOOKUP(J680,Config!$I$2:$I$3,Config!$J$2:$J$3),_xlfn.XLOOKUP(K680,Config!$K$2:$K$3,Config!$L$2:$L$3),_xlfn.XLOOKUP(L680,Config!$M$2:$M$3,Config!$N$2:$N$3),_xlfn.XLOOKUP(M680,Config!$O$2:$O$6,Config!$P$2:$P$6))</f>
        <v>1.5061510332000001E-3</v>
      </c>
      <c r="Q680" s="22">
        <v>1</v>
      </c>
      <c r="R680" s="16">
        <f>P680*Q680*Config!$B$19</f>
        <v>1.1068951199057426E-3</v>
      </c>
    </row>
    <row r="681" spans="1:18" x14ac:dyDescent="0.45">
      <c r="A681" s="7">
        <v>682</v>
      </c>
      <c r="B681" s="7" t="s">
        <v>1611</v>
      </c>
      <c r="C681" s="7" t="s">
        <v>1612</v>
      </c>
      <c r="D681" s="7" t="s">
        <v>1614</v>
      </c>
      <c r="E681" t="s">
        <v>1610</v>
      </c>
      <c r="F681" t="s">
        <v>971</v>
      </c>
      <c r="G681" t="s">
        <v>832</v>
      </c>
      <c r="H681" t="s">
        <v>808</v>
      </c>
      <c r="I681" t="s">
        <v>806</v>
      </c>
      <c r="J681" s="12"/>
      <c r="K681" s="12" t="s">
        <v>1062</v>
      </c>
      <c r="L681" s="12" t="s">
        <v>1110</v>
      </c>
      <c r="M681" s="12" t="s">
        <v>838</v>
      </c>
      <c r="N681" s="14" t="s">
        <v>1003</v>
      </c>
      <c r="P681" s="16">
        <f>PRODUCT(_xlfn.XLOOKUP(F681,Config!$A$2:$A$15,Config!$B$2:$B$15),_xlfn.XLOOKUP(G681,Config!$C$2:$C$7,Config!$D$2:$D$7),_xlfn.XLOOKUP(H681,Config!$E$2:$E$5,Config!$F$2:$F$5),_xlfn.XLOOKUP(I681,Config!$G$2:$G$3,Config!$H$2:$H$3),_xlfn.XLOOKUP(J681,Config!$I$2:$I$3,Config!$J$2:$J$3),_xlfn.XLOOKUP(K681,Config!$K$2:$K$3,Config!$L$2:$L$3),_xlfn.XLOOKUP(L681,Config!$M$2:$M$3,Config!$N$2:$N$3),_xlfn.XLOOKUP(M681,Config!$O$2:$O$6,Config!$P$2:$P$6))</f>
        <v>1.5061510332000001E-3</v>
      </c>
      <c r="Q681" s="22">
        <v>1</v>
      </c>
      <c r="R681" s="16">
        <f>P681*Q681*Config!$B$19</f>
        <v>1.1068951199057426E-3</v>
      </c>
    </row>
    <row r="682" spans="1:18" x14ac:dyDescent="0.45">
      <c r="A682" s="7">
        <v>683</v>
      </c>
      <c r="B682" s="7" t="s">
        <v>1611</v>
      </c>
      <c r="C682" s="7" t="s">
        <v>1612</v>
      </c>
      <c r="D682" s="7" t="s">
        <v>1613</v>
      </c>
      <c r="E682" t="s">
        <v>1610</v>
      </c>
      <c r="F682" t="s">
        <v>986</v>
      </c>
      <c r="G682" t="s">
        <v>832</v>
      </c>
      <c r="H682" t="s">
        <v>808</v>
      </c>
      <c r="I682" t="s">
        <v>806</v>
      </c>
      <c r="K682" s="12" t="s">
        <v>1062</v>
      </c>
      <c r="L682" s="12" t="s">
        <v>1110</v>
      </c>
      <c r="M682" s="12" t="s">
        <v>838</v>
      </c>
      <c r="N682" s="12" t="s">
        <v>1190</v>
      </c>
      <c r="P682" s="16">
        <f>PRODUCT(_xlfn.XLOOKUP(F682,Config!$A$2:$A$15,Config!$B$2:$B$15),_xlfn.XLOOKUP(G682,Config!$C$2:$C$7,Config!$D$2:$D$7),_xlfn.XLOOKUP(H682,Config!$E$2:$E$5,Config!$F$2:$F$5),_xlfn.XLOOKUP(I682,Config!$G$2:$G$3,Config!$H$2:$H$3),_xlfn.XLOOKUP(J682,Config!$I$2:$I$3,Config!$J$2:$J$3),_xlfn.XLOOKUP(K682,Config!$K$2:$K$3,Config!$L$2:$L$3),_xlfn.XLOOKUP(L682,Config!$M$2:$M$3,Config!$N$2:$N$3),_xlfn.XLOOKUP(M682,Config!$O$2:$O$6,Config!$P$2:$P$6))</f>
        <v>1.3007668014000005E-3</v>
      </c>
      <c r="Q682" s="22">
        <v>1</v>
      </c>
      <c r="R682" s="16">
        <f>P682*Q682*Config!$B$19</f>
        <v>9.559548762822325E-4</v>
      </c>
    </row>
    <row r="683" spans="1:18" x14ac:dyDescent="0.45">
      <c r="A683" s="7">
        <v>684</v>
      </c>
      <c r="B683" s="7" t="s">
        <v>1611</v>
      </c>
      <c r="C683" s="7" t="s">
        <v>1612</v>
      </c>
      <c r="D683" s="7" t="s">
        <v>1614</v>
      </c>
      <c r="E683" t="s">
        <v>1610</v>
      </c>
      <c r="F683" t="s">
        <v>986</v>
      </c>
      <c r="G683" t="s">
        <v>832</v>
      </c>
      <c r="H683" t="s">
        <v>808</v>
      </c>
      <c r="I683" t="s">
        <v>806</v>
      </c>
      <c r="J683" s="12"/>
      <c r="K683" s="12" t="s">
        <v>1062</v>
      </c>
      <c r="L683" s="12" t="s">
        <v>1110</v>
      </c>
      <c r="M683" s="12" t="s">
        <v>838</v>
      </c>
      <c r="N683" s="14" t="s">
        <v>1003</v>
      </c>
      <c r="P683" s="16">
        <f>PRODUCT(_xlfn.XLOOKUP(F683,Config!$A$2:$A$15,Config!$B$2:$B$15),_xlfn.XLOOKUP(G683,Config!$C$2:$C$7,Config!$D$2:$D$7),_xlfn.XLOOKUP(H683,Config!$E$2:$E$5,Config!$F$2:$F$5),_xlfn.XLOOKUP(I683,Config!$G$2:$G$3,Config!$H$2:$H$3),_xlfn.XLOOKUP(J683,Config!$I$2:$I$3,Config!$J$2:$J$3),_xlfn.XLOOKUP(K683,Config!$K$2:$K$3,Config!$L$2:$L$3),_xlfn.XLOOKUP(L683,Config!$M$2:$M$3,Config!$N$2:$N$3),_xlfn.XLOOKUP(M683,Config!$O$2:$O$6,Config!$P$2:$P$6))</f>
        <v>1.3007668014000005E-3</v>
      </c>
      <c r="Q683" s="22">
        <v>1</v>
      </c>
      <c r="R683" s="16">
        <f>P683*Q683*Config!$B$19</f>
        <v>9.559548762822325E-4</v>
      </c>
    </row>
    <row r="684" spans="1:18" x14ac:dyDescent="0.45">
      <c r="A684" s="7">
        <v>685</v>
      </c>
      <c r="B684" s="7" t="s">
        <v>1611</v>
      </c>
      <c r="C684" s="7" t="s">
        <v>1612</v>
      </c>
      <c r="D684" s="7" t="s">
        <v>1613</v>
      </c>
      <c r="E684" t="s">
        <v>1610</v>
      </c>
      <c r="F684" t="s">
        <v>987</v>
      </c>
      <c r="G684" t="s">
        <v>832</v>
      </c>
      <c r="H684" t="s">
        <v>808</v>
      </c>
      <c r="I684" t="s">
        <v>806</v>
      </c>
      <c r="K684" s="12" t="s">
        <v>1062</v>
      </c>
      <c r="L684" s="12" t="s">
        <v>1110</v>
      </c>
      <c r="M684" s="12" t="s">
        <v>838</v>
      </c>
      <c r="N684" s="12" t="s">
        <v>1190</v>
      </c>
      <c r="P684" s="16">
        <f>PRODUCT(_xlfn.XLOOKUP(F684,Config!$A$2:$A$15,Config!$B$2:$B$15),_xlfn.XLOOKUP(G684,Config!$C$2:$C$7,Config!$D$2:$D$7),_xlfn.XLOOKUP(H684,Config!$E$2:$E$5,Config!$F$2:$F$5),_xlfn.XLOOKUP(I684,Config!$G$2:$G$3,Config!$H$2:$H$3),_xlfn.XLOOKUP(J684,Config!$I$2:$I$3,Config!$J$2:$J$3),_xlfn.XLOOKUP(K684,Config!$K$2:$K$3,Config!$L$2:$L$3),_xlfn.XLOOKUP(L684,Config!$M$2:$M$3,Config!$N$2:$N$3),_xlfn.XLOOKUP(M684,Config!$O$2:$O$6,Config!$P$2:$P$6))</f>
        <v>6.7320387090000005E-4</v>
      </c>
      <c r="Q684" s="22">
        <v>1</v>
      </c>
      <c r="R684" s="16">
        <f>P684*Q684*Config!$B$19</f>
        <v>4.9474857632150618E-4</v>
      </c>
    </row>
    <row r="685" spans="1:18" x14ac:dyDescent="0.45">
      <c r="A685" s="7">
        <v>686</v>
      </c>
      <c r="B685" s="7" t="s">
        <v>1611</v>
      </c>
      <c r="C685" s="7" t="s">
        <v>1612</v>
      </c>
      <c r="D685" s="7" t="s">
        <v>1614</v>
      </c>
      <c r="E685" t="s">
        <v>1610</v>
      </c>
      <c r="F685" t="s">
        <v>987</v>
      </c>
      <c r="G685" t="s">
        <v>832</v>
      </c>
      <c r="H685" t="s">
        <v>808</v>
      </c>
      <c r="I685" t="s">
        <v>806</v>
      </c>
      <c r="J685" s="12"/>
      <c r="K685" s="12" t="s">
        <v>1062</v>
      </c>
      <c r="L685" s="12" t="s">
        <v>1110</v>
      </c>
      <c r="M685" s="12" t="s">
        <v>838</v>
      </c>
      <c r="N685" s="14" t="s">
        <v>1003</v>
      </c>
      <c r="P685" s="16">
        <f>PRODUCT(_xlfn.XLOOKUP(F685,Config!$A$2:$A$15,Config!$B$2:$B$15),_xlfn.XLOOKUP(G685,Config!$C$2:$C$7,Config!$D$2:$D$7),_xlfn.XLOOKUP(H685,Config!$E$2:$E$5,Config!$F$2:$F$5),_xlfn.XLOOKUP(I685,Config!$G$2:$G$3,Config!$H$2:$H$3),_xlfn.XLOOKUP(J685,Config!$I$2:$I$3,Config!$J$2:$J$3),_xlfn.XLOOKUP(K685,Config!$K$2:$K$3,Config!$L$2:$L$3),_xlfn.XLOOKUP(L685,Config!$M$2:$M$3,Config!$N$2:$N$3),_xlfn.XLOOKUP(M685,Config!$O$2:$O$6,Config!$P$2:$P$6))</f>
        <v>6.7320387090000005E-4</v>
      </c>
      <c r="Q685" s="22">
        <v>1</v>
      </c>
      <c r="R685" s="16">
        <f>P685*Q685*Config!$B$19</f>
        <v>4.9474857632150618E-4</v>
      </c>
    </row>
    <row r="686" spans="1:18" x14ac:dyDescent="0.45">
      <c r="A686" s="7">
        <v>687</v>
      </c>
      <c r="B686" s="7" t="s">
        <v>1615</v>
      </c>
      <c r="C686" s="7" t="s">
        <v>1616</v>
      </c>
      <c r="D686" s="7" t="s">
        <v>1617</v>
      </c>
      <c r="E686" t="s">
        <v>1610</v>
      </c>
      <c r="F686" t="s">
        <v>990</v>
      </c>
      <c r="G686" t="s">
        <v>832</v>
      </c>
      <c r="H686" t="s">
        <v>808</v>
      </c>
      <c r="I686" t="s">
        <v>806</v>
      </c>
      <c r="J686" s="12"/>
      <c r="K686" s="12" t="s">
        <v>1062</v>
      </c>
      <c r="L686" s="12" t="s">
        <v>1110</v>
      </c>
      <c r="M686" s="12" t="s">
        <v>838</v>
      </c>
    </row>
  </sheetData>
  <autoFilter ref="A1:S686" xr:uid="{776FA52C-A597-4884-9AC0-911EBB770079}"/>
  <sortState xmlns:xlrd2="http://schemas.microsoft.com/office/spreadsheetml/2017/richdata2" ref="A2:S673">
    <sortCondition ref="G2:G673"/>
    <sortCondition ref="J2:J673"/>
    <sortCondition ref="I2:I673"/>
    <sortCondition ref="H2:H673" customList="PRS,PST,FUT"/>
    <sortCondition ref="L2:L673" customList="FALSE,TRUE"/>
    <sortCondition ref="M2:M673"/>
    <sortCondition ref="F2:F673" customList="1sg,2sg,3sg,3sg - Name,3sg - Noun,3sg - Noun with attribute,3sg - Possessed noun,1pl,2pl,3pl,3pl - Noun def,3pl - Noun indef,3pl - Noun with numerical,3pl - Possessed noun"/>
    <sortCondition ref="N2:N673" customList="None,ES: Headless,Has adverb,Is origin,Is occupation,Comparative"/>
  </sortState>
  <phoneticPr fontId="19" type="noConversion"/>
  <conditionalFormatting sqref="Q1:Q1048576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15B0-99CA-4BFA-8217-74F719426D1D}">
  <dimension ref="A1:S17"/>
  <sheetViews>
    <sheetView workbookViewId="0">
      <selection activeCell="A19" sqref="A19"/>
    </sheetView>
  </sheetViews>
  <sheetFormatPr defaultRowHeight="14.25" x14ac:dyDescent="0.45"/>
  <cols>
    <col min="2" max="4" width="51.8632812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250</v>
      </c>
      <c r="E1" s="1" t="s">
        <v>3</v>
      </c>
      <c r="F1" s="1" t="s">
        <v>844</v>
      </c>
      <c r="G1" s="1" t="s">
        <v>807</v>
      </c>
      <c r="H1" s="1" t="s">
        <v>767</v>
      </c>
      <c r="I1" s="1" t="s">
        <v>781</v>
      </c>
      <c r="J1" s="1" t="s">
        <v>782</v>
      </c>
      <c r="K1" s="1" t="s">
        <v>1061</v>
      </c>
      <c r="L1" s="1" t="s">
        <v>1112</v>
      </c>
      <c r="M1" s="1" t="s">
        <v>973</v>
      </c>
      <c r="N1" s="1" t="s">
        <v>1063</v>
      </c>
      <c r="O1" s="1" t="s">
        <v>4</v>
      </c>
      <c r="P1" s="1" t="s">
        <v>1123</v>
      </c>
      <c r="Q1" s="1" t="s">
        <v>1176</v>
      </c>
      <c r="R1" s="1" t="s">
        <v>1124</v>
      </c>
      <c r="S1" s="1" t="s">
        <v>654</v>
      </c>
    </row>
    <row r="2" spans="1:19" x14ac:dyDescent="0.45">
      <c r="A2" s="24" t="s">
        <v>1303</v>
      </c>
      <c r="B2" s="23" t="s">
        <v>1304</v>
      </c>
      <c r="C2" s="23" t="s">
        <v>1305</v>
      </c>
      <c r="D2" s="23" t="s">
        <v>1306</v>
      </c>
      <c r="E2" s="23" t="s">
        <v>1307</v>
      </c>
      <c r="F2" s="23" t="s">
        <v>984</v>
      </c>
      <c r="G2" s="23" t="s">
        <v>830</v>
      </c>
      <c r="H2" s="23" t="s">
        <v>808</v>
      </c>
      <c r="I2" s="23" t="s">
        <v>1107</v>
      </c>
      <c r="J2" s="23" t="s">
        <v>1293</v>
      </c>
      <c r="K2" s="23" t="s">
        <v>1062</v>
      </c>
      <c r="L2" s="23" t="s">
        <v>1111</v>
      </c>
      <c r="M2" s="25" t="s">
        <v>838</v>
      </c>
      <c r="N2" s="23" t="s">
        <v>1292</v>
      </c>
      <c r="O2" s="23" t="s">
        <v>1292</v>
      </c>
      <c r="P2" s="23" t="s">
        <v>1292</v>
      </c>
      <c r="Q2" s="23" t="s">
        <v>1292</v>
      </c>
      <c r="R2" s="23"/>
      <c r="S2" s="23" t="s">
        <v>1308</v>
      </c>
    </row>
    <row r="3" spans="1:19" x14ac:dyDescent="0.45">
      <c r="A3" s="24" t="s">
        <v>1309</v>
      </c>
      <c r="B3" s="23" t="s">
        <v>1310</v>
      </c>
      <c r="C3" s="23" t="s">
        <v>1311</v>
      </c>
      <c r="D3" s="23" t="s">
        <v>1312</v>
      </c>
      <c r="E3" s="23" t="s">
        <v>1313</v>
      </c>
      <c r="F3" s="23" t="s">
        <v>984</v>
      </c>
      <c r="G3" s="23" t="s">
        <v>830</v>
      </c>
      <c r="H3" s="23" t="s">
        <v>783</v>
      </c>
      <c r="I3" s="23" t="s">
        <v>1107</v>
      </c>
      <c r="J3" s="23" t="s">
        <v>1293</v>
      </c>
      <c r="K3" s="23" t="s">
        <v>1062</v>
      </c>
      <c r="L3" s="23" t="s">
        <v>1111</v>
      </c>
      <c r="M3" s="25" t="s">
        <v>838</v>
      </c>
      <c r="N3" s="23" t="s">
        <v>1292</v>
      </c>
      <c r="O3" s="23" t="s">
        <v>1292</v>
      </c>
      <c r="P3" s="23" t="s">
        <v>1292</v>
      </c>
      <c r="Q3" s="23" t="s">
        <v>1292</v>
      </c>
      <c r="R3" s="23"/>
      <c r="S3" s="23" t="s">
        <v>1314</v>
      </c>
    </row>
    <row r="4" spans="1:19" x14ac:dyDescent="0.45">
      <c r="A4" s="24" t="s">
        <v>1315</v>
      </c>
      <c r="B4" s="23" t="s">
        <v>1316</v>
      </c>
      <c r="C4" s="23" t="s">
        <v>1317</v>
      </c>
      <c r="D4" s="23" t="s">
        <v>1318</v>
      </c>
      <c r="E4" s="23" t="s">
        <v>1319</v>
      </c>
      <c r="F4" s="23" t="s">
        <v>984</v>
      </c>
      <c r="G4" s="23" t="s">
        <v>830</v>
      </c>
      <c r="H4" s="23" t="s">
        <v>768</v>
      </c>
      <c r="I4" s="23" t="s">
        <v>1107</v>
      </c>
      <c r="J4" s="23" t="s">
        <v>1293</v>
      </c>
      <c r="K4" s="23" t="s">
        <v>1062</v>
      </c>
      <c r="L4" s="23" t="s">
        <v>1292</v>
      </c>
      <c r="M4" s="25" t="s">
        <v>838</v>
      </c>
      <c r="N4" s="23" t="s">
        <v>1292</v>
      </c>
      <c r="O4" s="23" t="s">
        <v>1292</v>
      </c>
      <c r="P4" s="23" t="s">
        <v>1292</v>
      </c>
      <c r="Q4" s="23" t="s">
        <v>1292</v>
      </c>
      <c r="R4" s="23"/>
      <c r="S4" s="23" t="s">
        <v>1320</v>
      </c>
    </row>
    <row r="5" spans="1:19" x14ac:dyDescent="0.45">
      <c r="A5" s="24" t="s">
        <v>1321</v>
      </c>
      <c r="B5" s="23" t="s">
        <v>1322</v>
      </c>
      <c r="C5" s="23" t="s">
        <v>1323</v>
      </c>
      <c r="D5" s="23" t="s">
        <v>1324</v>
      </c>
      <c r="E5" s="23" t="s">
        <v>1325</v>
      </c>
      <c r="F5" s="23" t="s">
        <v>984</v>
      </c>
      <c r="G5" s="23" t="s">
        <v>830</v>
      </c>
      <c r="H5" s="23" t="s">
        <v>808</v>
      </c>
      <c r="I5" s="23" t="s">
        <v>1107</v>
      </c>
      <c r="J5" s="23" t="s">
        <v>1293</v>
      </c>
      <c r="K5" s="23" t="s">
        <v>1062</v>
      </c>
      <c r="L5" s="23" t="s">
        <v>1292</v>
      </c>
      <c r="M5" s="25" t="s">
        <v>838</v>
      </c>
      <c r="N5" s="23" t="s">
        <v>1292</v>
      </c>
      <c r="O5" s="23" t="s">
        <v>1292</v>
      </c>
      <c r="P5" s="23" t="s">
        <v>1292</v>
      </c>
      <c r="Q5" s="23" t="s">
        <v>1292</v>
      </c>
      <c r="R5" s="23"/>
      <c r="S5" s="23" t="s">
        <v>1326</v>
      </c>
    </row>
    <row r="6" spans="1:19" x14ac:dyDescent="0.45">
      <c r="A6" s="24" t="s">
        <v>1327</v>
      </c>
      <c r="B6" s="23" t="s">
        <v>1328</v>
      </c>
      <c r="C6" s="23" t="s">
        <v>1329</v>
      </c>
      <c r="D6" s="23" t="s">
        <v>1330</v>
      </c>
      <c r="E6" s="23" t="s">
        <v>1331</v>
      </c>
      <c r="F6" s="23" t="s">
        <v>1010</v>
      </c>
      <c r="G6" s="23" t="s">
        <v>1332</v>
      </c>
      <c r="H6" s="23" t="s">
        <v>783</v>
      </c>
      <c r="I6" s="23" t="s">
        <v>1107</v>
      </c>
      <c r="J6" s="23" t="s">
        <v>1293</v>
      </c>
      <c r="K6" s="23" t="s">
        <v>1062</v>
      </c>
      <c r="L6" s="23" t="s">
        <v>1110</v>
      </c>
      <c r="M6" s="25" t="s">
        <v>838</v>
      </c>
      <c r="N6" s="23" t="s">
        <v>1292</v>
      </c>
      <c r="O6" s="23" t="s">
        <v>1292</v>
      </c>
      <c r="P6" s="23" t="s">
        <v>1292</v>
      </c>
      <c r="Q6" s="23" t="s">
        <v>1292</v>
      </c>
      <c r="R6" s="23"/>
      <c r="S6" s="23" t="s">
        <v>1333</v>
      </c>
    </row>
    <row r="7" spans="1:19" x14ac:dyDescent="0.45">
      <c r="A7" s="24" t="s">
        <v>1334</v>
      </c>
      <c r="B7" s="23" t="s">
        <v>1335</v>
      </c>
      <c r="C7" s="23" t="s">
        <v>1336</v>
      </c>
      <c r="D7" s="23" t="s">
        <v>1337</v>
      </c>
      <c r="E7" s="23" t="s">
        <v>1338</v>
      </c>
      <c r="F7" s="23" t="s">
        <v>987</v>
      </c>
      <c r="G7" s="23" t="s">
        <v>1332</v>
      </c>
      <c r="H7" s="23" t="s">
        <v>768</v>
      </c>
      <c r="I7" s="23" t="s">
        <v>1107</v>
      </c>
      <c r="J7" s="23" t="s">
        <v>1293</v>
      </c>
      <c r="K7" s="23" t="s">
        <v>1062</v>
      </c>
      <c r="L7" s="23" t="s">
        <v>1110</v>
      </c>
      <c r="M7" s="25" t="s">
        <v>838</v>
      </c>
      <c r="N7" s="23" t="s">
        <v>1292</v>
      </c>
      <c r="O7" s="23" t="s">
        <v>1292</v>
      </c>
      <c r="P7" s="23" t="s">
        <v>1292</v>
      </c>
      <c r="Q7" s="23" t="s">
        <v>1292</v>
      </c>
      <c r="R7" s="23"/>
      <c r="S7" s="23" t="s">
        <v>1333</v>
      </c>
    </row>
    <row r="8" spans="1:19" x14ac:dyDescent="0.45">
      <c r="A8" s="24" t="s">
        <v>1400</v>
      </c>
      <c r="B8" s="23" t="s">
        <v>1342</v>
      </c>
      <c r="C8" s="23" t="s">
        <v>1343</v>
      </c>
      <c r="D8" s="23" t="s">
        <v>1344</v>
      </c>
      <c r="E8" s="23" t="s">
        <v>1345</v>
      </c>
      <c r="F8" s="23" t="s">
        <v>984</v>
      </c>
      <c r="G8" s="23" t="s">
        <v>1346</v>
      </c>
      <c r="H8" s="23" t="s">
        <v>808</v>
      </c>
      <c r="I8" s="23" t="s">
        <v>1107</v>
      </c>
      <c r="J8" s="23" t="s">
        <v>1293</v>
      </c>
      <c r="K8" s="23" t="s">
        <v>1062</v>
      </c>
      <c r="L8" s="23" t="s">
        <v>1110</v>
      </c>
      <c r="M8" s="25" t="s">
        <v>838</v>
      </c>
      <c r="N8" s="23" t="s">
        <v>1292</v>
      </c>
      <c r="O8" s="23" t="s">
        <v>1292</v>
      </c>
      <c r="P8" s="23" t="s">
        <v>1292</v>
      </c>
      <c r="Q8" s="23" t="s">
        <v>1292</v>
      </c>
      <c r="R8" s="23"/>
      <c r="S8" s="23" t="s">
        <v>1347</v>
      </c>
    </row>
    <row r="9" spans="1:19" x14ac:dyDescent="0.45">
      <c r="A9" s="24" t="s">
        <v>1339</v>
      </c>
      <c r="B9" s="23" t="s">
        <v>1349</v>
      </c>
      <c r="C9" s="23" t="s">
        <v>1350</v>
      </c>
      <c r="D9" s="23" t="s">
        <v>1351</v>
      </c>
      <c r="E9" s="23" t="s">
        <v>1352</v>
      </c>
      <c r="F9" s="23" t="s">
        <v>984</v>
      </c>
      <c r="G9" s="23" t="s">
        <v>1353</v>
      </c>
      <c r="H9" s="23" t="s">
        <v>783</v>
      </c>
      <c r="I9" s="23" t="s">
        <v>1107</v>
      </c>
      <c r="J9" s="23" t="s">
        <v>1293</v>
      </c>
      <c r="K9" s="23" t="s">
        <v>1062</v>
      </c>
      <c r="L9" s="23" t="s">
        <v>1110</v>
      </c>
      <c r="M9" s="25" t="s">
        <v>838</v>
      </c>
      <c r="N9" s="23" t="s">
        <v>1292</v>
      </c>
      <c r="O9" s="23" t="s">
        <v>1292</v>
      </c>
      <c r="P9" s="23" t="s">
        <v>1292</v>
      </c>
      <c r="Q9" s="23" t="s">
        <v>1292</v>
      </c>
      <c r="R9" s="23"/>
      <c r="S9" s="23" t="s">
        <v>1347</v>
      </c>
    </row>
    <row r="10" spans="1:19" x14ac:dyDescent="0.45">
      <c r="A10" s="24" t="s">
        <v>1340</v>
      </c>
      <c r="B10" s="23" t="s">
        <v>1355</v>
      </c>
      <c r="C10" s="23" t="s">
        <v>1356</v>
      </c>
      <c r="D10" s="23" t="s">
        <v>1357</v>
      </c>
      <c r="E10" s="23" t="s">
        <v>1358</v>
      </c>
      <c r="F10" s="23" t="s">
        <v>984</v>
      </c>
      <c r="G10" s="23" t="s">
        <v>1346</v>
      </c>
      <c r="H10" s="23" t="s">
        <v>768</v>
      </c>
      <c r="I10" s="23" t="s">
        <v>1107</v>
      </c>
      <c r="J10" s="23" t="s">
        <v>1293</v>
      </c>
      <c r="K10" s="23" t="s">
        <v>1062</v>
      </c>
      <c r="L10" s="23" t="s">
        <v>1110</v>
      </c>
      <c r="M10" s="25" t="s">
        <v>838</v>
      </c>
      <c r="N10" s="23" t="s">
        <v>1292</v>
      </c>
      <c r="O10" s="23" t="s">
        <v>1292</v>
      </c>
      <c r="P10" s="23" t="s">
        <v>1292</v>
      </c>
      <c r="Q10" s="23" t="s">
        <v>1292</v>
      </c>
      <c r="R10" s="23"/>
      <c r="S10" s="23" t="s">
        <v>1359</v>
      </c>
    </row>
    <row r="11" spans="1:19" x14ac:dyDescent="0.45">
      <c r="A11" s="24" t="s">
        <v>1341</v>
      </c>
      <c r="B11" s="23" t="s">
        <v>1363</v>
      </c>
      <c r="C11" s="23" t="s">
        <v>1364</v>
      </c>
      <c r="D11" s="23" t="s">
        <v>1365</v>
      </c>
      <c r="E11" s="23" t="s">
        <v>1366</v>
      </c>
      <c r="F11" s="23" t="s">
        <v>984</v>
      </c>
      <c r="G11" s="23" t="s">
        <v>1367</v>
      </c>
      <c r="H11" s="23" t="s">
        <v>808</v>
      </c>
      <c r="I11" s="23" t="s">
        <v>1107</v>
      </c>
      <c r="J11" s="23" t="s">
        <v>1292</v>
      </c>
      <c r="K11" s="23" t="s">
        <v>1062</v>
      </c>
      <c r="L11" s="23" t="s">
        <v>1110</v>
      </c>
      <c r="M11" s="23" t="s">
        <v>838</v>
      </c>
      <c r="N11" s="23" t="s">
        <v>1292</v>
      </c>
      <c r="O11" s="23" t="s">
        <v>1292</v>
      </c>
      <c r="P11" s="23" t="s">
        <v>1292</v>
      </c>
      <c r="Q11" s="23">
        <v>1</v>
      </c>
      <c r="R11" s="23" t="s">
        <v>1292</v>
      </c>
      <c r="S11" s="23" t="s">
        <v>1292</v>
      </c>
    </row>
    <row r="12" spans="1:19" x14ac:dyDescent="0.45">
      <c r="A12" s="24" t="s">
        <v>1348</v>
      </c>
      <c r="B12" s="23" t="s">
        <v>1368</v>
      </c>
      <c r="C12" s="23" t="s">
        <v>1369</v>
      </c>
      <c r="D12" s="23" t="s">
        <v>1370</v>
      </c>
      <c r="E12" s="23" t="s">
        <v>1371</v>
      </c>
      <c r="F12" s="23" t="s">
        <v>990</v>
      </c>
      <c r="G12" s="23" t="s">
        <v>1367</v>
      </c>
      <c r="H12" s="23" t="s">
        <v>808</v>
      </c>
      <c r="I12" s="23" t="s">
        <v>1107</v>
      </c>
      <c r="J12" s="23" t="s">
        <v>1292</v>
      </c>
      <c r="K12" s="23" t="s">
        <v>1062</v>
      </c>
      <c r="L12" s="23" t="s">
        <v>1110</v>
      </c>
      <c r="M12" s="23" t="s">
        <v>838</v>
      </c>
      <c r="N12" s="23" t="s">
        <v>1292</v>
      </c>
      <c r="O12" s="23" t="s">
        <v>1292</v>
      </c>
      <c r="P12" s="23" t="s">
        <v>1292</v>
      </c>
      <c r="Q12" s="23">
        <v>1</v>
      </c>
      <c r="R12" s="23" t="s">
        <v>1292</v>
      </c>
      <c r="S12" s="23" t="s">
        <v>1372</v>
      </c>
    </row>
    <row r="13" spans="1:19" x14ac:dyDescent="0.45">
      <c r="A13" s="24" t="s">
        <v>1354</v>
      </c>
      <c r="B13" s="23" t="s">
        <v>1373</v>
      </c>
      <c r="C13" s="23" t="s">
        <v>1374</v>
      </c>
      <c r="D13" s="23" t="s">
        <v>1375</v>
      </c>
      <c r="E13" s="23" t="s">
        <v>1376</v>
      </c>
      <c r="F13" s="23" t="s">
        <v>990</v>
      </c>
      <c r="G13" s="23" t="s">
        <v>1367</v>
      </c>
      <c r="H13" s="23" t="s">
        <v>808</v>
      </c>
      <c r="I13" s="23" t="s">
        <v>1107</v>
      </c>
      <c r="J13" s="23" t="s">
        <v>1292</v>
      </c>
      <c r="K13" s="23" t="s">
        <v>1062</v>
      </c>
      <c r="L13" s="23" t="s">
        <v>1110</v>
      </c>
      <c r="M13" s="23" t="s">
        <v>838</v>
      </c>
      <c r="N13" s="23" t="s">
        <v>1292</v>
      </c>
      <c r="O13" s="23" t="s">
        <v>1292</v>
      </c>
      <c r="P13" s="23" t="s">
        <v>1292</v>
      </c>
      <c r="Q13" s="23">
        <v>1</v>
      </c>
      <c r="R13" s="23" t="s">
        <v>1292</v>
      </c>
      <c r="S13" s="23" t="s">
        <v>1292</v>
      </c>
    </row>
    <row r="14" spans="1:19" x14ac:dyDescent="0.45">
      <c r="A14" s="24" t="s">
        <v>1360</v>
      </c>
      <c r="B14" s="23" t="s">
        <v>1377</v>
      </c>
      <c r="C14" s="23" t="s">
        <v>1378</v>
      </c>
      <c r="D14" s="23" t="s">
        <v>1379</v>
      </c>
      <c r="E14" s="23" t="s">
        <v>1380</v>
      </c>
      <c r="F14" s="23" t="s">
        <v>984</v>
      </c>
      <c r="G14" s="23" t="s">
        <v>1367</v>
      </c>
      <c r="H14" s="23" t="s">
        <v>808</v>
      </c>
      <c r="I14" s="23" t="s">
        <v>1107</v>
      </c>
      <c r="J14" s="23" t="s">
        <v>1292</v>
      </c>
      <c r="K14" s="23" t="s">
        <v>1062</v>
      </c>
      <c r="L14" s="23" t="s">
        <v>1110</v>
      </c>
      <c r="M14" s="23" t="s">
        <v>838</v>
      </c>
      <c r="N14" s="23" t="s">
        <v>1292</v>
      </c>
      <c r="O14" s="23" t="s">
        <v>1381</v>
      </c>
      <c r="P14" s="23" t="s">
        <v>1292</v>
      </c>
      <c r="Q14" s="23">
        <v>1</v>
      </c>
      <c r="R14" s="23" t="s">
        <v>1292</v>
      </c>
      <c r="S14" s="23" t="s">
        <v>1382</v>
      </c>
    </row>
    <row r="15" spans="1:19" x14ac:dyDescent="0.45">
      <c r="A15" s="24" t="s">
        <v>1361</v>
      </c>
      <c r="B15" s="23" t="s">
        <v>1383</v>
      </c>
      <c r="C15" s="23" t="s">
        <v>1384</v>
      </c>
      <c r="D15" s="23" t="s">
        <v>1385</v>
      </c>
      <c r="E15" s="23" t="s">
        <v>1386</v>
      </c>
      <c r="F15" s="23" t="s">
        <v>990</v>
      </c>
      <c r="G15" s="23" t="s">
        <v>1367</v>
      </c>
      <c r="H15" s="23" t="s">
        <v>808</v>
      </c>
      <c r="I15" s="23" t="s">
        <v>1107</v>
      </c>
      <c r="J15" s="23" t="s">
        <v>1292</v>
      </c>
      <c r="K15" s="23" t="s">
        <v>1062</v>
      </c>
      <c r="L15" s="23" t="s">
        <v>1110</v>
      </c>
      <c r="M15" s="23" t="s">
        <v>838</v>
      </c>
      <c r="N15" s="23" t="s">
        <v>1292</v>
      </c>
      <c r="O15" s="23" t="s">
        <v>1387</v>
      </c>
      <c r="P15" s="23" t="s">
        <v>1292</v>
      </c>
      <c r="Q15" s="23">
        <v>1</v>
      </c>
      <c r="R15" s="23" t="s">
        <v>1292</v>
      </c>
      <c r="S15" s="23" t="s">
        <v>1388</v>
      </c>
    </row>
    <row r="16" spans="1:19" x14ac:dyDescent="0.45">
      <c r="A16" s="24" t="s">
        <v>1401</v>
      </c>
      <c r="B16" s="23" t="s">
        <v>1402</v>
      </c>
      <c r="C16" s="23" t="s">
        <v>1389</v>
      </c>
      <c r="D16" s="23" t="s">
        <v>1390</v>
      </c>
      <c r="E16" s="23" t="s">
        <v>1391</v>
      </c>
      <c r="F16" s="23" t="s">
        <v>990</v>
      </c>
      <c r="G16" s="23" t="s">
        <v>1367</v>
      </c>
      <c r="H16" s="23" t="s">
        <v>808</v>
      </c>
      <c r="I16" s="23" t="s">
        <v>1107</v>
      </c>
      <c r="J16" s="23" t="s">
        <v>1292</v>
      </c>
      <c r="K16" s="23" t="s">
        <v>1062</v>
      </c>
      <c r="L16" s="23" t="s">
        <v>1110</v>
      </c>
      <c r="M16" s="23" t="s">
        <v>838</v>
      </c>
      <c r="N16" s="23" t="s">
        <v>1292</v>
      </c>
      <c r="O16" s="23" t="s">
        <v>1392</v>
      </c>
      <c r="P16" s="23" t="s">
        <v>1292</v>
      </c>
      <c r="Q16" s="23">
        <v>1</v>
      </c>
      <c r="R16" s="23" t="s">
        <v>1292</v>
      </c>
      <c r="S16" s="23" t="s">
        <v>1393</v>
      </c>
    </row>
    <row r="17" spans="1:19" x14ac:dyDescent="0.45">
      <c r="A17" s="24" t="s">
        <v>1362</v>
      </c>
      <c r="B17" s="23" t="s">
        <v>1394</v>
      </c>
      <c r="C17" s="23" t="s">
        <v>1395</v>
      </c>
      <c r="D17" s="23" t="s">
        <v>1396</v>
      </c>
      <c r="E17" s="23" t="s">
        <v>1397</v>
      </c>
      <c r="F17" s="23" t="s">
        <v>1010</v>
      </c>
      <c r="G17" s="23" t="s">
        <v>1367</v>
      </c>
      <c r="H17" s="23" t="s">
        <v>808</v>
      </c>
      <c r="I17" s="23" t="s">
        <v>1107</v>
      </c>
      <c r="J17" s="23" t="s">
        <v>1292</v>
      </c>
      <c r="K17" s="23" t="s">
        <v>1062</v>
      </c>
      <c r="L17" s="23" t="s">
        <v>1110</v>
      </c>
      <c r="M17" s="23" t="s">
        <v>838</v>
      </c>
      <c r="N17" s="23" t="s">
        <v>1292</v>
      </c>
      <c r="O17" s="23" t="s">
        <v>1398</v>
      </c>
      <c r="P17" s="23" t="s">
        <v>1292</v>
      </c>
      <c r="Q17" s="23">
        <v>1</v>
      </c>
      <c r="R17" s="23" t="s">
        <v>1292</v>
      </c>
      <c r="S17" s="23" t="s">
        <v>1399</v>
      </c>
    </row>
  </sheetData>
  <conditionalFormatting sqref="Q1:Q17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73AA-5A3B-40E8-AF78-92D2D5A4E9BC}">
  <dimension ref="A1:P19"/>
  <sheetViews>
    <sheetView workbookViewId="0">
      <selection activeCell="B12" sqref="B12"/>
    </sheetView>
  </sheetViews>
  <sheetFormatPr defaultColWidth="13.06640625" defaultRowHeight="14.25" x14ac:dyDescent="0.45"/>
  <cols>
    <col min="1" max="1" width="21.6640625" style="5" customWidth="1"/>
    <col min="2" max="6" width="12.33203125" style="5" customWidth="1"/>
    <col min="7" max="7" width="12.33203125" customWidth="1"/>
    <col min="8" max="10" width="12.33203125" style="5" customWidth="1"/>
    <col min="11" max="11" width="12.33203125" customWidth="1"/>
    <col min="12" max="14" width="12.33203125" style="5" customWidth="1"/>
    <col min="15" max="15" width="32.19921875" style="5" customWidth="1"/>
    <col min="16" max="16" width="12.33203125" style="5" customWidth="1"/>
    <col min="17" max="16384" width="13.06640625" style="5"/>
  </cols>
  <sheetData>
    <row r="1" spans="1:16" x14ac:dyDescent="0.45">
      <c r="A1" s="5" t="s">
        <v>1117</v>
      </c>
      <c r="B1" s="18" t="s">
        <v>1118</v>
      </c>
      <c r="C1" s="2" t="s">
        <v>1101</v>
      </c>
      <c r="D1" s="2" t="s">
        <v>1102</v>
      </c>
      <c r="E1" s="2" t="s">
        <v>1103</v>
      </c>
      <c r="F1" s="2" t="s">
        <v>1104</v>
      </c>
      <c r="G1" s="2" t="s">
        <v>1105</v>
      </c>
      <c r="H1" s="2" t="s">
        <v>1106</v>
      </c>
      <c r="I1" s="2" t="s">
        <v>1121</v>
      </c>
      <c r="J1" s="5" t="s">
        <v>1122</v>
      </c>
      <c r="K1" s="2" t="s">
        <v>1119</v>
      </c>
      <c r="L1" s="5" t="s">
        <v>1120</v>
      </c>
      <c r="M1" s="2" t="s">
        <v>1108</v>
      </c>
      <c r="N1" s="20" t="s">
        <v>1109</v>
      </c>
      <c r="O1" s="2" t="s">
        <v>1113</v>
      </c>
      <c r="P1" s="20" t="s">
        <v>1114</v>
      </c>
    </row>
    <row r="2" spans="1:16" x14ac:dyDescent="0.45">
      <c r="A2" s="5" t="s">
        <v>984</v>
      </c>
      <c r="B2" s="19">
        <f>0.22*0.64</f>
        <v>0.14080000000000001</v>
      </c>
      <c r="C2" s="2" t="s">
        <v>830</v>
      </c>
      <c r="D2" s="2">
        <v>0.18</v>
      </c>
      <c r="E2" s="5" t="s">
        <v>1116</v>
      </c>
      <c r="F2" s="5">
        <v>0.05</v>
      </c>
      <c r="G2" s="2" t="s">
        <v>1107</v>
      </c>
      <c r="H2" s="2">
        <v>0.7</v>
      </c>
      <c r="I2"/>
      <c r="J2" s="5">
        <v>0.9</v>
      </c>
      <c r="K2" t="s">
        <v>1062</v>
      </c>
      <c r="L2" s="5">
        <v>0.93</v>
      </c>
      <c r="M2" s="2" t="s">
        <v>1110</v>
      </c>
      <c r="N2" s="20">
        <v>0.85</v>
      </c>
      <c r="O2" s="5" t="s">
        <v>972</v>
      </c>
      <c r="P2" s="18">
        <v>0.15</v>
      </c>
    </row>
    <row r="3" spans="1:16" x14ac:dyDescent="0.45">
      <c r="A3" s="5" t="s">
        <v>985</v>
      </c>
      <c r="B3" s="19">
        <f>0.19*0.64</f>
        <v>0.1216</v>
      </c>
      <c r="C3" s="2" t="s">
        <v>831</v>
      </c>
      <c r="D3" s="2">
        <v>0.35</v>
      </c>
      <c r="E3" s="2" t="s">
        <v>808</v>
      </c>
      <c r="F3" s="2">
        <v>0.55000000000000004</v>
      </c>
      <c r="G3" s="2" t="s">
        <v>806</v>
      </c>
      <c r="H3" s="2">
        <v>0.3</v>
      </c>
      <c r="I3" t="s">
        <v>784</v>
      </c>
      <c r="J3" s="5">
        <v>0.1</v>
      </c>
      <c r="K3" t="s">
        <v>1082</v>
      </c>
      <c r="L3" s="5">
        <v>7.0000000000000007E-2</v>
      </c>
      <c r="M3" s="2" t="s">
        <v>1111</v>
      </c>
      <c r="N3" s="20">
        <v>0.15</v>
      </c>
      <c r="O3" s="2" t="s">
        <v>838</v>
      </c>
      <c r="P3" s="20">
        <v>0.6</v>
      </c>
    </row>
    <row r="4" spans="1:16" x14ac:dyDescent="0.45">
      <c r="A4" s="5" t="s">
        <v>1010</v>
      </c>
      <c r="B4" s="19">
        <f>0.59*0.64*1/4</f>
        <v>9.4399999999999998E-2</v>
      </c>
      <c r="C4" s="2" t="s">
        <v>832</v>
      </c>
      <c r="D4" s="2">
        <v>0.27</v>
      </c>
      <c r="E4" s="2" t="s">
        <v>768</v>
      </c>
      <c r="F4" s="20">
        <v>0.2</v>
      </c>
      <c r="O4" s="2" t="s">
        <v>1115</v>
      </c>
      <c r="P4" s="20">
        <v>0.15</v>
      </c>
    </row>
    <row r="5" spans="1:16" x14ac:dyDescent="0.45">
      <c r="A5" s="5" t="s">
        <v>990</v>
      </c>
      <c r="B5" s="19">
        <f>0.59*0.64*1/4</f>
        <v>9.4399999999999998E-2</v>
      </c>
      <c r="C5" s="2" t="s">
        <v>833</v>
      </c>
      <c r="D5" s="2">
        <v>7.0000000000000007E-2</v>
      </c>
      <c r="E5" s="2" t="s">
        <v>783</v>
      </c>
      <c r="F5" s="20">
        <v>0.2</v>
      </c>
      <c r="O5" s="2" t="s">
        <v>837</v>
      </c>
      <c r="P5" s="20">
        <v>0.05</v>
      </c>
    </row>
    <row r="6" spans="1:16" x14ac:dyDescent="0.45">
      <c r="A6" t="s">
        <v>988</v>
      </c>
      <c r="B6" s="19">
        <f>0.59*0.64*1/4</f>
        <v>9.4399999999999998E-2</v>
      </c>
      <c r="C6" s="2" t="s">
        <v>834</v>
      </c>
      <c r="D6" s="20">
        <v>0.09</v>
      </c>
      <c r="E6" s="15"/>
      <c r="O6" s="2" t="s">
        <v>835</v>
      </c>
      <c r="P6" s="20">
        <v>0.05</v>
      </c>
    </row>
    <row r="7" spans="1:16" x14ac:dyDescent="0.45">
      <c r="A7" t="s">
        <v>989</v>
      </c>
      <c r="B7" s="19">
        <f>0.59*0.64*1/4</f>
        <v>9.4399999999999998E-2</v>
      </c>
      <c r="C7" s="2" t="s">
        <v>927</v>
      </c>
      <c r="D7" s="20">
        <v>0.04</v>
      </c>
    </row>
    <row r="8" spans="1:16" x14ac:dyDescent="0.45">
      <c r="A8" s="5" t="s">
        <v>971</v>
      </c>
      <c r="B8" s="19">
        <f>0.22*0.36</f>
        <v>7.9199999999999993E-2</v>
      </c>
    </row>
    <row r="9" spans="1:16" x14ac:dyDescent="0.45">
      <c r="A9" s="5" t="s">
        <v>986</v>
      </c>
      <c r="B9" s="19">
        <f>0.19*0.36</f>
        <v>6.8400000000000002E-2</v>
      </c>
      <c r="D9" s="6"/>
      <c r="E9" s="6"/>
    </row>
    <row r="10" spans="1:16" x14ac:dyDescent="0.45">
      <c r="A10" s="5" t="s">
        <v>987</v>
      </c>
      <c r="B10" s="19">
        <f t="shared" ref="B10:B15" si="0">0.59*0.36*1/6</f>
        <v>3.5399999999999994E-2</v>
      </c>
      <c r="D10" s="6"/>
      <c r="E10" s="15"/>
    </row>
    <row r="11" spans="1:16" x14ac:dyDescent="0.45">
      <c r="A11" t="s">
        <v>993</v>
      </c>
      <c r="B11" s="19">
        <f t="shared" si="0"/>
        <v>3.5399999999999994E-2</v>
      </c>
      <c r="D11" s="6"/>
      <c r="E11" s="15"/>
    </row>
    <row r="12" spans="1:16" x14ac:dyDescent="0.45">
      <c r="A12" t="s">
        <v>994</v>
      </c>
      <c r="B12" s="19">
        <f t="shared" si="0"/>
        <v>3.5399999999999994E-2</v>
      </c>
      <c r="D12" s="6"/>
      <c r="E12" s="15"/>
    </row>
    <row r="13" spans="1:16" x14ac:dyDescent="0.45">
      <c r="A13" s="9" t="s">
        <v>992</v>
      </c>
      <c r="B13" s="21">
        <f t="shared" si="0"/>
        <v>3.5399999999999994E-2</v>
      </c>
    </row>
    <row r="14" spans="1:16" x14ac:dyDescent="0.45">
      <c r="A14" s="9" t="s">
        <v>995</v>
      </c>
      <c r="B14" s="21">
        <f t="shared" si="0"/>
        <v>3.5399999999999994E-2</v>
      </c>
    </row>
    <row r="15" spans="1:16" x14ac:dyDescent="0.45">
      <c r="A15" t="s">
        <v>991</v>
      </c>
      <c r="B15" s="19">
        <f t="shared" si="0"/>
        <v>3.5399999999999994E-2</v>
      </c>
    </row>
    <row r="18" spans="1:2" x14ac:dyDescent="0.45">
      <c r="A18" s="17" t="s">
        <v>1125</v>
      </c>
      <c r="B18" s="7">
        <f>SUM(full_list!P:P)</f>
        <v>1.3606989552255466</v>
      </c>
    </row>
    <row r="19" spans="1:2" x14ac:dyDescent="0.45">
      <c r="A19" s="17" t="s">
        <v>1126</v>
      </c>
      <c r="B19" s="7">
        <f>1/B18</f>
        <v>0.73491641641941441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01D3-7EF2-47A0-9F96-F1A23C450866}">
  <dimension ref="A1:F42"/>
  <sheetViews>
    <sheetView workbookViewId="0">
      <selection activeCell="A2" sqref="A2"/>
    </sheetView>
  </sheetViews>
  <sheetFormatPr defaultRowHeight="14.25" x14ac:dyDescent="0.45"/>
  <cols>
    <col min="2" max="4" width="27.796875" customWidth="1"/>
    <col min="5" max="5" width="23.86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250</v>
      </c>
      <c r="E1" s="1" t="s">
        <v>3</v>
      </c>
      <c r="F1" s="1" t="s">
        <v>4</v>
      </c>
    </row>
    <row r="2" spans="1:6" x14ac:dyDescent="0.45">
      <c r="A2" t="s">
        <v>385</v>
      </c>
      <c r="C2" t="s">
        <v>303</v>
      </c>
      <c r="D2" t="s">
        <v>304</v>
      </c>
      <c r="E2" t="s">
        <v>299</v>
      </c>
      <c r="F2" t="s">
        <v>426</v>
      </c>
    </row>
    <row r="3" spans="1:6" x14ac:dyDescent="0.45">
      <c r="A3" t="s">
        <v>386</v>
      </c>
      <c r="C3" t="s">
        <v>305</v>
      </c>
      <c r="D3" t="s">
        <v>306</v>
      </c>
      <c r="E3" t="s">
        <v>299</v>
      </c>
      <c r="F3" t="s">
        <v>427</v>
      </c>
    </row>
    <row r="4" spans="1:6" x14ac:dyDescent="0.45">
      <c r="A4" t="s">
        <v>387</v>
      </c>
      <c r="C4" t="s">
        <v>307</v>
      </c>
      <c r="D4" t="s">
        <v>308</v>
      </c>
      <c r="E4" t="s">
        <v>299</v>
      </c>
      <c r="F4" t="s">
        <v>428</v>
      </c>
    </row>
    <row r="5" spans="1:6" x14ac:dyDescent="0.45">
      <c r="A5" t="s">
        <v>388</v>
      </c>
      <c r="C5" t="s">
        <v>309</v>
      </c>
      <c r="D5" t="s">
        <v>310</v>
      </c>
      <c r="E5" t="s">
        <v>299</v>
      </c>
      <c r="F5" t="s">
        <v>429</v>
      </c>
    </row>
    <row r="6" spans="1:6" x14ac:dyDescent="0.45">
      <c r="A6" t="s">
        <v>389</v>
      </c>
      <c r="C6" t="s">
        <v>311</v>
      </c>
      <c r="D6" t="s">
        <v>312</v>
      </c>
      <c r="E6" t="s">
        <v>299</v>
      </c>
      <c r="F6" t="s">
        <v>430</v>
      </c>
    </row>
    <row r="7" spans="1:6" x14ac:dyDescent="0.45">
      <c r="A7" t="s">
        <v>390</v>
      </c>
      <c r="C7" t="s">
        <v>313</v>
      </c>
      <c r="D7" t="s">
        <v>314</v>
      </c>
      <c r="E7" t="s">
        <v>299</v>
      </c>
      <c r="F7" t="s">
        <v>431</v>
      </c>
    </row>
    <row r="8" spans="1:6" x14ac:dyDescent="0.45">
      <c r="A8" t="s">
        <v>391</v>
      </c>
      <c r="C8" t="s">
        <v>315</v>
      </c>
      <c r="D8" t="s">
        <v>316</v>
      </c>
      <c r="E8" t="s">
        <v>299</v>
      </c>
      <c r="F8" t="s">
        <v>432</v>
      </c>
    </row>
    <row r="9" spans="1:6" x14ac:dyDescent="0.45">
      <c r="A9" t="s">
        <v>392</v>
      </c>
      <c r="C9" t="s">
        <v>317</v>
      </c>
      <c r="D9" t="s">
        <v>318</v>
      </c>
      <c r="E9" t="s">
        <v>299</v>
      </c>
      <c r="F9" t="s">
        <v>433</v>
      </c>
    </row>
    <row r="10" spans="1:6" x14ac:dyDescent="0.45">
      <c r="A10" t="s">
        <v>393</v>
      </c>
      <c r="C10" t="s">
        <v>319</v>
      </c>
      <c r="D10" t="s">
        <v>320</v>
      </c>
      <c r="E10" t="s">
        <v>299</v>
      </c>
      <c r="F10" t="s">
        <v>434</v>
      </c>
    </row>
    <row r="11" spans="1:6" x14ac:dyDescent="0.45">
      <c r="A11" t="s">
        <v>394</v>
      </c>
      <c r="C11" t="s">
        <v>321</v>
      </c>
      <c r="D11" t="s">
        <v>322</v>
      </c>
      <c r="E11" t="s">
        <v>299</v>
      </c>
      <c r="F11" t="s">
        <v>435</v>
      </c>
    </row>
    <row r="12" spans="1:6" x14ac:dyDescent="0.45">
      <c r="A12" t="s">
        <v>395</v>
      </c>
      <c r="C12" t="s">
        <v>323</v>
      </c>
      <c r="D12" t="s">
        <v>324</v>
      </c>
      <c r="E12" t="s">
        <v>300</v>
      </c>
      <c r="F12" t="s">
        <v>436</v>
      </c>
    </row>
    <row r="13" spans="1:6" x14ac:dyDescent="0.45">
      <c r="A13" t="s">
        <v>396</v>
      </c>
      <c r="C13" t="s">
        <v>325</v>
      </c>
      <c r="D13" t="s">
        <v>326</v>
      </c>
      <c r="E13" t="s">
        <v>300</v>
      </c>
      <c r="F13" t="s">
        <v>437</v>
      </c>
    </row>
    <row r="14" spans="1:6" x14ac:dyDescent="0.45">
      <c r="A14" t="s">
        <v>397</v>
      </c>
      <c r="C14" t="s">
        <v>327</v>
      </c>
      <c r="D14" t="s">
        <v>328</v>
      </c>
      <c r="E14" t="s">
        <v>300</v>
      </c>
      <c r="F14" t="s">
        <v>438</v>
      </c>
    </row>
    <row r="15" spans="1:6" x14ac:dyDescent="0.45">
      <c r="A15" t="s">
        <v>398</v>
      </c>
      <c r="C15" t="s">
        <v>329</v>
      </c>
      <c r="D15" t="s">
        <v>330</v>
      </c>
      <c r="E15" t="s">
        <v>300</v>
      </c>
      <c r="F15" t="s">
        <v>439</v>
      </c>
    </row>
    <row r="16" spans="1:6" x14ac:dyDescent="0.45">
      <c r="A16" t="s">
        <v>399</v>
      </c>
      <c r="C16" t="s">
        <v>331</v>
      </c>
      <c r="D16" t="s">
        <v>332</v>
      </c>
      <c r="E16" t="s">
        <v>300</v>
      </c>
      <c r="F16" t="s">
        <v>440</v>
      </c>
    </row>
    <row r="17" spans="1:6" x14ac:dyDescent="0.45">
      <c r="A17" t="s">
        <v>400</v>
      </c>
      <c r="C17" t="s">
        <v>333</v>
      </c>
      <c r="D17" t="s">
        <v>334</v>
      </c>
      <c r="E17" t="s">
        <v>300</v>
      </c>
      <c r="F17" t="s">
        <v>441</v>
      </c>
    </row>
    <row r="18" spans="1:6" x14ac:dyDescent="0.45">
      <c r="A18" t="s">
        <v>401</v>
      </c>
      <c r="C18" t="s">
        <v>335</v>
      </c>
      <c r="D18" t="s">
        <v>336</v>
      </c>
      <c r="E18" t="s">
        <v>300</v>
      </c>
      <c r="F18" t="s">
        <v>442</v>
      </c>
    </row>
    <row r="19" spans="1:6" x14ac:dyDescent="0.45">
      <c r="A19" t="s">
        <v>402</v>
      </c>
      <c r="C19" t="s">
        <v>337</v>
      </c>
      <c r="D19" t="s">
        <v>338</v>
      </c>
      <c r="E19" t="s">
        <v>300</v>
      </c>
      <c r="F19" t="s">
        <v>443</v>
      </c>
    </row>
    <row r="20" spans="1:6" x14ac:dyDescent="0.45">
      <c r="A20" t="s">
        <v>403</v>
      </c>
      <c r="C20" t="s">
        <v>339</v>
      </c>
      <c r="D20" t="s">
        <v>340</v>
      </c>
      <c r="E20" t="s">
        <v>300</v>
      </c>
      <c r="F20" t="s">
        <v>444</v>
      </c>
    </row>
    <row r="21" spans="1:6" x14ac:dyDescent="0.45">
      <c r="A21" t="s">
        <v>404</v>
      </c>
      <c r="C21" t="s">
        <v>341</v>
      </c>
      <c r="D21" t="s">
        <v>342</v>
      </c>
      <c r="E21" t="s">
        <v>300</v>
      </c>
      <c r="F21" t="s">
        <v>445</v>
      </c>
    </row>
    <row r="22" spans="1:6" x14ac:dyDescent="0.45">
      <c r="A22" t="s">
        <v>405</v>
      </c>
      <c r="C22" t="s">
        <v>343</v>
      </c>
      <c r="D22" t="s">
        <v>344</v>
      </c>
      <c r="E22" t="s">
        <v>301</v>
      </c>
      <c r="F22" t="s">
        <v>446</v>
      </c>
    </row>
    <row r="23" spans="1:6" x14ac:dyDescent="0.45">
      <c r="A23" t="s">
        <v>406</v>
      </c>
      <c r="C23" t="s">
        <v>345</v>
      </c>
      <c r="D23" t="s">
        <v>346</v>
      </c>
      <c r="E23" t="s">
        <v>301</v>
      </c>
      <c r="F23" t="s">
        <v>447</v>
      </c>
    </row>
    <row r="24" spans="1:6" x14ac:dyDescent="0.45">
      <c r="A24" t="s">
        <v>407</v>
      </c>
      <c r="C24" t="s">
        <v>347</v>
      </c>
      <c r="D24" t="s">
        <v>348</v>
      </c>
      <c r="E24" t="s">
        <v>301</v>
      </c>
      <c r="F24" t="s">
        <v>448</v>
      </c>
    </row>
    <row r="25" spans="1:6" x14ac:dyDescent="0.45">
      <c r="A25" t="s">
        <v>408</v>
      </c>
      <c r="C25" t="s">
        <v>349</v>
      </c>
      <c r="D25" t="s">
        <v>350</v>
      </c>
      <c r="E25" t="s">
        <v>301</v>
      </c>
      <c r="F25" t="s">
        <v>449</v>
      </c>
    </row>
    <row r="26" spans="1:6" x14ac:dyDescent="0.45">
      <c r="A26" t="s">
        <v>409</v>
      </c>
      <c r="C26" t="s">
        <v>351</v>
      </c>
      <c r="D26" t="s">
        <v>352</v>
      </c>
      <c r="E26" t="s">
        <v>301</v>
      </c>
      <c r="F26" t="s">
        <v>450</v>
      </c>
    </row>
    <row r="27" spans="1:6" x14ac:dyDescent="0.45">
      <c r="A27" t="s">
        <v>410</v>
      </c>
      <c r="C27" t="s">
        <v>353</v>
      </c>
      <c r="D27" t="s">
        <v>354</v>
      </c>
      <c r="E27" t="s">
        <v>301</v>
      </c>
      <c r="F27" t="s">
        <v>451</v>
      </c>
    </row>
    <row r="28" spans="1:6" x14ac:dyDescent="0.45">
      <c r="A28" t="s">
        <v>411</v>
      </c>
      <c r="C28" t="s">
        <v>355</v>
      </c>
      <c r="D28" t="s">
        <v>356</v>
      </c>
      <c r="E28" t="s">
        <v>301</v>
      </c>
      <c r="F28" t="s">
        <v>452</v>
      </c>
    </row>
    <row r="29" spans="1:6" x14ac:dyDescent="0.45">
      <c r="A29" t="s">
        <v>412</v>
      </c>
      <c r="C29" t="s">
        <v>357</v>
      </c>
      <c r="D29" t="s">
        <v>358</v>
      </c>
      <c r="E29" t="s">
        <v>301</v>
      </c>
      <c r="F29" t="s">
        <v>453</v>
      </c>
    </row>
    <row r="30" spans="1:6" x14ac:dyDescent="0.45">
      <c r="A30" t="s">
        <v>413</v>
      </c>
      <c r="C30" t="s">
        <v>359</v>
      </c>
      <c r="D30" t="s">
        <v>360</v>
      </c>
      <c r="E30" t="s">
        <v>302</v>
      </c>
      <c r="F30" t="s">
        <v>454</v>
      </c>
    </row>
    <row r="31" spans="1:6" x14ac:dyDescent="0.45">
      <c r="A31" t="s">
        <v>414</v>
      </c>
      <c r="C31" t="s">
        <v>361</v>
      </c>
      <c r="D31" t="s">
        <v>362</v>
      </c>
      <c r="E31" t="s">
        <v>302</v>
      </c>
      <c r="F31" t="s">
        <v>455</v>
      </c>
    </row>
    <row r="32" spans="1:6" x14ac:dyDescent="0.45">
      <c r="A32" t="s">
        <v>415</v>
      </c>
      <c r="C32" t="s">
        <v>363</v>
      </c>
      <c r="D32" t="s">
        <v>364</v>
      </c>
      <c r="E32" t="s">
        <v>302</v>
      </c>
      <c r="F32" t="s">
        <v>456</v>
      </c>
    </row>
    <row r="33" spans="1:6" x14ac:dyDescent="0.45">
      <c r="A33" t="s">
        <v>416</v>
      </c>
      <c r="C33" t="s">
        <v>365</v>
      </c>
      <c r="D33" t="s">
        <v>366</v>
      </c>
      <c r="E33" t="s">
        <v>302</v>
      </c>
      <c r="F33" t="s">
        <v>457</v>
      </c>
    </row>
    <row r="34" spans="1:6" x14ac:dyDescent="0.45">
      <c r="A34" t="s">
        <v>417</v>
      </c>
      <c r="C34" t="s">
        <v>367</v>
      </c>
      <c r="D34" t="s">
        <v>368</v>
      </c>
      <c r="E34" t="s">
        <v>302</v>
      </c>
      <c r="F34" t="s">
        <v>458</v>
      </c>
    </row>
    <row r="35" spans="1:6" x14ac:dyDescent="0.45">
      <c r="A35" t="s">
        <v>418</v>
      </c>
      <c r="C35" t="s">
        <v>369</v>
      </c>
      <c r="D35" t="s">
        <v>370</v>
      </c>
      <c r="E35" t="s">
        <v>302</v>
      </c>
      <c r="F35" t="s">
        <v>459</v>
      </c>
    </row>
    <row r="36" spans="1:6" x14ac:dyDescent="0.45">
      <c r="A36" t="s">
        <v>419</v>
      </c>
      <c r="C36" t="s">
        <v>371</v>
      </c>
      <c r="D36" t="s">
        <v>372</v>
      </c>
      <c r="E36" t="s">
        <v>302</v>
      </c>
      <c r="F36" t="s">
        <v>460</v>
      </c>
    </row>
    <row r="37" spans="1:6" x14ac:dyDescent="0.45">
      <c r="A37" t="s">
        <v>420</v>
      </c>
      <c r="C37" t="s">
        <v>373</v>
      </c>
      <c r="D37" t="s">
        <v>374</v>
      </c>
      <c r="E37" t="s">
        <v>302</v>
      </c>
      <c r="F37" t="s">
        <v>461</v>
      </c>
    </row>
    <row r="38" spans="1:6" x14ac:dyDescent="0.45">
      <c r="A38" t="s">
        <v>421</v>
      </c>
      <c r="C38" t="s">
        <v>375</v>
      </c>
      <c r="D38" t="s">
        <v>376</v>
      </c>
      <c r="E38" t="s">
        <v>299</v>
      </c>
      <c r="F38" t="s">
        <v>462</v>
      </c>
    </row>
    <row r="39" spans="1:6" x14ac:dyDescent="0.45">
      <c r="A39" t="s">
        <v>422</v>
      </c>
      <c r="C39" t="s">
        <v>377</v>
      </c>
      <c r="D39" t="s">
        <v>378</v>
      </c>
      <c r="E39" t="s">
        <v>299</v>
      </c>
      <c r="F39" t="s">
        <v>463</v>
      </c>
    </row>
    <row r="40" spans="1:6" x14ac:dyDescent="0.45">
      <c r="A40" t="s">
        <v>423</v>
      </c>
      <c r="C40" t="s">
        <v>379</v>
      </c>
      <c r="D40" t="s">
        <v>380</v>
      </c>
      <c r="E40" t="s">
        <v>299</v>
      </c>
      <c r="F40" t="s">
        <v>464</v>
      </c>
    </row>
    <row r="41" spans="1:6" x14ac:dyDescent="0.45">
      <c r="A41" t="s">
        <v>424</v>
      </c>
      <c r="C41" t="s">
        <v>381</v>
      </c>
      <c r="D41" t="s">
        <v>382</v>
      </c>
      <c r="E41" t="s">
        <v>299</v>
      </c>
      <c r="F41" t="s">
        <v>465</v>
      </c>
    </row>
    <row r="42" spans="1:6" x14ac:dyDescent="0.45">
      <c r="A42" t="s">
        <v>425</v>
      </c>
      <c r="C42" t="s">
        <v>383</v>
      </c>
      <c r="D42" t="s">
        <v>384</v>
      </c>
      <c r="E42" t="s">
        <v>299</v>
      </c>
      <c r="F42" t="s">
        <v>466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75E45-CBD3-44DE-AA21-AC953FD690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kek_templates</vt:lpstr>
      <vt:lpstr>full_list</vt:lpstr>
      <vt:lpstr>Sheet1</vt:lpstr>
      <vt:lpstr>Config</vt:lpstr>
      <vt:lpstr>Medical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Eberhardt</cp:lastModifiedBy>
  <dcterms:created xsi:type="dcterms:W3CDTF">2025-09-20T18:27:26Z</dcterms:created>
  <dcterms:modified xsi:type="dcterms:W3CDTF">2026-03-17T19:02:41Z</dcterms:modified>
</cp:coreProperties>
</file>