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ec0edc09a2fcc/Documents/GitHub/kek-sentence-generator/data/kek/"/>
    </mc:Choice>
  </mc:AlternateContent>
  <xr:revisionPtr revIDLastSave="1383" documentId="8_{DD33C4D6-EBE5-4854-9AD6-AF64E931EE21}" xr6:coauthVersionLast="47" xr6:coauthVersionMax="47" xr10:uidLastSave="{B39EA55F-EC5F-4346-A59C-80E1CA1FD70F}"/>
  <bookViews>
    <workbookView xWindow="61545" yWindow="0" windowWidth="33330" windowHeight="20985" xr2:uid="{B9634E4E-11E1-4923-B293-DAC2B44B6106}"/>
  </bookViews>
  <sheets>
    <sheet name="semantics_verbs" sheetId="1" r:id="rId1"/>
    <sheet name="Categories" sheetId="3" r:id="rId2"/>
    <sheet name="Addl_verbs" sheetId="2" r:id="rId3"/>
  </sheets>
  <definedNames>
    <definedName name="_xlnm._FilterDatabase" localSheetId="2" hidden="1">Addl_verbs!$A$1:$O$238</definedName>
    <definedName name="_xlnm._FilterDatabase" localSheetId="1" hidden="1">Categories!$A$1:$E$77</definedName>
    <definedName name="_xlnm._FilterDatabase" localSheetId="0" hidden="1">semantics_verbs!$A$1:$V$166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K24" i="1"/>
  <c r="F70" i="1"/>
  <c r="F47" i="1"/>
  <c r="K145" i="1"/>
  <c r="F145" i="1"/>
  <c r="K170" i="1"/>
  <c r="K155" i="1"/>
  <c r="K146" i="1"/>
  <c r="K141" i="1"/>
  <c r="K140" i="1"/>
  <c r="K137" i="1"/>
  <c r="K125" i="1"/>
  <c r="K124" i="1"/>
  <c r="K122" i="1"/>
  <c r="K119" i="1"/>
  <c r="K115" i="1"/>
  <c r="K113" i="1"/>
  <c r="K100" i="1"/>
  <c r="K92" i="1"/>
  <c r="K88" i="1"/>
  <c r="K87" i="1"/>
  <c r="K76" i="1"/>
  <c r="K72" i="1"/>
  <c r="K64" i="1"/>
  <c r="K61" i="1"/>
  <c r="K60" i="1"/>
  <c r="K58" i="1"/>
  <c r="K55" i="1"/>
  <c r="K52" i="1"/>
  <c r="K51" i="1"/>
  <c r="K48" i="1"/>
  <c r="K46" i="1"/>
  <c r="K31" i="1"/>
  <c r="K30" i="1"/>
  <c r="K27" i="1"/>
  <c r="K22" i="1"/>
  <c r="K12" i="1"/>
  <c r="K7" i="1"/>
  <c r="K135" i="1"/>
  <c r="K129" i="1"/>
  <c r="K127" i="1"/>
  <c r="K14" i="1"/>
  <c r="K18" i="1"/>
  <c r="K23" i="1"/>
  <c r="K36" i="1"/>
  <c r="K62" i="1"/>
  <c r="K69" i="1"/>
  <c r="K74" i="1"/>
  <c r="K83" i="1"/>
  <c r="K133" i="1"/>
  <c r="K136" i="1"/>
  <c r="K6" i="1"/>
  <c r="F113" i="1"/>
  <c r="F21" i="1"/>
  <c r="F23" i="1"/>
  <c r="F27" i="1"/>
  <c r="F37" i="1"/>
  <c r="F44" i="1"/>
  <c r="F49" i="1"/>
  <c r="F50" i="1"/>
  <c r="F52" i="1"/>
  <c r="F53" i="1"/>
  <c r="F58" i="1"/>
  <c r="F60" i="1"/>
  <c r="F61" i="1"/>
  <c r="F62" i="1"/>
  <c r="F69" i="1"/>
  <c r="F71" i="1"/>
  <c r="F72" i="1"/>
  <c r="F76" i="1"/>
  <c r="F82" i="1"/>
  <c r="F83" i="1"/>
  <c r="F87" i="1"/>
  <c r="F88" i="1"/>
  <c r="F94" i="1"/>
  <c r="F97" i="1"/>
  <c r="F115" i="1"/>
  <c r="F119" i="1"/>
  <c r="F124" i="1"/>
  <c r="F126" i="1"/>
  <c r="F132" i="1"/>
  <c r="F133" i="1"/>
  <c r="F136" i="1"/>
  <c r="F140" i="1"/>
  <c r="F141" i="1"/>
  <c r="F148" i="1"/>
  <c r="F154" i="1"/>
  <c r="F155" i="1"/>
  <c r="F156" i="1"/>
  <c r="F170" i="1"/>
  <c r="F18" i="1"/>
  <c r="F9" i="1"/>
  <c r="F10" i="1"/>
  <c r="F12" i="1"/>
  <c r="F8" i="1"/>
</calcChain>
</file>

<file path=xl/sharedStrings.xml><?xml version="1.0" encoding="utf-8"?>
<sst xmlns="http://schemas.openxmlformats.org/spreadsheetml/2006/main" count="2692" uniqueCount="1737">
  <si>
    <t>lemma_kek</t>
  </si>
  <si>
    <t>gloss_en</t>
  </si>
  <si>
    <t>category</t>
  </si>
  <si>
    <t>transitivity</t>
  </si>
  <si>
    <t>roles_agent_class_any_of</t>
  </si>
  <si>
    <t>roles_patient_class_any_of</t>
  </si>
  <si>
    <t>notes</t>
  </si>
  <si>
    <t>k'anjel</t>
  </si>
  <si>
    <t>intr</t>
  </si>
  <si>
    <t>ch'a</t>
  </si>
  <si>
    <t>wash</t>
  </si>
  <si>
    <t>tr</t>
  </si>
  <si>
    <t>clean</t>
  </si>
  <si>
    <t>wa'</t>
  </si>
  <si>
    <t>eat</t>
  </si>
  <si>
    <t>food;plant</t>
  </si>
  <si>
    <t>give</t>
  </si>
  <si>
    <t>ditr</t>
  </si>
  <si>
    <t>ayan</t>
  </si>
  <si>
    <t>patz'</t>
  </si>
  <si>
    <t>atin</t>
  </si>
  <si>
    <t>tuul</t>
  </si>
  <si>
    <t>woxq</t>
  </si>
  <si>
    <t>qix</t>
  </si>
  <si>
    <t>tuulan</t>
  </si>
  <si>
    <t>liq</t>
  </si>
  <si>
    <t>mes</t>
  </si>
  <si>
    <t>tz'akab'</t>
  </si>
  <si>
    <t>k'uub'</t>
  </si>
  <si>
    <t>ojob'</t>
  </si>
  <si>
    <t>ajl</t>
  </si>
  <si>
    <t>yaab'</t>
  </si>
  <si>
    <t>xaj</t>
  </si>
  <si>
    <t>k'ot</t>
  </si>
  <si>
    <t>pik</t>
  </si>
  <si>
    <t>uk'</t>
  </si>
  <si>
    <t>chuub'</t>
  </si>
  <si>
    <t>luk</t>
  </si>
  <si>
    <t>ch'e</t>
  </si>
  <si>
    <t>pammam</t>
  </si>
  <si>
    <t>keh</t>
  </si>
  <si>
    <t>xik</t>
  </si>
  <si>
    <t>tz'aqob'</t>
  </si>
  <si>
    <t>yoob'</t>
  </si>
  <si>
    <t>b'uj</t>
  </si>
  <si>
    <t>q'un</t>
  </si>
  <si>
    <t>to'</t>
  </si>
  <si>
    <t>k'ony</t>
  </si>
  <si>
    <t>paab'</t>
  </si>
  <si>
    <t>toj</t>
  </si>
  <si>
    <t>tiqob'</t>
  </si>
  <si>
    <t>wech'</t>
  </si>
  <si>
    <t>min</t>
  </si>
  <si>
    <t>pom</t>
  </si>
  <si>
    <t>jil</t>
  </si>
  <si>
    <t>aanil</t>
  </si>
  <si>
    <t>q'oy</t>
  </si>
  <si>
    <t>il</t>
  </si>
  <si>
    <t>b'oj</t>
  </si>
  <si>
    <t>pech'</t>
  </si>
  <si>
    <t>b'ich</t>
  </si>
  <si>
    <t>chunla</t>
  </si>
  <si>
    <t>war</t>
  </si>
  <si>
    <t>utz’</t>
  </si>
  <si>
    <t>at'isim</t>
  </si>
  <si>
    <t>joq'yank</t>
  </si>
  <si>
    <t>kiib'</t>
  </si>
  <si>
    <t>pitz'</t>
  </si>
  <si>
    <t>xeq</t>
  </si>
  <si>
    <t>nuq</t>
  </si>
  <si>
    <t>numx</t>
  </si>
  <si>
    <t>k'a'uxl</t>
  </si>
  <si>
    <t>pum</t>
  </si>
  <si>
    <t>b'ak</t>
  </si>
  <si>
    <t>chu</t>
  </si>
  <si>
    <t>xa'w</t>
  </si>
  <si>
    <t>juch</t>
  </si>
  <si>
    <t>puch'</t>
  </si>
  <si>
    <t>kem</t>
  </si>
  <si>
    <t>ask</t>
  </si>
  <si>
    <t>bathe</t>
  </si>
  <si>
    <t>bewitch</t>
  </si>
  <si>
    <t>bite</t>
  </si>
  <si>
    <t>boil</t>
  </si>
  <si>
    <t>breathe</t>
  </si>
  <si>
    <t>burp</t>
  </si>
  <si>
    <t>buy</t>
  </si>
  <si>
    <t>calm down</t>
  </si>
  <si>
    <t>carry</t>
  </si>
  <si>
    <t>cook</t>
  </si>
  <si>
    <t>cough</t>
  </si>
  <si>
    <t>count</t>
  </si>
  <si>
    <t>cry</t>
  </si>
  <si>
    <t>cure</t>
  </si>
  <si>
    <t>curse</t>
  </si>
  <si>
    <t>cut</t>
  </si>
  <si>
    <t>dance</t>
  </si>
  <si>
    <t>dig</t>
  </si>
  <si>
    <t>drink</t>
  </si>
  <si>
    <t>faint</t>
  </si>
  <si>
    <t>fight</t>
  </si>
  <si>
    <t>float</t>
  </si>
  <si>
    <t>freeze</t>
  </si>
  <si>
    <t>go</t>
  </si>
  <si>
    <t>graduate</t>
  </si>
  <si>
    <t>hear</t>
  </si>
  <si>
    <t>hit</t>
  </si>
  <si>
    <t>hold</t>
  </si>
  <si>
    <t>hunt</t>
  </si>
  <si>
    <t>lie</t>
  </si>
  <si>
    <t>limp</t>
  </si>
  <si>
    <t>protest</t>
  </si>
  <si>
    <t>push</t>
  </si>
  <si>
    <t>roast</t>
  </si>
  <si>
    <t>rub</t>
  </si>
  <si>
    <t>run</t>
  </si>
  <si>
    <t>scratch</t>
  </si>
  <si>
    <t>see</t>
  </si>
  <si>
    <t>sew</t>
  </si>
  <si>
    <t>sing</t>
  </si>
  <si>
    <t>sit</t>
  </si>
  <si>
    <t>sleep</t>
  </si>
  <si>
    <t>smell</t>
  </si>
  <si>
    <t>spit</t>
  </si>
  <si>
    <t>split</t>
  </si>
  <si>
    <t>squeeze</t>
  </si>
  <si>
    <t>stab</t>
  </si>
  <si>
    <t>stitch</t>
  </si>
  <si>
    <t>swim</t>
  </si>
  <si>
    <t>think</t>
  </si>
  <si>
    <t>throw</t>
  </si>
  <si>
    <t>tie</t>
  </si>
  <si>
    <t>vomit</t>
  </si>
  <si>
    <t>vote</t>
  </si>
  <si>
    <t>weave</t>
  </si>
  <si>
    <t>work</t>
  </si>
  <si>
    <t>sneeze</t>
  </si>
  <si>
    <t>agonize</t>
  </si>
  <si>
    <t>snore</t>
  </si>
  <si>
    <t>urinate</t>
  </si>
  <si>
    <t>defecate</t>
  </si>
  <si>
    <t>swallow</t>
  </si>
  <si>
    <t>obey</t>
  </si>
  <si>
    <t>shuck</t>
  </si>
  <si>
    <t>slander</t>
  </si>
  <si>
    <t>lend</t>
  </si>
  <si>
    <t>pay</t>
  </si>
  <si>
    <t>hallucinate</t>
  </si>
  <si>
    <t>clothing</t>
  </si>
  <si>
    <t>artifact;body_part;clothing;dish</t>
  </si>
  <si>
    <t>plant</t>
  </si>
  <si>
    <t>artifact</t>
  </si>
  <si>
    <t>ate</t>
  </si>
  <si>
    <t>eaten</t>
  </si>
  <si>
    <t>heard</t>
  </si>
  <si>
    <t>fought</t>
  </si>
  <si>
    <t>saw</t>
  </si>
  <si>
    <t>seen</t>
  </si>
  <si>
    <t>given</t>
  </si>
  <si>
    <t>thrown</t>
  </si>
  <si>
    <t>gave</t>
  </si>
  <si>
    <t>wove</t>
  </si>
  <si>
    <t>woven</t>
  </si>
  <si>
    <t>carried</t>
  </si>
  <si>
    <t>bought</t>
  </si>
  <si>
    <t>threw</t>
  </si>
  <si>
    <t>bit</t>
  </si>
  <si>
    <t>bitten</t>
  </si>
  <si>
    <t>held</t>
  </si>
  <si>
    <t>ab'i</t>
  </si>
  <si>
    <t>k'e</t>
  </si>
  <si>
    <t>set</t>
  </si>
  <si>
    <t>loq'</t>
  </si>
  <si>
    <t>majewa</t>
  </si>
  <si>
    <t>yo</t>
  </si>
  <si>
    <t>tiw</t>
  </si>
  <si>
    <t>gloss_es</t>
  </si>
  <si>
    <t>correr</t>
  </si>
  <si>
    <t>corrió</t>
  </si>
  <si>
    <t>corrido</t>
  </si>
  <si>
    <t>oír</t>
  </si>
  <si>
    <t>oyó</t>
  </si>
  <si>
    <t>oído</t>
  </si>
  <si>
    <t>oyendo</t>
  </si>
  <si>
    <t>escuchar</t>
  </si>
  <si>
    <t>contar</t>
  </si>
  <si>
    <t>contó</t>
  </si>
  <si>
    <t>contado</t>
  </si>
  <si>
    <t>bañarse</t>
  </si>
  <si>
    <t>bañado</t>
  </si>
  <si>
    <t>estornudar</t>
  </si>
  <si>
    <t>agonizar</t>
  </si>
  <si>
    <t>amarrar</t>
  </si>
  <si>
    <t>cantar</t>
  </si>
  <si>
    <t>coser</t>
  </si>
  <si>
    <t>cosió</t>
  </si>
  <si>
    <t>cosido</t>
  </si>
  <si>
    <t>bordar</t>
  </si>
  <si>
    <t>golpear</t>
  </si>
  <si>
    <t>lavar</t>
  </si>
  <si>
    <t>pelear</t>
  </si>
  <si>
    <t>orinar</t>
  </si>
  <si>
    <t>sentarse</t>
  </si>
  <si>
    <t>sentado</t>
  </si>
  <si>
    <t>escupir</t>
  </si>
  <si>
    <t>escupió</t>
  </si>
  <si>
    <t>escupido</t>
  </si>
  <si>
    <t>ver</t>
  </si>
  <si>
    <t>vio</t>
  </si>
  <si>
    <t>visto</t>
  </si>
  <si>
    <t>frotar</t>
  </si>
  <si>
    <t>roncar</t>
  </si>
  <si>
    <t>votar</t>
  </si>
  <si>
    <t>trabajar</t>
  </si>
  <si>
    <t>pensar</t>
  </si>
  <si>
    <t>pensó</t>
  </si>
  <si>
    <t>pensado</t>
  </si>
  <si>
    <t>congelarse</t>
  </si>
  <si>
    <t>congelado</t>
  </si>
  <si>
    <t>dar</t>
  </si>
  <si>
    <t>dio</t>
  </si>
  <si>
    <t>dado</t>
  </si>
  <si>
    <t>tejer</t>
  </si>
  <si>
    <t>tejió</t>
  </si>
  <si>
    <t>tejido</t>
  </si>
  <si>
    <t>partir</t>
  </si>
  <si>
    <t>partió</t>
  </si>
  <si>
    <t>partido</t>
  </si>
  <si>
    <t>curar</t>
  </si>
  <si>
    <t>cojear</t>
  </si>
  <si>
    <t>defecar</t>
  </si>
  <si>
    <t>cortar</t>
  </si>
  <si>
    <t>cocinar</t>
  </si>
  <si>
    <t>cargar</t>
  </si>
  <si>
    <t>cargando</t>
  </si>
  <si>
    <t>comprar</t>
  </si>
  <si>
    <t>desmayarse</t>
  </si>
  <si>
    <t>desmayado</t>
  </si>
  <si>
    <t>maldecir</t>
  </si>
  <si>
    <t>maldijo</t>
  </si>
  <si>
    <t>maldecido</t>
  </si>
  <si>
    <t>maldiciendo</t>
  </si>
  <si>
    <t>limpiar</t>
  </si>
  <si>
    <t>empujar</t>
  </si>
  <si>
    <t>respirar</t>
  </si>
  <si>
    <t>nadar</t>
  </si>
  <si>
    <t>tragar</t>
  </si>
  <si>
    <t>toser</t>
  </si>
  <si>
    <t>tosió</t>
  </si>
  <si>
    <t>tosido</t>
  </si>
  <si>
    <t>obedecer</t>
  </si>
  <si>
    <t>obedeció</t>
  </si>
  <si>
    <t>obedecido</t>
  </si>
  <si>
    <t>flotar</t>
  </si>
  <si>
    <t>preguntar</t>
  </si>
  <si>
    <t>desgranar</t>
  </si>
  <si>
    <t>cavar</t>
  </si>
  <si>
    <t>exprimir</t>
  </si>
  <si>
    <t>exprimió</t>
  </si>
  <si>
    <t>exprimido</t>
  </si>
  <si>
    <t>asar</t>
  </si>
  <si>
    <t>tirar</t>
  </si>
  <si>
    <t>morder</t>
  </si>
  <si>
    <t>mordió</t>
  </si>
  <si>
    <t>mordido</t>
  </si>
  <si>
    <t>eructar</t>
  </si>
  <si>
    <t>rascar</t>
  </si>
  <si>
    <t>sostener</t>
  </si>
  <si>
    <t>sostuvo</t>
  </si>
  <si>
    <t>sostenido</t>
  </si>
  <si>
    <t>sudar</t>
  </si>
  <si>
    <t>prestar</t>
  </si>
  <si>
    <t>pagar</t>
  </si>
  <si>
    <t>embrujar</t>
  </si>
  <si>
    <t>calmarse</t>
  </si>
  <si>
    <t>calmado</t>
  </si>
  <si>
    <t>pedir</t>
  </si>
  <si>
    <t>pidió</t>
  </si>
  <si>
    <t>pedido</t>
  </si>
  <si>
    <t>pidiendo</t>
  </si>
  <si>
    <t>construir</t>
  </si>
  <si>
    <t>construyó</t>
  </si>
  <si>
    <t>construido</t>
  </si>
  <si>
    <t>construyendo</t>
  </si>
  <si>
    <t>graduarse</t>
  </si>
  <si>
    <t>graduado</t>
  </si>
  <si>
    <t>beber</t>
  </si>
  <si>
    <t>oler</t>
  </si>
  <si>
    <t>olió</t>
  </si>
  <si>
    <t>olido</t>
  </si>
  <si>
    <t>comer</t>
  </si>
  <si>
    <t>dormir</t>
  </si>
  <si>
    <t>durmió</t>
  </si>
  <si>
    <t>dormido</t>
  </si>
  <si>
    <t>durmiendo</t>
  </si>
  <si>
    <t>protestar</t>
  </si>
  <si>
    <t>hervir</t>
  </si>
  <si>
    <t>hirvió</t>
  </si>
  <si>
    <t>hervido</t>
  </si>
  <si>
    <t>hirviendo</t>
  </si>
  <si>
    <t>bailar</t>
  </si>
  <si>
    <t>vomitar</t>
  </si>
  <si>
    <t>apuñalar</t>
  </si>
  <si>
    <t>ir</t>
  </si>
  <si>
    <t>fue</t>
  </si>
  <si>
    <t>ido</t>
  </si>
  <si>
    <t>yendo</t>
  </si>
  <si>
    <t>llorar</t>
  </si>
  <si>
    <t>cazar</t>
  </si>
  <si>
    <t>alucinar</t>
  </si>
  <si>
    <t>food</t>
  </si>
  <si>
    <t>mentir</t>
  </si>
  <si>
    <t>mintió</t>
  </si>
  <si>
    <t>mentido</t>
  </si>
  <si>
    <t>mintiendo</t>
  </si>
  <si>
    <t>sweat</t>
  </si>
  <si>
    <t>roles_patient_goal_any_of</t>
  </si>
  <si>
    <t>animal_domesticated;animal_wild;kinship</t>
  </si>
  <si>
    <t>animal_domesticated;animal_wild;artifact;clothing;food;plant</t>
  </si>
  <si>
    <t>human;kinship;animal_domesticated;animal_wild</t>
  </si>
  <si>
    <t>human;kinship</t>
  </si>
  <si>
    <t>en.verb.past</t>
  </si>
  <si>
    <t>en.verb.pp</t>
  </si>
  <si>
    <t>es.verb.past</t>
  </si>
  <si>
    <t>es.verb.pp</t>
  </si>
  <si>
    <t>es.verb.gerund</t>
  </si>
  <si>
    <t>ran</t>
  </si>
  <si>
    <t>sang</t>
  </si>
  <si>
    <t>sung</t>
  </si>
  <si>
    <t>sat</t>
  </si>
  <si>
    <t>slept</t>
  </si>
  <si>
    <t>spat</t>
  </si>
  <si>
    <t>swam</t>
  </si>
  <si>
    <t>swum</t>
  </si>
  <si>
    <t>thought</t>
  </si>
  <si>
    <t>froze</t>
  </si>
  <si>
    <t>frozen</t>
  </si>
  <si>
    <t>went</t>
  </si>
  <si>
    <t>gone</t>
  </si>
  <si>
    <t>dug</t>
  </si>
  <si>
    <t>lied</t>
  </si>
  <si>
    <t>drank</t>
  </si>
  <si>
    <t>drunk</t>
  </si>
  <si>
    <t>paid</t>
  </si>
  <si>
    <t>building</t>
  </si>
  <si>
    <t>animal_domesticated;animal_wild;artifact;tool</t>
  </si>
  <si>
    <t>beverage</t>
  </si>
  <si>
    <t>artifact;tool</t>
  </si>
  <si>
    <t>animal_wild</t>
  </si>
  <si>
    <t>human;kinship;animal_domesticated</t>
  </si>
  <si>
    <t>body_part</t>
  </si>
  <si>
    <t>corn</t>
  </si>
  <si>
    <t>wood</t>
  </si>
  <si>
    <t>fruit;plant</t>
  </si>
  <si>
    <t>awasink</t>
  </si>
  <si>
    <t>ajtesib’k</t>
  </si>
  <si>
    <t>ajtesink</t>
  </si>
  <si>
    <t>aq’unk</t>
  </si>
  <si>
    <t>alab’k</t>
  </si>
  <si>
    <t>give birth to a son</t>
  </si>
  <si>
    <t>alalb’ejil</t>
  </si>
  <si>
    <t>be like a son</t>
  </si>
  <si>
    <t>alab’teik</t>
  </si>
  <si>
    <t>alib’ak</t>
  </si>
  <si>
    <t>become a daughter-in-law</t>
  </si>
  <si>
    <t>alib’ik</t>
  </si>
  <si>
    <t>alank</t>
  </si>
  <si>
    <t>alob’resink</t>
  </si>
  <si>
    <t>akanak</t>
  </si>
  <si>
    <t>amaqiink</t>
  </si>
  <si>
    <t>live life fully</t>
  </si>
  <si>
    <t>ayaynak</t>
  </si>
  <si>
    <t>atz’umak</t>
  </si>
  <si>
    <t>atz’amank</t>
  </si>
  <si>
    <t>b’ajb’anjink</t>
  </si>
  <si>
    <t>b’aq’ab’k</t>
  </si>
  <si>
    <t>b’aqlenk</t>
  </si>
  <si>
    <t>b’alalnak</t>
  </si>
  <si>
    <t>b’atz’unenk</t>
  </si>
  <si>
    <t>b’ayok</t>
  </si>
  <si>
    <t>b’elank</t>
  </si>
  <si>
    <t>b’iq’ok</t>
  </si>
  <si>
    <t>b’it’ b’it’ok</t>
  </si>
  <si>
    <t>become a nice person</t>
  </si>
  <si>
    <t>b’itok</t>
  </si>
  <si>
    <t>work quickly</t>
  </si>
  <si>
    <t>b’itz’b’itz’ink</t>
  </si>
  <si>
    <t>wag tail</t>
  </si>
  <si>
    <t>b’iyok</t>
  </si>
  <si>
    <t>b’okonk</t>
  </si>
  <si>
    <t>transmit disease</t>
  </si>
  <si>
    <t>b’oq’ok</t>
  </si>
  <si>
    <t>set free</t>
  </si>
  <si>
    <t>b’olank</t>
  </si>
  <si>
    <t>b’orok</t>
  </si>
  <si>
    <t>b’uruk</t>
  </si>
  <si>
    <t>b’ukub’ank</t>
  </si>
  <si>
    <t>b’uquk</t>
  </si>
  <si>
    <t>b’umuk</t>
  </si>
  <si>
    <t>have water in mouth</t>
  </si>
  <si>
    <t>cha’b’enk</t>
  </si>
  <si>
    <t>chekok</t>
  </si>
  <si>
    <t>chokob’ank ib’</t>
  </si>
  <si>
    <t>choqlenk</t>
  </si>
  <si>
    <t>ch’aok</t>
  </si>
  <si>
    <t>open with a machete</t>
  </si>
  <si>
    <t>ch’emok</t>
  </si>
  <si>
    <t>break off a piece</t>
  </si>
  <si>
    <t>ch’e’ok</t>
  </si>
  <si>
    <t>work in kitchen</t>
  </si>
  <si>
    <t>ch’epok</t>
  </si>
  <si>
    <t>degrain with fingers</t>
  </si>
  <si>
    <t>ch’iqok</t>
  </si>
  <si>
    <t>desire to eat/cook</t>
  </si>
  <si>
    <t>ch’ilonk</t>
  </si>
  <si>
    <t>ch’oxok</t>
  </si>
  <si>
    <t>ch’ukib’k</t>
  </si>
  <si>
    <t>ch’ukink</t>
  </si>
  <si>
    <t>eqajunk</t>
  </si>
  <si>
    <t>ela’ank</t>
  </si>
  <si>
    <t>elajink</t>
  </si>
  <si>
    <t>ha’ob’resink</t>
  </si>
  <si>
    <t>hab’ok</t>
  </si>
  <si>
    <t>chew with mouth full of food</t>
  </si>
  <si>
    <t>hamok</t>
  </si>
  <si>
    <t>hob’ank</t>
  </si>
  <si>
    <t>whistle</t>
  </si>
  <si>
    <t>hoponk</t>
  </si>
  <si>
    <t>hot’ok</t>
  </si>
  <si>
    <t>hoyb’ak</t>
  </si>
  <si>
    <t>humuk</t>
  </si>
  <si>
    <t>ilunk</t>
  </si>
  <si>
    <t>itz’ok</t>
  </si>
  <si>
    <t>ixtak</t>
  </si>
  <si>
    <t>ja’nak</t>
  </si>
  <si>
    <t>jalok</t>
  </si>
  <si>
    <t>jechok</t>
  </si>
  <si>
    <t>jecheb’ank</t>
  </si>
  <si>
    <t>twist something</t>
  </si>
  <si>
    <t>jiq’ok</t>
  </si>
  <si>
    <t>jilib’ank</t>
  </si>
  <si>
    <t>jilok</t>
  </si>
  <si>
    <t>ji’ink</t>
  </si>
  <si>
    <t>ji’ok</t>
  </si>
  <si>
    <t>jisok</t>
  </si>
  <si>
    <t>job’enk</t>
  </si>
  <si>
    <t>jolk’ok</t>
  </si>
  <si>
    <t>jolk’osink</t>
  </si>
  <si>
    <t>jumluk</t>
  </si>
  <si>
    <t>chew loudly</t>
  </si>
  <si>
    <t>ketzonk</t>
  </si>
  <si>
    <t>kotob’ank</t>
  </si>
  <si>
    <t>kotok</t>
  </si>
  <si>
    <t>kotzok</t>
  </si>
  <si>
    <t>kuute’ek</t>
  </si>
  <si>
    <t>kach’inok</t>
  </si>
  <si>
    <t>become little</t>
  </si>
  <si>
    <t>katzok</t>
  </si>
  <si>
    <t>k’achlok</t>
  </si>
  <si>
    <t>k’ajb’ank ix</t>
  </si>
  <si>
    <t>do ceremonies</t>
  </si>
  <si>
    <t>k’amchi’ink</t>
  </si>
  <si>
    <t>k’anink</t>
  </si>
  <si>
    <t>k’asok</t>
  </si>
  <si>
    <t>k’apab’ank</t>
  </si>
  <si>
    <t>k’ixok</t>
  </si>
  <si>
    <t>k’uruxink</t>
  </si>
  <si>
    <t>become harsh and bitter</t>
  </si>
  <si>
    <t>k’ojlenk</t>
  </si>
  <si>
    <t>k’otonk</t>
  </si>
  <si>
    <t>k’otzok</t>
  </si>
  <si>
    <t>k’ukek</t>
  </si>
  <si>
    <t>k’ulank ib’</t>
  </si>
  <si>
    <t>lachab’ank</t>
  </si>
  <si>
    <t>lememnak</t>
  </si>
  <si>
    <t>to float on water</t>
  </si>
  <si>
    <t>lepok</t>
  </si>
  <si>
    <t>let’ok</t>
  </si>
  <si>
    <t>lokob’ank</t>
  </si>
  <si>
    <t>lochob’ank</t>
  </si>
  <si>
    <t>lochte’enk</t>
  </si>
  <si>
    <t>lub’ub’nak</t>
  </si>
  <si>
    <t>become exhausted</t>
  </si>
  <si>
    <t>luktasink</t>
  </si>
  <si>
    <t>luktasink ch’ool</t>
  </si>
  <si>
    <t>luquk</t>
  </si>
  <si>
    <t>mayunk</t>
  </si>
  <si>
    <t>metzonk</t>
  </si>
  <si>
    <t>minkisink</t>
  </si>
  <si>
    <t>mo’onk</t>
  </si>
  <si>
    <t>mochok</t>
  </si>
  <si>
    <t>molb’ek</t>
  </si>
  <si>
    <t>molok</t>
  </si>
  <si>
    <t>na’ajnik</t>
  </si>
  <si>
    <t>na’ok re</t>
  </si>
  <si>
    <t>nat’ok</t>
  </si>
  <si>
    <t>neeb’aninik</t>
  </si>
  <si>
    <t>nuqlenk</t>
  </si>
  <si>
    <t>quickly swallow</t>
  </si>
  <si>
    <t>ochochink</t>
  </si>
  <si>
    <t>oxloqonink</t>
  </si>
  <si>
    <t>pachki’mank</t>
  </si>
  <si>
    <t>pajok</t>
  </si>
  <si>
    <t>pajajnik</t>
  </si>
  <si>
    <t>pajlenk</t>
  </si>
  <si>
    <t>paq’ok</t>
  </si>
  <si>
    <t>paraxink</t>
  </si>
  <si>
    <t>patzab’ank</t>
  </si>
  <si>
    <t>peq’ok</t>
  </si>
  <si>
    <t>pelok</t>
  </si>
  <si>
    <t>pimok</t>
  </si>
  <si>
    <t>pixok</t>
  </si>
  <si>
    <t>pohonk</t>
  </si>
  <si>
    <t>pojwenk</t>
  </si>
  <si>
    <t>pojlenk</t>
  </si>
  <si>
    <t>poq’ok chi (u)</t>
  </si>
  <si>
    <t>poq’onk</t>
  </si>
  <si>
    <t>polenk</t>
  </si>
  <si>
    <t>popolinc</t>
  </si>
  <si>
    <t>posank</t>
  </si>
  <si>
    <t>pukasink</t>
  </si>
  <si>
    <t>pukank</t>
  </si>
  <si>
    <t>puqik</t>
  </si>
  <si>
    <t>puxink</t>
  </si>
  <si>
    <t>qachok</t>
  </si>
  <si>
    <t>qereb’ak</t>
  </si>
  <si>
    <t>q’ak</t>
  </si>
  <si>
    <t>q’alq’alink</t>
  </si>
  <si>
    <t>q’anbirink</t>
  </si>
  <si>
    <t>q’ab’chi’ink</t>
  </si>
  <si>
    <t>make excuses with lies</t>
  </si>
  <si>
    <t>q’e’eb’ank</t>
  </si>
  <si>
    <t>q’erok</t>
  </si>
  <si>
    <t>q’ichok</t>
  </si>
  <si>
    <t>q’ilak</t>
  </si>
  <si>
    <t>q’ilasink</t>
  </si>
  <si>
    <t>q’ionk</t>
  </si>
  <si>
    <t>q’olenk</t>
  </si>
  <si>
    <t>q’oyok</t>
  </si>
  <si>
    <t>q’unb’ek</t>
  </si>
  <si>
    <t>q’usank</t>
  </si>
  <si>
    <t>q’uyuk</t>
  </si>
  <si>
    <t>rapok</t>
  </si>
  <si>
    <t>rinok</t>
  </si>
  <si>
    <t>xsachb’al wankil</t>
  </si>
  <si>
    <t>sahesink</t>
  </si>
  <si>
    <t>sihac</t>
  </si>
  <si>
    <t>silok</t>
  </si>
  <si>
    <t>sisnak</t>
  </si>
  <si>
    <t>sitok</t>
  </si>
  <si>
    <t>sob’ok</t>
  </si>
  <si>
    <t>sokink</t>
  </si>
  <si>
    <t>soq’ob’ank</t>
  </si>
  <si>
    <t>solok</t>
  </si>
  <si>
    <t>sot’ok</t>
  </si>
  <si>
    <t>sub’ak kutan</t>
  </si>
  <si>
    <t>suluk</t>
  </si>
  <si>
    <t>surub’ank</t>
  </si>
  <si>
    <t>make something circular</t>
  </si>
  <si>
    <t>surlak</t>
  </si>
  <si>
    <t>sutuq’</t>
  </si>
  <si>
    <t>takaknak</t>
  </si>
  <si>
    <t>tamok</t>
  </si>
  <si>
    <t>taskunk</t>
  </si>
  <si>
    <t>tasok</t>
  </si>
  <si>
    <t>tenkab’ank</t>
  </si>
  <si>
    <t>tikank</t>
  </si>
  <si>
    <t>tik’ib’ank ib’</t>
  </si>
  <si>
    <t>tichkosink</t>
  </si>
  <si>
    <t>tuluq’ink</t>
  </si>
  <si>
    <t>tob’ok</t>
  </si>
  <si>
    <t>topok</t>
  </si>
  <si>
    <t>tulak</t>
  </si>
  <si>
    <t>tunlak</t>
  </si>
  <si>
    <t>tuntunink</t>
  </si>
  <si>
    <t>tupusink</t>
  </si>
  <si>
    <t>tupusok</t>
  </si>
  <si>
    <t>tusuk</t>
  </si>
  <si>
    <t>tutz’uk</t>
  </si>
  <si>
    <t>tutz’lak</t>
  </si>
  <si>
    <t>tuye’k (e)</t>
  </si>
  <si>
    <t>stumble from extreme exhaustion</t>
  </si>
  <si>
    <t>taq’asink</t>
  </si>
  <si>
    <t>taq’resink</t>
  </si>
  <si>
    <t>t’anab’ank</t>
  </si>
  <si>
    <t>t’ob’ok</t>
  </si>
  <si>
    <t>t’oqek</t>
  </si>
  <si>
    <t>t’oqok</t>
  </si>
  <si>
    <t>t’orob’ank</t>
  </si>
  <si>
    <t>make circular</t>
  </si>
  <si>
    <t>tzemok</t>
  </si>
  <si>
    <t>tzinb’ak</t>
  </si>
  <si>
    <t>tzuklenk</t>
  </si>
  <si>
    <t>tz’ab’ok</t>
  </si>
  <si>
    <t>tz’ahok’</t>
  </si>
  <si>
    <t>tz’ajb’ak</t>
  </si>
  <si>
    <t>fill to the top</t>
  </si>
  <si>
    <t>tz’ajok</t>
  </si>
  <si>
    <t>tz’em</t>
  </si>
  <si>
    <t>desire to eat good food</t>
  </si>
  <si>
    <t>tz’arab’ank</t>
  </si>
  <si>
    <t>tz’irok</t>
  </si>
  <si>
    <t>tz’oyok</t>
  </si>
  <si>
    <t>tz’uquk</t>
  </si>
  <si>
    <t>tz’umak</t>
  </si>
  <si>
    <t>tz’uyak</t>
  </si>
  <si>
    <t>tz’uyink</t>
  </si>
  <si>
    <t>uk’tesink</t>
  </si>
  <si>
    <t>give water to drink</t>
  </si>
  <si>
    <t>uq’mink</t>
  </si>
  <si>
    <t>xab’ank</t>
  </si>
  <si>
    <t>umank</t>
  </si>
  <si>
    <t>wib’ank ch’ool</t>
  </si>
  <si>
    <t>wob’ak</t>
  </si>
  <si>
    <t>wotz’ok</t>
  </si>
  <si>
    <t>xajtesink</t>
  </si>
  <si>
    <t>xaqyank</t>
  </si>
  <si>
    <t>xaqnak</t>
  </si>
  <si>
    <t>xka’awkenk</t>
  </si>
  <si>
    <t>replant</t>
  </si>
  <si>
    <t>xejb’ak</t>
  </si>
  <si>
    <t>xelok</t>
  </si>
  <si>
    <t>xeyank</t>
  </si>
  <si>
    <t>xolb’ak</t>
  </si>
  <si>
    <t>xokink</t>
  </si>
  <si>
    <t>xotk’ok</t>
  </si>
  <si>
    <t>xoyink</t>
  </si>
  <si>
    <t>xtzapb’al ib’</t>
  </si>
  <si>
    <t>xujank</t>
  </si>
  <si>
    <t>xulk’upusink</t>
  </si>
  <si>
    <t>yo’b’ok</t>
  </si>
  <si>
    <t>ye’ek</t>
  </si>
  <si>
    <t>yokb’ank</t>
  </si>
  <si>
    <t>yokink</t>
  </si>
  <si>
    <t>yokosok</t>
  </si>
  <si>
    <t>yokosink</t>
  </si>
  <si>
    <t>yochok</t>
  </si>
  <si>
    <t>yoq’ok</t>
  </si>
  <si>
    <t>yolak</t>
  </si>
  <si>
    <t>yotak</t>
  </si>
  <si>
    <t>yukusink</t>
  </si>
  <si>
    <t>yuhuk</t>
  </si>
  <si>
    <t>yuq’lenk</t>
  </si>
  <si>
    <t>yuq’yuq’nak</t>
  </si>
  <si>
    <t>yutuk</t>
  </si>
  <si>
    <t>chuyuk</t>
  </si>
  <si>
    <t>echajatink</t>
  </si>
  <si>
    <t>k’anasink</t>
  </si>
  <si>
    <t>merernak</t>
  </si>
  <si>
    <t>latz’ank</t>
  </si>
  <si>
    <t>sisb’ak</t>
  </si>
  <si>
    <t>whistle with teeth in tongue</t>
  </si>
  <si>
    <t>xuxb’ak</t>
  </si>
  <si>
    <t>chinank</t>
  </si>
  <si>
    <t>b’alab’ank</t>
  </si>
  <si>
    <t>liq’ok</t>
  </si>
  <si>
    <t>rek’ob’tasink</t>
  </si>
  <si>
    <t>t’e’ok</t>
  </si>
  <si>
    <t>kuruk</t>
  </si>
  <si>
    <t>tulink</t>
  </si>
  <si>
    <t>nutz’uk</t>
  </si>
  <si>
    <t>natok</t>
  </si>
  <si>
    <t>yolesink</t>
  </si>
  <si>
    <t>jo’ok</t>
  </si>
  <si>
    <t>repok</t>
  </si>
  <si>
    <t>rachok</t>
  </si>
  <si>
    <t>pachok</t>
  </si>
  <si>
    <t>sirib’ank</t>
  </si>
  <si>
    <t>chirib’ank</t>
  </si>
  <si>
    <t>kanasink ib’</t>
  </si>
  <si>
    <t>ch’olak</t>
  </si>
  <si>
    <t>numwa’ak</t>
  </si>
  <si>
    <t>to overeat/satiate</t>
  </si>
  <si>
    <t>jeb ‘ok</t>
  </si>
  <si>
    <t>person</t>
  </si>
  <si>
    <t>person, animal</t>
  </si>
  <si>
    <t>animal</t>
  </si>
  <si>
    <t>?</t>
  </si>
  <si>
    <t>bring about bad luck</t>
  </si>
  <si>
    <t>become distracted</t>
  </si>
  <si>
    <t>make someone laugh</t>
  </si>
  <si>
    <t>dress</t>
  </si>
  <si>
    <t>became distracted</t>
  </si>
  <si>
    <t>brought about bad luck</t>
  </si>
  <si>
    <t>was like a son</t>
  </si>
  <si>
    <t>been like a son</t>
  </si>
  <si>
    <t>sprout</t>
  </si>
  <si>
    <t>become a mother-in-law</t>
  </si>
  <si>
    <t>weigh</t>
  </si>
  <si>
    <t>add weight</t>
  </si>
  <si>
    <t>cause nightmares</t>
  </si>
  <si>
    <t>have nightmares</t>
  </si>
  <si>
    <t>desire</t>
  </si>
  <si>
    <t>complain</t>
  </si>
  <si>
    <t>salt</t>
  </si>
  <si>
    <t>decorate</t>
  </si>
  <si>
    <t>substance</t>
  </si>
  <si>
    <t>shake</t>
  </si>
  <si>
    <t>move</t>
  </si>
  <si>
    <t>hit with a stick</t>
  </si>
  <si>
    <t>make something oval</t>
  </si>
  <si>
    <t>pretend</t>
  </si>
  <si>
    <t>frolic</t>
  </si>
  <si>
    <t>wander</t>
  </si>
  <si>
    <t>guarantee</t>
  </si>
  <si>
    <t>transport</t>
  </si>
  <si>
    <t>artifact;substance;tool</t>
  </si>
  <si>
    <t>scrub</t>
  </si>
  <si>
    <t>judge</t>
  </si>
  <si>
    <t>dog</t>
  </si>
  <si>
    <t>disease</t>
  </si>
  <si>
    <t>develop</t>
  </si>
  <si>
    <t>bulge</t>
  </si>
  <si>
    <t>animal_domesticated;animal_wild;human;kinship</t>
  </si>
  <si>
    <t>shame</t>
  </si>
  <si>
    <t>damage</t>
  </si>
  <si>
    <t>water</t>
  </si>
  <si>
    <t>season</t>
  </si>
  <si>
    <t>squat</t>
  </si>
  <si>
    <t>gave birth to a son</t>
  </si>
  <si>
    <t>given birth to a son</t>
  </si>
  <si>
    <t>feel</t>
  </si>
  <si>
    <t>touch</t>
  </si>
  <si>
    <t>crush</t>
  </si>
  <si>
    <t>beat</t>
  </si>
  <si>
    <t>spy</t>
  </si>
  <si>
    <t>reward</t>
  </si>
  <si>
    <t>scream</t>
  </si>
  <si>
    <t>sigh</t>
  </si>
  <si>
    <t>pet</t>
  </si>
  <si>
    <t>animal_domesticated</t>
  </si>
  <si>
    <t>hug</t>
  </si>
  <si>
    <t>howl</t>
  </si>
  <si>
    <t>human;kinship;animal_wild;animal_domesticated</t>
  </si>
  <si>
    <t>sting</t>
  </si>
  <si>
    <t>gossip</t>
  </si>
  <si>
    <t>k’ampaqonk</t>
  </si>
  <si>
    <t>rust</t>
  </si>
  <si>
    <t>tool</t>
  </si>
  <si>
    <t>food;fruit;plant</t>
  </si>
  <si>
    <t>shrink</t>
  </si>
  <si>
    <t>rot</t>
  </si>
  <si>
    <t>hasten</t>
  </si>
  <si>
    <t>liquefy</t>
  </si>
  <si>
    <t>plant;substance</t>
  </si>
  <si>
    <t>crumble</t>
  </si>
  <si>
    <t>strut</t>
  </si>
  <si>
    <t>crawl</t>
  </si>
  <si>
    <t>insect</t>
  </si>
  <si>
    <t>wiggle</t>
  </si>
  <si>
    <t>pant</t>
  </si>
  <si>
    <t>disrobe</t>
  </si>
  <si>
    <t>moan</t>
  </si>
  <si>
    <t>itch</t>
  </si>
  <si>
    <t>bark</t>
  </si>
  <si>
    <t>sunbathe</t>
  </si>
  <si>
    <t>slaughter</t>
  </si>
  <si>
    <t>shave</t>
  </si>
  <si>
    <t>brag</t>
  </si>
  <si>
    <t>overeat</t>
  </si>
  <si>
    <t>overate</t>
  </si>
  <si>
    <t>overeaten</t>
  </si>
  <si>
    <t>disappear</t>
  </si>
  <si>
    <t>jactarse</t>
  </si>
  <si>
    <t>abultarse</t>
  </si>
  <si>
    <t>quejarse</t>
  </si>
  <si>
    <t>gatear</t>
  </si>
  <si>
    <t>aplastar</t>
  </si>
  <si>
    <t>dañar</t>
  </si>
  <si>
    <t>decorar</t>
  </si>
  <si>
    <t>desear</t>
  </si>
  <si>
    <t>desapecer</t>
  </si>
  <si>
    <t>devestirse</t>
  </si>
  <si>
    <t>devestido</t>
  </si>
  <si>
    <t>vestire</t>
  </si>
  <si>
    <t>vestido</t>
  </si>
  <si>
    <t>sentir</t>
  </si>
  <si>
    <t>sentido</t>
  </si>
  <si>
    <t>retozar</t>
  </si>
  <si>
    <t>chismear</t>
  </si>
  <si>
    <t>apurarse</t>
  </si>
  <si>
    <t>aullar</t>
  </si>
  <si>
    <t>abrazar</t>
  </si>
  <si>
    <t>picar</t>
  </si>
  <si>
    <t>juzgar</t>
  </si>
  <si>
    <t>licuar</t>
  </si>
  <si>
    <t>gemir</t>
  </si>
  <si>
    <t>mover</t>
  </si>
  <si>
    <t>atracarse</t>
  </si>
  <si>
    <t>jadear</t>
  </si>
  <si>
    <t>acariciar</t>
  </si>
  <si>
    <t>fingir</t>
  </si>
  <si>
    <t>replantar</t>
  </si>
  <si>
    <t>recompensar</t>
  </si>
  <si>
    <t>pudrirse</t>
  </si>
  <si>
    <t>pudrido</t>
  </si>
  <si>
    <t>oxidarse</t>
  </si>
  <si>
    <t>salar</t>
  </si>
  <si>
    <t>gritar</t>
  </si>
  <si>
    <t>fregar</t>
  </si>
  <si>
    <t>fregado</t>
  </si>
  <si>
    <t>condimentar</t>
  </si>
  <si>
    <t>shook</t>
  </si>
  <si>
    <t>shaken</t>
  </si>
  <si>
    <t>rotten</t>
  </si>
  <si>
    <t>beaten</t>
  </si>
  <si>
    <t>felt</t>
  </si>
  <si>
    <t>sacudir</t>
  </si>
  <si>
    <t>avergonzar</t>
  </si>
  <si>
    <t>avorgoncé</t>
  </si>
  <si>
    <t>rasurarse</t>
  </si>
  <si>
    <t>suspirar</t>
  </si>
  <si>
    <t>difamar</t>
  </si>
  <si>
    <t>degollar</t>
  </si>
  <si>
    <t>degollado</t>
  </si>
  <si>
    <t>espira</t>
  </si>
  <si>
    <t>brotar</t>
  </si>
  <si>
    <t>agacharse</t>
  </si>
  <si>
    <t>alardear</t>
  </si>
  <si>
    <t>asolearse</t>
  </si>
  <si>
    <t>tocar</t>
  </si>
  <si>
    <t>transportar</t>
  </si>
  <si>
    <t>vagar</t>
  </si>
  <si>
    <t>regar</t>
  </si>
  <si>
    <t>pesar</t>
  </si>
  <si>
    <t>silbar</t>
  </si>
  <si>
    <t>chiflar</t>
  </si>
  <si>
    <t>menearse</t>
  </si>
  <si>
    <t>abrazando</t>
  </si>
  <si>
    <t>abrazado</t>
  </si>
  <si>
    <t>abrazó</t>
  </si>
  <si>
    <t>cargó</t>
  </si>
  <si>
    <t>cargado</t>
  </si>
  <si>
    <t>emotion</t>
  </si>
  <si>
    <t>artifact;tool;body_part;food;fruit</t>
  </si>
  <si>
    <t>lent</t>
  </si>
  <si>
    <t>stung</t>
  </si>
  <si>
    <t>gloss_en_past</t>
  </si>
  <si>
    <t>gloss_en_pp</t>
  </si>
  <si>
    <t>gloss_es_pp</t>
  </si>
  <si>
    <t>gloss_es_gerund</t>
  </si>
  <si>
    <t>gloss_es_past_3sg</t>
  </si>
  <si>
    <t>build</t>
  </si>
  <si>
    <t>built</t>
  </si>
  <si>
    <t>artifact;building</t>
  </si>
  <si>
    <t>human;kinship;animal_domestic;animal_wild</t>
  </si>
  <si>
    <t>animal_domesticated;animal_wild;artifact;clothing;food;human;insect;kinship;tool;vehicle;vegetable</t>
  </si>
  <si>
    <t>human;kinship;insect</t>
  </si>
  <si>
    <t>human;kinship;animal_domestic</t>
  </si>
  <si>
    <t>v_perceptive</t>
  </si>
  <si>
    <t>agent_class_any_of</t>
  </si>
  <si>
    <t>agent_class_none_of</t>
  </si>
  <si>
    <t>theme_class_any_of</t>
  </si>
  <si>
    <t>food;fruit;vegetable</t>
  </si>
  <si>
    <t>theme_class_none_of</t>
  </si>
  <si>
    <t>goal_class_any_of</t>
  </si>
  <si>
    <t>animal_domesticated;artifact;beverage;food;fruit;plant;tool;vegetable;vehicle</t>
  </si>
  <si>
    <t>v_motion|v_action</t>
  </si>
  <si>
    <t>v_perceptive|v_cognition</t>
  </si>
  <si>
    <t>v_abstract|v_cognition</t>
  </si>
  <si>
    <t>v_environmental|v_process</t>
  </si>
  <si>
    <t>v_state|v_action|v_work</t>
  </si>
  <si>
    <t>v_action|v_motion|v_volitional</t>
  </si>
  <si>
    <t>v_hygiene|v_action</t>
  </si>
  <si>
    <t>v_emotive|v_state|v_cognition</t>
  </si>
  <si>
    <t>v_instant|v_involuntary</t>
  </si>
  <si>
    <t>v_creation|v_process</t>
  </si>
  <si>
    <t>v_creation|v_expression|v_work</t>
  </si>
  <si>
    <t>v_emotive|v_state</t>
  </si>
  <si>
    <t>v_communicative|v_social|v_emotive</t>
  </si>
  <si>
    <t>v_cognition|v_communicative</t>
  </si>
  <si>
    <t>v_action|v_process</t>
  </si>
  <si>
    <t>v_motion|v_expression|v_social</t>
  </si>
  <si>
    <t>v_action|v_work|v_motion</t>
  </si>
  <si>
    <t>v_hygiene|v_work|v_action</t>
  </si>
  <si>
    <t>v_cognition|v_social|v_communicative</t>
  </si>
  <si>
    <t>v_perceptive|v_state</t>
  </si>
  <si>
    <t>v_action|v_perceptive</t>
  </si>
  <si>
    <t>v_state|v_environmental|v_process</t>
  </si>
  <si>
    <t>v_action|v_conflict</t>
  </si>
  <si>
    <t>v_action|v_creation</t>
  </si>
  <si>
    <t>v_communicative|v_expression</t>
  </si>
  <si>
    <t>v_creation|v_work|v_process</t>
  </si>
  <si>
    <t>v_perceptive|v_social</t>
  </si>
  <si>
    <t>v_work|v_maintenance|v_action</t>
  </si>
  <si>
    <t>v_action|v_conflict|v_social</t>
  </si>
  <si>
    <t>v_action|v_health</t>
  </si>
  <si>
    <t>v_motion|v_state</t>
  </si>
  <si>
    <t>v_consumption|v_involuntary</t>
  </si>
  <si>
    <t>v_state|v_motion</t>
  </si>
  <si>
    <t>v_involuntary|v_action</t>
  </si>
  <si>
    <t>v_social|v_commerce</t>
  </si>
  <si>
    <t>v_process|v_environmental|v_creation</t>
  </si>
  <si>
    <t>v_communicative|v_emotive|v_involuntary</t>
  </si>
  <si>
    <t>v_process|v_environmental|v_motion</t>
  </si>
  <si>
    <t>v_action|v_social|v_emotive</t>
  </si>
  <si>
    <t>v_involuntary|v_emotive|v_communicative</t>
  </si>
  <si>
    <t>v_sleep|v_habitual</t>
  </si>
  <si>
    <t>v_social|v_communicative</t>
  </si>
  <si>
    <t>v_communicative|v_social</t>
  </si>
  <si>
    <t>v_work|v_habitual</t>
  </si>
  <si>
    <t>v_cognition|v_state</t>
  </si>
  <si>
    <t>v_commerce|v_social</t>
  </si>
  <si>
    <t>v_health|v_creation</t>
  </si>
  <si>
    <t>v_motion|v_health|v_action</t>
  </si>
  <si>
    <t>v_creation|v_process|v_work</t>
  </si>
  <si>
    <t>v_communicative|v_expression|v_emotive</t>
  </si>
  <si>
    <t>v_motion|v_environmental</t>
  </si>
  <si>
    <t>v_instant|v_health|v_involuntary</t>
  </si>
  <si>
    <t>v_communicative|v_ritual|v_emotive</t>
  </si>
  <si>
    <t>v_hygiene|v_maintenance|v_action|v_work</t>
  </si>
  <si>
    <t>v_habitual|v_involuntary</t>
  </si>
  <si>
    <t>v_consumption|v_habitual|v_volitional</t>
  </si>
  <si>
    <t>v_consumption|v_action</t>
  </si>
  <si>
    <t>v_involuntary|v_instant</t>
  </si>
  <si>
    <t>v_social|v_state</t>
  </si>
  <si>
    <t>v_creation|v_work|v_action</t>
  </si>
  <si>
    <t>v_work|v_action</t>
  </si>
  <si>
    <t>v_involuntary|v_health|v_process</t>
  </si>
  <si>
    <t>v_action|v_motion</t>
  </si>
  <si>
    <t>v_action|v_state</t>
  </si>
  <si>
    <t>v_action|v_hygiene</t>
  </si>
  <si>
    <t>v_communicative|v_cognition</t>
  </si>
  <si>
    <t>v_involuntary|v_health</t>
  </si>
  <si>
    <t>v_commerce|v_action</t>
  </si>
  <si>
    <t>v_ritual|v_action</t>
  </si>
  <si>
    <t>v_emotive|v_state|v_health</t>
  </si>
  <si>
    <t>v_creation|v_work</t>
  </si>
  <si>
    <t>v_learning|v_state</t>
  </si>
  <si>
    <t>v_sleep|v_state</t>
  </si>
  <si>
    <t>v_health|v_involuntary|v_state</t>
  </si>
  <si>
    <t>v_expression|v_social|v_motion</t>
  </si>
  <si>
    <t>v_creation|v_work|v_motion</t>
  </si>
  <si>
    <t>v_emotive|v_involuntary|v_communicative</t>
  </si>
  <si>
    <t>v_work|v_social|v_action</t>
  </si>
  <si>
    <t>v_action|v_conflict|v_work</t>
  </si>
  <si>
    <t>v_cognition|v_health</t>
  </si>
  <si>
    <t>fight, ask, cook</t>
  </si>
  <si>
    <t>manner, degree</t>
  </si>
  <si>
    <r>
      <t xml:space="preserve">Controlled by agent; work well with </t>
    </r>
    <r>
      <rPr>
        <i/>
        <sz val="11"/>
        <color theme="1"/>
        <rFont val="Aptos Narrow"/>
        <family val="2"/>
        <scheme val="minor"/>
      </rPr>
      <t>deliberately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intentionally</t>
    </r>
    <r>
      <rPr>
        <sz val="11"/>
        <color theme="1"/>
        <rFont val="Aptos Narrow"/>
        <family val="2"/>
        <scheme val="minor"/>
      </rPr>
      <t>.</t>
    </r>
  </si>
  <si>
    <t>Volitional / Intentional</t>
  </si>
  <si>
    <t>v_volitional</t>
  </si>
  <si>
    <t>be, sit, lie</t>
  </si>
  <si>
    <t>time, frequency, degree</t>
  </si>
  <si>
    <r>
      <t xml:space="preserve">Ongoing or static states; combine with </t>
    </r>
    <r>
      <rPr>
        <i/>
        <sz val="11"/>
        <color theme="1"/>
        <rFont val="Aptos Narrow"/>
        <family val="2"/>
        <scheme val="minor"/>
      </rPr>
      <t>still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always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already</t>
    </r>
    <r>
      <rPr>
        <sz val="11"/>
        <color theme="1"/>
        <rFont val="Aptos Narrow"/>
        <family val="2"/>
        <scheme val="minor"/>
      </rPr>
      <t>.</t>
    </r>
  </si>
  <si>
    <t>State / Condition</t>
  </si>
  <si>
    <t>v_state</t>
  </si>
  <si>
    <t>vote, dance, protest</t>
  </si>
  <si>
    <t>manner, frequency, time</t>
  </si>
  <si>
    <r>
      <t xml:space="preserve">Group or societal actions; </t>
    </r>
    <r>
      <rPr>
        <i/>
        <sz val="11"/>
        <color theme="1"/>
        <rFont val="Aptos Narrow"/>
        <family val="2"/>
        <scheme val="minor"/>
      </rPr>
      <t>together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publicly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openly</t>
    </r>
    <r>
      <rPr>
        <sz val="11"/>
        <color theme="1"/>
        <rFont val="Aptos Narrow"/>
        <family val="2"/>
        <scheme val="minor"/>
      </rPr>
      <t>.</t>
    </r>
  </si>
  <si>
    <t>Social / Interpersonal</t>
  </si>
  <si>
    <t>v_social</t>
  </si>
  <si>
    <t>sleep, nap, snore</t>
  </si>
  <si>
    <t>manner, frequency</t>
  </si>
  <si>
    <r>
      <t xml:space="preserve">Involving rest or inactivity; </t>
    </r>
    <r>
      <rPr>
        <i/>
        <sz val="11"/>
        <color theme="1"/>
        <rFont val="Aptos Narrow"/>
        <family val="2"/>
        <scheme val="minor"/>
      </rPr>
      <t>peacefully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deeply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still</t>
    </r>
    <r>
      <rPr>
        <sz val="11"/>
        <color theme="1"/>
        <rFont val="Aptos Narrow"/>
        <family val="2"/>
        <scheme val="minor"/>
      </rPr>
      <t>.</t>
    </r>
  </si>
  <si>
    <t>Rest / Suspension</t>
  </si>
  <si>
    <t>v_sleep</t>
  </si>
  <si>
    <t>bewitch, pray, curse</t>
  </si>
  <si>
    <r>
      <t xml:space="preserve">Cultural or religious acts; </t>
    </r>
    <r>
      <rPr>
        <i/>
        <sz val="11"/>
        <color theme="1"/>
        <rFont val="Aptos Narrow"/>
        <family val="2"/>
        <scheme val="minor"/>
      </rPr>
      <t>solemnly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secretly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devoutly</t>
    </r>
    <r>
      <rPr>
        <sz val="11"/>
        <color theme="1"/>
        <rFont val="Aptos Narrow"/>
        <family val="2"/>
        <scheme val="minor"/>
      </rPr>
      <t>.</t>
    </r>
  </si>
  <si>
    <t>Ritual / Spiritual</t>
  </si>
  <si>
    <t>v_ritual</t>
  </si>
  <si>
    <t>boil, sew, weave</t>
  </si>
  <si>
    <t>manner, duration</t>
  </si>
  <si>
    <r>
      <t xml:space="preserve">Actions unfolding over time; compatible with </t>
    </r>
    <r>
      <rPr>
        <i/>
        <sz val="11"/>
        <color theme="1"/>
        <rFont val="Aptos Narrow"/>
        <family val="2"/>
        <scheme val="minor"/>
      </rPr>
      <t>slowly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steadily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continuously</t>
    </r>
    <r>
      <rPr>
        <sz val="11"/>
        <color theme="1"/>
        <rFont val="Aptos Narrow"/>
        <family val="2"/>
        <scheme val="minor"/>
      </rPr>
      <t>.</t>
    </r>
  </si>
  <si>
    <t>Gradual Process</t>
  </si>
  <si>
    <t>v_process</t>
  </si>
  <si>
    <t>see, hear, think</t>
  </si>
  <si>
    <t>degree, manner</t>
  </si>
  <si>
    <r>
      <t xml:space="preserve">Mental or sensory perception; adverbs like </t>
    </r>
    <r>
      <rPr>
        <i/>
        <sz val="11"/>
        <color theme="1"/>
        <rFont val="Aptos Narrow"/>
        <family val="2"/>
        <scheme val="minor"/>
      </rPr>
      <t>clearly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barely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really</t>
    </r>
    <r>
      <rPr>
        <sz val="11"/>
        <color theme="1"/>
        <rFont val="Aptos Narrow"/>
        <family val="2"/>
        <scheme val="minor"/>
      </rPr>
      <t>.</t>
    </r>
  </si>
  <si>
    <t>Perceptual / Cognitive</t>
  </si>
  <si>
    <t>go, run, swim</t>
  </si>
  <si>
    <t>manner, direction, time</t>
  </si>
  <si>
    <r>
      <t xml:space="preserve">Verbs involving motion or change of place; </t>
    </r>
    <r>
      <rPr>
        <i/>
        <sz val="11"/>
        <color theme="1"/>
        <rFont val="Aptos Narrow"/>
        <family val="2"/>
        <scheme val="minor"/>
      </rPr>
      <t>quickly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slowly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back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away</t>
    </r>
    <r>
      <rPr>
        <sz val="11"/>
        <color theme="1"/>
        <rFont val="Aptos Narrow"/>
        <family val="2"/>
        <scheme val="minor"/>
      </rPr>
      <t>.</t>
    </r>
  </si>
  <si>
    <t>Movement</t>
  </si>
  <si>
    <t>v_motion</t>
  </si>
  <si>
    <t>sneeze, vomit, cry</t>
  </si>
  <si>
    <t>frequency, time</t>
  </si>
  <si>
    <t>Uncontrolled physical or emotional reactions.</t>
  </si>
  <si>
    <t>Involuntary / Reflexive</t>
  </si>
  <si>
    <t>v_involuntary</t>
  </si>
  <si>
    <t>sneeze, cough, faint</t>
  </si>
  <si>
    <t>time, degree</t>
  </si>
  <si>
    <r>
      <t xml:space="preserve">Momentary actions; compatible with </t>
    </r>
    <r>
      <rPr>
        <i/>
        <sz val="11"/>
        <color theme="1"/>
        <rFont val="Aptos Narrow"/>
        <family val="2"/>
        <scheme val="minor"/>
      </rPr>
      <t>suddenly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immediately</t>
    </r>
    <r>
      <rPr>
        <sz val="11"/>
        <color theme="1"/>
        <rFont val="Aptos Narrow"/>
        <family val="2"/>
        <scheme val="minor"/>
      </rPr>
      <t>.</t>
    </r>
  </si>
  <si>
    <t>Instantaneous Event</t>
  </si>
  <si>
    <t>v_instant</t>
  </si>
  <si>
    <t>cure, faint, perspire</t>
  </si>
  <si>
    <t>degree, frequency</t>
  </si>
  <si>
    <r>
      <t xml:space="preserve">Body-related processes; </t>
    </r>
    <r>
      <rPr>
        <i/>
        <sz val="11"/>
        <color theme="1"/>
        <rFont val="Aptos Narrow"/>
        <family val="2"/>
        <scheme val="minor"/>
      </rPr>
      <t>suddenly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completely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again</t>
    </r>
    <r>
      <rPr>
        <sz val="11"/>
        <color theme="1"/>
        <rFont val="Aptos Narrow"/>
        <family val="2"/>
        <scheme val="minor"/>
      </rPr>
      <t>.</t>
    </r>
  </si>
  <si>
    <t>Physiological / Medical</t>
  </si>
  <si>
    <t>v_health</t>
  </si>
  <si>
    <t>breathe, snore, work</t>
  </si>
  <si>
    <t>frequency</t>
  </si>
  <si>
    <r>
      <t xml:space="preserve">Often repeated actions; take </t>
    </r>
    <r>
      <rPr>
        <i/>
        <sz val="11"/>
        <color theme="1"/>
        <rFont val="Aptos Narrow"/>
        <family val="2"/>
        <scheme val="minor"/>
      </rPr>
      <t>usually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often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sometimes</t>
    </r>
    <r>
      <rPr>
        <sz val="11"/>
        <color theme="1"/>
        <rFont val="Aptos Narrow"/>
        <family val="2"/>
        <scheme val="minor"/>
      </rPr>
      <t>.</t>
    </r>
  </si>
  <si>
    <t>Habitual / Repetitive</t>
  </si>
  <si>
    <t>v_habitual</t>
  </si>
  <si>
    <r>
      <t xml:space="preserve">Non-agentive, physical changes; </t>
    </r>
    <r>
      <rPr>
        <i/>
        <sz val="11"/>
        <color theme="1"/>
        <rFont val="Aptos Narrow"/>
        <family val="2"/>
        <scheme val="minor"/>
      </rPr>
      <t>slowly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gradually</t>
    </r>
    <r>
      <rPr>
        <sz val="11"/>
        <color theme="1"/>
        <rFont val="Aptos Narrow"/>
        <family val="2"/>
        <scheme val="minor"/>
      </rPr>
      <t>.</t>
    </r>
  </si>
  <si>
    <t>Natural / Environmental Process</t>
  </si>
  <si>
    <t>v_environmental</t>
  </si>
  <si>
    <t>love, hate, agonize</t>
  </si>
  <si>
    <r>
      <t xml:space="preserve">Expressing feelings or internal states; </t>
    </r>
    <r>
      <rPr>
        <i/>
        <sz val="11"/>
        <color theme="1"/>
        <rFont val="Aptos Narrow"/>
        <family val="2"/>
        <scheme val="minor"/>
      </rPr>
      <t>deeply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strongly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sincerely</t>
    </r>
    <r>
      <rPr>
        <sz val="11"/>
        <color theme="1"/>
        <rFont val="Aptos Narrow"/>
        <family val="2"/>
        <scheme val="minor"/>
      </rPr>
      <t>.</t>
    </r>
  </si>
  <si>
    <t>Emotional / Psychological</t>
  </si>
  <si>
    <t>v_emotive</t>
  </si>
  <si>
    <t>cook, weave, build</t>
  </si>
  <si>
    <r>
      <t xml:space="preserve">Making or transforming something; </t>
    </r>
    <r>
      <rPr>
        <i/>
        <sz val="11"/>
        <color theme="1"/>
        <rFont val="Aptos Narrow"/>
        <family val="2"/>
        <scheme val="minor"/>
      </rPr>
      <t>carefully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patiently</t>
    </r>
    <r>
      <rPr>
        <sz val="11"/>
        <color theme="1"/>
        <rFont val="Aptos Narrow"/>
        <family val="2"/>
        <scheme val="minor"/>
      </rPr>
      <t>.</t>
    </r>
  </si>
  <si>
    <t>Craft / Production</t>
  </si>
  <si>
    <t>v_creation</t>
  </si>
  <si>
    <t>Ingestive / Bodily</t>
  </si>
  <si>
    <t>v_consumption</t>
  </si>
  <si>
    <t>ask, sing, curse</t>
  </si>
  <si>
    <r>
      <t xml:space="preserve">Speaking or expressing; </t>
    </r>
    <r>
      <rPr>
        <i/>
        <sz val="11"/>
        <color theme="1"/>
        <rFont val="Aptos Narrow"/>
        <family val="2"/>
        <scheme val="minor"/>
      </rPr>
      <t>loudly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rudely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honestly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openly</t>
    </r>
    <r>
      <rPr>
        <sz val="11"/>
        <color theme="1"/>
        <rFont val="Aptos Narrow"/>
        <family val="2"/>
        <scheme val="minor"/>
      </rPr>
      <t>.</t>
    </r>
  </si>
  <si>
    <t>Speech / Expression</t>
  </si>
  <si>
    <t>v_communicative</t>
  </si>
  <si>
    <t>give, buy, pay</t>
  </si>
  <si>
    <t>time, manner</t>
  </si>
  <si>
    <r>
      <t xml:space="preserve">Giving, paying, buying; </t>
    </r>
    <r>
      <rPr>
        <i/>
        <sz val="11"/>
        <color theme="1"/>
        <rFont val="Aptos Narrow"/>
        <family val="2"/>
        <scheme val="minor"/>
      </rPr>
      <t>promptly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fairly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late</t>
    </r>
    <r>
      <rPr>
        <sz val="11"/>
        <color theme="1"/>
        <rFont val="Aptos Narrow"/>
        <family val="2"/>
        <scheme val="minor"/>
      </rPr>
      <t>.</t>
    </r>
  </si>
  <si>
    <t>Transactional / Economic</t>
  </si>
  <si>
    <t>v_commerce</t>
  </si>
  <si>
    <t>hit, push, run</t>
  </si>
  <si>
    <r>
      <t xml:space="preserve">Physical actions with clear start/end; often take </t>
    </r>
    <r>
      <rPr>
        <i/>
        <sz val="11"/>
        <color theme="1"/>
        <rFont val="Aptos Narrow"/>
        <family val="2"/>
        <scheme val="minor"/>
      </rPr>
      <t>quickly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suddenly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again</t>
    </r>
    <r>
      <rPr>
        <sz val="11"/>
        <color theme="1"/>
        <rFont val="Aptos Narrow"/>
        <family val="2"/>
        <scheme val="minor"/>
      </rPr>
      <t>.</t>
    </r>
  </si>
  <si>
    <t>Dynamic Action</t>
  </si>
  <si>
    <t>v_action</t>
  </si>
  <si>
    <t>Example Verbs</t>
  </si>
  <si>
    <t>Adverb Compatibility Example</t>
  </si>
  <si>
    <t>Description</t>
  </si>
  <si>
    <t>Long Name</t>
  </si>
  <si>
    <t>Short Name</t>
  </si>
  <si>
    <t>eat, drink</t>
  </si>
  <si>
    <r>
      <t xml:space="preserve">Eating, drinking; </t>
    </r>
    <r>
      <rPr>
        <i/>
        <sz val="11"/>
        <color theme="1"/>
        <rFont val="Aptos Narrow"/>
        <family val="2"/>
        <scheme val="minor"/>
      </rPr>
      <t>completely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slowly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often</t>
    </r>
    <r>
      <rPr>
        <sz val="11"/>
        <color theme="1"/>
        <rFont val="Aptos Narrow"/>
        <family val="2"/>
        <scheme val="minor"/>
      </rPr>
      <t>.</t>
    </r>
  </si>
  <si>
    <t>human;kinship;occupation</t>
  </si>
  <si>
    <t>human;kinship;animal_domesticated;animal_wild;occupation</t>
  </si>
  <si>
    <t>b'ek</t>
  </si>
  <si>
    <t>walk</t>
  </si>
  <si>
    <t>caminar</t>
  </si>
  <si>
    <t>andar</t>
  </si>
  <si>
    <t>sentó</t>
  </si>
  <si>
    <t>congeló</t>
  </si>
  <si>
    <t>desmayó</t>
  </si>
  <si>
    <t>calmó</t>
  </si>
  <si>
    <t>graduó</t>
  </si>
  <si>
    <t>bañó</t>
  </si>
  <si>
    <t>goal_none_of</t>
  </si>
  <si>
    <t>gloss_kek</t>
  </si>
  <si>
    <t>ayanak</t>
  </si>
  <si>
    <t>aanilak</t>
  </si>
  <si>
    <t>utz’uk</t>
  </si>
  <si>
    <t>at'isimak</t>
  </si>
  <si>
    <t>b’ola</t>
  </si>
  <si>
    <t>patz'ok</t>
  </si>
  <si>
    <t>tz'aamank</t>
  </si>
  <si>
    <t>atink</t>
  </si>
  <si>
    <t>ch’ox</t>
  </si>
  <si>
    <t>tuulank</t>
  </si>
  <si>
    <t>woqxink</t>
  </si>
  <si>
    <t>musiq'ak</t>
  </si>
  <si>
    <t>Iiqank</t>
  </si>
  <si>
    <t>k'uub'ank</t>
  </si>
  <si>
    <t>ajlank</t>
  </si>
  <si>
    <t>k'irtesik</t>
  </si>
  <si>
    <t>setk</t>
  </si>
  <si>
    <t>pikok</t>
  </si>
  <si>
    <t>wa'ak</t>
  </si>
  <si>
    <t>ch'e'ok</t>
  </si>
  <si>
    <t>pamamnak</t>
  </si>
  <si>
    <t>keho'k</t>
  </si>
  <si>
    <t>b'ujuk</t>
  </si>
  <si>
    <t>q’unuk</t>
  </si>
  <si>
    <t>b’irok ib’k</t>
  </si>
  <si>
    <t>k'onyank</t>
  </si>
  <si>
    <t>minok</t>
  </si>
  <si>
    <t>q'oyok</t>
  </si>
  <si>
    <t>ilok</t>
  </si>
  <si>
    <t>b'ojok</t>
  </si>
  <si>
    <t>b'ichank</t>
  </si>
  <si>
    <t>chunlaak</t>
  </si>
  <si>
    <t>wark</t>
  </si>
  <si>
    <t>kiib'ank</t>
  </si>
  <si>
    <t>pitz’ok</t>
  </si>
  <si>
    <t>xeq'ok</t>
  </si>
  <si>
    <t>numxik</t>
  </si>
  <si>
    <t>k'a'uxlak</t>
  </si>
  <si>
    <t>pumuk</t>
  </si>
  <si>
    <t>b'ak’ok</t>
  </si>
  <si>
    <t>ch'ajok</t>
  </si>
  <si>
    <t>ch’ukib’</t>
  </si>
  <si>
    <t>rap</t>
  </si>
  <si>
    <t>tz'akab'k</t>
  </si>
  <si>
    <t>b’ukub’a</t>
  </si>
  <si>
    <t>tuulano'k</t>
  </si>
  <si>
    <t>mesok</t>
  </si>
  <si>
    <t>ayayn</t>
  </si>
  <si>
    <t>ojob'ak</t>
  </si>
  <si>
    <t>k’achlo</t>
  </si>
  <si>
    <t>b’ur</t>
  </si>
  <si>
    <t>yaab'ak</t>
  </si>
  <si>
    <t>b’uq</t>
  </si>
  <si>
    <t>xajok</t>
  </si>
  <si>
    <t>atz’um</t>
  </si>
  <si>
    <t>k'otak</t>
  </si>
  <si>
    <t>atauwa</t>
  </si>
  <si>
    <t>jeb ‘</t>
  </si>
  <si>
    <t>sol</t>
  </si>
  <si>
    <t>aq’u</t>
  </si>
  <si>
    <t>luktak</t>
  </si>
  <si>
    <t>b’iy</t>
  </si>
  <si>
    <t>lemem</t>
  </si>
  <si>
    <t>b’atz’un</t>
  </si>
  <si>
    <t>k’ampaq</t>
  </si>
  <si>
    <t>yoob'ank</t>
  </si>
  <si>
    <t>kuute’</t>
  </si>
  <si>
    <t>ketzo</t>
  </si>
  <si>
    <t>wotz’</t>
  </si>
  <si>
    <t>b’ir ib’</t>
  </si>
  <si>
    <t>to'nink</t>
  </si>
  <si>
    <t>b’aqle</t>
  </si>
  <si>
    <t>paab'ank</t>
  </si>
  <si>
    <t>numwa’</t>
  </si>
  <si>
    <t>posa</t>
  </si>
  <si>
    <t>tojok</t>
  </si>
  <si>
    <t>mayu</t>
  </si>
  <si>
    <t>b’anu ib’</t>
  </si>
  <si>
    <t>wech'ok</t>
  </si>
  <si>
    <t>xka’awke</t>
  </si>
  <si>
    <t>eqaju</t>
  </si>
  <si>
    <t>pomok</t>
  </si>
  <si>
    <t>q’a</t>
  </si>
  <si>
    <t>mo’o</t>
  </si>
  <si>
    <t>q’ole</t>
  </si>
  <si>
    <t>atz’ama</t>
  </si>
  <si>
    <t>hoyb’</t>
  </si>
  <si>
    <t>b’iq’</t>
  </si>
  <si>
    <t>chek</t>
  </si>
  <si>
    <t>jo’</t>
  </si>
  <si>
    <t>pech'ok</t>
  </si>
  <si>
    <t>jiq’</t>
  </si>
  <si>
    <t>q'aab'ank</t>
  </si>
  <si>
    <t>q’aab’</t>
  </si>
  <si>
    <t>joq'ya</t>
  </si>
  <si>
    <t>chuub'ank</t>
  </si>
  <si>
    <t>alab’tei</t>
  </si>
  <si>
    <t>ch’uki</t>
  </si>
  <si>
    <t>katz</t>
  </si>
  <si>
    <t>ja’n</t>
  </si>
  <si>
    <t>china</t>
  </si>
  <si>
    <t>nuq'uk</t>
  </si>
  <si>
    <t>tiqob'ak</t>
  </si>
  <si>
    <t>chu'uk</t>
  </si>
  <si>
    <t>xa'wak</t>
  </si>
  <si>
    <t>juch'uk</t>
  </si>
  <si>
    <t>b'e</t>
  </si>
  <si>
    <t>b’alaln</t>
  </si>
  <si>
    <t>puch'uk</t>
  </si>
  <si>
    <t>cha’b’e</t>
  </si>
  <si>
    <t>kemok</t>
  </si>
  <si>
    <t>alan</t>
  </si>
  <si>
    <t>hob’a</t>
  </si>
  <si>
    <t>xuxb’</t>
  </si>
  <si>
    <t>k’ojle</t>
  </si>
  <si>
    <t>k'anjelak</t>
  </si>
  <si>
    <t>q'ano'k</t>
  </si>
  <si>
    <t>q'ano'</t>
  </si>
  <si>
    <t>ripen</t>
  </si>
  <si>
    <t>raho'</t>
  </si>
  <si>
    <t>raho'k</t>
  </si>
  <si>
    <t>hurt</t>
  </si>
  <si>
    <t>fruit</t>
  </si>
  <si>
    <t>sach</t>
  </si>
  <si>
    <t>sachk</t>
  </si>
  <si>
    <t>lose</t>
  </si>
  <si>
    <t>get lost</t>
  </si>
  <si>
    <t>chal</t>
  </si>
  <si>
    <t>chalk</t>
  </si>
  <si>
    <t>come</t>
  </si>
  <si>
    <t>come to a place</t>
  </si>
  <si>
    <t>karib'k</t>
  </si>
  <si>
    <t xml:space="preserve">karib'k </t>
  </si>
  <si>
    <t>fish</t>
  </si>
  <si>
    <t>ch'uch'ib'k</t>
  </si>
  <si>
    <t>joke</t>
  </si>
  <si>
    <t>sab'esink</t>
  </si>
  <si>
    <t>sab'esi</t>
  </si>
  <si>
    <t>groom</t>
  </si>
  <si>
    <t>got lost</t>
  </si>
  <si>
    <t>gotten lost</t>
  </si>
  <si>
    <t>came</t>
  </si>
  <si>
    <t>b'aanu</t>
  </si>
  <si>
    <t>b'ananunk</t>
  </si>
  <si>
    <t>make</t>
  </si>
  <si>
    <t>to do/make something</t>
  </si>
  <si>
    <t>sumenk</t>
  </si>
  <si>
    <t>sume</t>
  </si>
  <si>
    <t>answer</t>
  </si>
  <si>
    <t>kel</t>
  </si>
  <si>
    <t>kelonk</t>
  </si>
  <si>
    <t>pull</t>
  </si>
  <si>
    <t>made</t>
  </si>
  <si>
    <t>sachok</t>
  </si>
  <si>
    <t>to wash clothing</t>
  </si>
  <si>
    <t>b'ut</t>
  </si>
  <si>
    <t>b'ut'uk</t>
  </si>
  <si>
    <t>fill</t>
  </si>
  <si>
    <t>lost</t>
  </si>
  <si>
    <t>k'ut</t>
  </si>
  <si>
    <t>kut'uk</t>
  </si>
  <si>
    <t>show</t>
  </si>
  <si>
    <t>ye'</t>
  </si>
  <si>
    <t>say</t>
  </si>
  <si>
    <t>said</t>
  </si>
  <si>
    <t>ch'uy</t>
  </si>
  <si>
    <t>ch'uyuk</t>
  </si>
  <si>
    <t>pinch</t>
  </si>
  <si>
    <t>madurar</t>
  </si>
  <si>
    <t>doler</t>
  </si>
  <si>
    <t>duele</t>
  </si>
  <si>
    <t>pederse</t>
  </si>
  <si>
    <t>me pierdo</t>
  </si>
  <si>
    <t>venir</t>
  </si>
  <si>
    <t>vine</t>
  </si>
  <si>
    <t>pescar</t>
  </si>
  <si>
    <t>pesqué</t>
  </si>
  <si>
    <t>bromear</t>
  </si>
  <si>
    <t>acicalar</t>
  </si>
  <si>
    <t>hacer</t>
  </si>
  <si>
    <t>hice</t>
  </si>
  <si>
    <t>responder</t>
  </si>
  <si>
    <t>jalar</t>
  </si>
  <si>
    <t>perder</t>
  </si>
  <si>
    <t>pierdo</t>
  </si>
  <si>
    <t>llenar</t>
  </si>
  <si>
    <t>mostrar</t>
  </si>
  <si>
    <t>miestro</t>
  </si>
  <si>
    <t>decir</t>
  </si>
  <si>
    <t>dije</t>
  </si>
  <si>
    <t>pellizcar</t>
  </si>
  <si>
    <t>pellizqué</t>
  </si>
  <si>
    <t>human;kinship;occupation;animal_domesticated;body_part</t>
  </si>
  <si>
    <t>tz'aama</t>
  </si>
  <si>
    <t>tiwok</t>
  </si>
  <si>
    <t>ataw</t>
  </si>
  <si>
    <t>uk'ak</t>
  </si>
  <si>
    <t>k'ehok</t>
  </si>
  <si>
    <t>tz'aqob'resink</t>
  </si>
  <si>
    <t>ab'ink</t>
  </si>
  <si>
    <t>yohok</t>
  </si>
  <si>
    <t>tik'ti'</t>
  </si>
  <si>
    <t>tik'ti'ik</t>
  </si>
  <si>
    <t>b’anunk ib’</t>
  </si>
  <si>
    <t>yehok</t>
  </si>
  <si>
    <t>kiss</t>
  </si>
  <si>
    <t>tz'ub'uk</t>
  </si>
  <si>
    <t>tz’ub’</t>
  </si>
  <si>
    <t>v_action | v_social | v_volitional</t>
  </si>
  <si>
    <t>From: S. Steward, Q'eqchi' Grammar</t>
  </si>
  <si>
    <t>besar</t>
  </si>
  <si>
    <t>listen to</t>
  </si>
  <si>
    <t>add</t>
  </si>
  <si>
    <t>singe with fire</t>
  </si>
  <si>
    <t>hold hands</t>
  </si>
  <si>
    <t>leave extra food</t>
  </si>
  <si>
    <t>supplicate</t>
  </si>
  <si>
    <t>pierce</t>
  </si>
  <si>
    <t>gnaw on something</t>
  </si>
  <si>
    <t>consume by fire</t>
  </si>
  <si>
    <t>look everywhere</t>
  </si>
  <si>
    <t>urge</t>
  </si>
  <si>
    <t>remove</t>
  </si>
  <si>
    <t>twist</t>
  </si>
  <si>
    <t>hang something dry</t>
  </si>
  <si>
    <t>sharpen</t>
  </si>
  <si>
    <t>refuse food</t>
  </si>
  <si>
    <t>cut meat</t>
  </si>
  <si>
    <t>make hollow</t>
  </si>
  <si>
    <t>slip</t>
  </si>
  <si>
    <t>drag</t>
  </si>
  <si>
    <t>roll</t>
  </si>
  <si>
    <t>rope</t>
  </si>
  <si>
    <t>slacken</t>
  </si>
  <si>
    <t>agree</t>
  </si>
  <si>
    <t>wedge something</t>
  </si>
  <si>
    <t>open mouth</t>
  </si>
  <si>
    <t>untie</t>
  </si>
  <si>
    <t>stack</t>
  </si>
  <si>
    <t>puncture</t>
  </si>
  <si>
    <t>break off</t>
  </si>
  <si>
    <t>fail</t>
  </si>
  <si>
    <t>grab with tongs</t>
  </si>
  <si>
    <t>throw water</t>
  </si>
  <si>
    <t>record/carve</t>
  </si>
  <si>
    <t>press/weigh down</t>
  </si>
  <si>
    <t>hang/suspend</t>
  </si>
  <si>
    <t>climb</t>
  </si>
  <si>
    <t>entangle/snare</t>
  </si>
  <si>
    <t>scandalize</t>
  </si>
  <si>
    <t>weigh down/press down</t>
  </si>
  <si>
    <t>cuddle a baby</t>
  </si>
  <si>
    <t>lay eggs</t>
  </si>
  <si>
    <t>choose/recover</t>
  </si>
  <si>
    <t>take root</t>
  </si>
  <si>
    <t>provide for</t>
  </si>
  <si>
    <t>tighten/press</t>
  </si>
  <si>
    <t>become an orphan</t>
  </si>
  <si>
    <t>create a home (feeling, not structure)</t>
  </si>
  <si>
    <t>worship</t>
  </si>
  <si>
    <t>sprout new leaves</t>
  </si>
  <si>
    <t>sprinkle about</t>
  </si>
  <si>
    <t>sprinkle repeatedly/spill</t>
  </si>
  <si>
    <t>slap</t>
  </si>
  <si>
    <t>break things up</t>
  </si>
  <si>
    <t>scorch</t>
  </si>
  <si>
    <t>plaster</t>
  </si>
  <si>
    <t>splash water</t>
  </si>
  <si>
    <t>lift a dress</t>
  </si>
  <si>
    <t>blow nose</t>
  </si>
  <si>
    <t>tie two points together</t>
  </si>
  <si>
    <t>suffer from epilepsy</t>
  </si>
  <si>
    <t>discharge puss</t>
  </si>
  <si>
    <t>make noise</t>
  </si>
  <si>
    <t>slap in face</t>
  </si>
  <si>
    <t>pet/handle</t>
  </si>
  <si>
    <t>singe an animal’s hair</t>
  </si>
  <si>
    <t>assert yourself</t>
  </si>
  <si>
    <t>fan something</t>
  </si>
  <si>
    <t>increase</t>
  </si>
  <si>
    <t>throw dust</t>
  </si>
  <si>
    <t>shake/jerk</t>
  </si>
  <si>
    <t>hit with machete</t>
  </si>
  <si>
    <t>cut with an blade</t>
  </si>
  <si>
    <t>hug excessively</t>
  </si>
  <si>
    <t>clean excessively</t>
  </si>
  <si>
    <t>cross or walk through</t>
  </si>
  <si>
    <t>cackle or boast</t>
  </si>
  <si>
    <t>rip cloth</t>
  </si>
  <si>
    <t>become thick</t>
  </si>
  <si>
    <t>make something thick</t>
  </si>
  <si>
    <t>straighten out</t>
  </si>
  <si>
    <t>claw insomething</t>
  </si>
  <si>
    <t>be persuaded</t>
  </si>
  <si>
    <t>pant/puff</t>
  </si>
  <si>
    <t>uproot smooth ground</t>
  </si>
  <si>
    <t>stretch</t>
  </si>
  <si>
    <t>depreciate</t>
  </si>
  <si>
    <t>lessen</t>
  </si>
  <si>
    <t>originate</t>
  </si>
  <si>
    <t>de-shell</t>
  </si>
  <si>
    <t>roast over a flame</t>
  </si>
  <si>
    <t>take off pants</t>
  </si>
  <si>
    <t>dent</t>
  </si>
  <si>
    <t>make a nest</t>
  </si>
  <si>
    <t>waist</t>
  </si>
  <si>
    <t>lose vision</t>
  </si>
  <si>
    <t>waste a day</t>
  </si>
  <si>
    <t>perform</t>
  </si>
  <si>
    <t>blow your nose</t>
  </si>
  <si>
    <t>wobble in drunkenness.</t>
  </si>
  <si>
    <t>join</t>
  </si>
  <si>
    <t>pile objects one atop another</t>
  </si>
  <si>
    <t>ask a favor</t>
  </si>
  <si>
    <t>look for the right direction</t>
  </si>
  <si>
    <t>live a wild life</t>
  </si>
  <si>
    <t>make something stumble</t>
  </si>
  <si>
    <t>shoot liquor</t>
  </si>
  <si>
    <t>break/rip</t>
  </si>
  <si>
    <t>bewitch/do shamanic ceremonies</t>
  </si>
  <si>
    <t>kick the dog out of the house</t>
  </si>
  <si>
    <t>bang a drum</t>
  </si>
  <si>
    <t>shorten/cut length</t>
  </si>
  <si>
    <t>shrink in size</t>
  </si>
  <si>
    <t>ordain</t>
  </si>
  <si>
    <t>lengthen</t>
  </si>
  <si>
    <t>present the dead</t>
  </si>
  <si>
    <t>make wet</t>
  </si>
  <si>
    <t>waste/leave behind</t>
  </si>
  <si>
    <t>decay</t>
  </si>
  <si>
    <t>whither</t>
  </si>
  <si>
    <t>throw a dirty object</t>
  </si>
  <si>
    <t>covet</t>
  </si>
  <si>
    <t>make noise with metal/cacophonous</t>
  </si>
  <si>
    <t>tangle with/disturb/upset</t>
  </si>
  <si>
    <t>start a fire</t>
  </si>
  <si>
    <t>dip in water</t>
  </si>
  <si>
    <t>split wood</t>
  </si>
  <si>
    <t>suckle</t>
  </si>
  <si>
    <t>heat</t>
  </si>
  <si>
    <t>drip</t>
  </si>
  <si>
    <t>fade</t>
  </si>
  <si>
    <t>become firm</t>
  </si>
  <si>
    <t>start</t>
  </si>
  <si>
    <t>trample</t>
  </si>
  <si>
    <t>have something in the mouth</t>
  </si>
  <si>
    <t>doubt</t>
  </si>
  <si>
    <t>make dance</t>
  </si>
  <si>
    <t>hang out</t>
  </si>
  <si>
    <t>relax from work</t>
  </si>
  <si>
    <t>make a lot of noise</t>
  </si>
  <si>
    <t>part/rip</t>
  </si>
  <si>
    <t>play a flute</t>
  </si>
  <si>
    <t>oppress</t>
  </si>
  <si>
    <t>choke on food</t>
  </si>
  <si>
    <t>hide yourself</t>
  </si>
  <si>
    <t>become fragile</t>
  </si>
  <si>
    <t>butt heads</t>
  </si>
  <si>
    <t>arrive at the end</t>
  </si>
  <si>
    <t>take a step</t>
  </si>
  <si>
    <t>make wavy</t>
  </si>
  <si>
    <t>become twisted</t>
  </si>
  <si>
    <t>become wrinkled</t>
  </si>
  <si>
    <t>mash</t>
  </si>
  <si>
    <t>become slippery</t>
  </si>
  <si>
    <t>become hard</t>
  </si>
  <si>
    <t>swing and wiggle</t>
  </si>
  <si>
    <t>mix</t>
  </si>
  <si>
    <t>bruise or maul</t>
  </si>
  <si>
    <t>become very ripe</t>
  </si>
  <si>
    <t>wrap in a rag</t>
  </si>
  <si>
    <t>lay out dry</t>
  </si>
  <si>
    <t>imitate</t>
  </si>
  <si>
    <t>follow a good example</t>
  </si>
  <si>
    <t>blink your eyes</t>
  </si>
  <si>
    <t>occupy space</t>
  </si>
  <si>
    <t>hide something</t>
  </si>
  <si>
    <t>dominate</t>
  </si>
  <si>
    <t>do well</t>
  </si>
  <si>
    <t>comb hair</t>
  </si>
  <si>
    <t>cut with an axe</t>
  </si>
  <si>
    <t>make warm</t>
  </si>
  <si>
    <t>close/put together (as in legs)</t>
  </si>
  <si>
    <t>press/squeeze</t>
  </si>
  <si>
    <t>flash</t>
  </si>
  <si>
    <t>spray</t>
  </si>
  <si>
    <t>arrange</t>
  </si>
  <si>
    <t>organize/spread out</t>
  </si>
  <si>
    <t>clear up a problem</t>
  </si>
  <si>
    <t>traer mala suerte</t>
  </si>
  <si>
    <t>Distraerse</t>
  </si>
  <si>
    <t>Haz reír a alguien</t>
  </si>
  <si>
    <t>dar a luz a un hijo</t>
  </si>
  <si>
    <t>Sé como un hijo</t>
  </si>
  <si>
    <t>Convertirse en nuera</t>
  </si>
  <si>
    <t>Conviértete en suegra</t>
  </si>
  <si>
    <t>Añadir peso</t>
  </si>
  <si>
    <t>tener pesadillas</t>
  </si>
  <si>
    <t>Golpeado con un palo</t>
  </si>
  <si>
    <t>Haz algo ovalado</t>
  </si>
  <si>
    <t>garantía</t>
  </si>
  <si>
    <t>Hazte buena persona</t>
  </si>
  <si>
    <t>Trabaja rápido</t>
  </si>
  <si>
    <t>Cola de movimiento</t>
  </si>
  <si>
    <t>Transmisión de enfermedades</t>
  </si>
  <si>
    <t>Liberado</t>
  </si>
  <si>
    <t>desarrollar</t>
  </si>
  <si>
    <t>Quemarse con fuego</t>
  </si>
  <si>
    <t>Abre con un machete</t>
  </si>
  <si>
    <t>Rompe un trozo</t>
  </si>
  <si>
    <t>Trabajo en la cocina</t>
  </si>
  <si>
    <t>Degrain con dedos</t>
  </si>
  <si>
    <t>Ganas de comer/cocinar</t>
  </si>
  <si>
    <t>Coged de la mano</t>
  </si>
  <si>
    <t>deja comida extra</t>
  </si>
  <si>
    <t>Suplicar</t>
  </si>
  <si>
    <t>Mastica con la boca llena de comida</t>
  </si>
  <si>
    <t>roer algo</t>
  </si>
  <si>
    <t>consumir por el fuego</t>
  </si>
  <si>
    <t>Busca por todas partes</t>
  </si>
  <si>
    <t>División</t>
  </si>
  <si>
    <t>impulso</t>
  </si>
  <si>
    <t>eliminar</t>
  </si>
  <si>
    <t>Giro</t>
  </si>
  <si>
    <t>Gira algo</t>
  </si>
  <si>
    <t>Cuelga algo seco</t>
  </si>
  <si>
    <t>afilar</t>
  </si>
  <si>
    <t>rechazar la comida</t>
  </si>
  <si>
    <t>Carne cortada</t>
  </si>
  <si>
    <t>haz hueco</t>
  </si>
  <si>
    <t>Deslizamiento</t>
  </si>
  <si>
    <t>Resistencia</t>
  </si>
  <si>
    <t>mastica fuerte</t>
  </si>
  <si>
    <t>cuerda</t>
  </si>
  <si>
    <t>aflojado</t>
  </si>
  <si>
    <t>Hacerse pequeño</t>
  </si>
  <si>
    <t>Hacer ceremonias</t>
  </si>
  <si>
    <t>De acuerdo</t>
  </si>
  <si>
    <t>Haz algo</t>
  </si>
  <si>
    <t>Boca abierta</t>
  </si>
  <si>
    <t>desatar</t>
  </si>
  <si>
    <t>Volverse duro y amargado</t>
  </si>
  <si>
    <t>Stack</t>
  </si>
  <si>
    <t>Pinchazo</t>
  </si>
  <si>
    <t>Separación</t>
  </si>
  <si>
    <t>Fallo</t>
  </si>
  <si>
    <t>Agarra con pinzas</t>
  </si>
  <si>
    <t>Tira agua</t>
  </si>
  <si>
    <t>Presionar/Pesar</t>
  </si>
  <si>
    <t>colgar/suspender</t>
  </si>
  <si>
    <t>ascensión</t>
  </si>
  <si>
    <t>agotate</t>
  </si>
  <si>
    <t>enredo/trampa</t>
  </si>
  <si>
    <t>escandalizar</t>
  </si>
  <si>
    <t>Pesa/Presiona hacia abajo</t>
  </si>
  <si>
    <t>Abrazar a un bebé</t>
  </si>
  <si>
    <t>empuja</t>
  </si>
  <si>
    <t>Poner huevos</t>
  </si>
  <si>
    <t>elegir/recuperar</t>
  </si>
  <si>
    <t>echa raíces</t>
  </si>
  <si>
    <t>prever para</t>
  </si>
  <si>
    <t>aprieta/presiona</t>
  </si>
  <si>
    <t>Quedar huérfano</t>
  </si>
  <si>
    <t>Traga rápido</t>
  </si>
  <si>
    <t>Crea un hogar (con sensación, no estructura)</t>
  </si>
  <si>
    <t>Culto</t>
  </si>
  <si>
    <t>brotan hojas nuevas</t>
  </si>
  <si>
    <t>Esparce por ahí</t>
  </si>
  <si>
    <t>Espolvorear repetidamente/derramar</t>
  </si>
  <si>
    <t>bofetada</t>
  </si>
  <si>
    <t>Separad</t>
  </si>
  <si>
    <t>yeso</t>
  </si>
  <si>
    <t>agua de salpicaduras</t>
  </si>
  <si>
    <t>Levanta un vestido</t>
  </si>
  <si>
    <t>Sople la nariz</t>
  </si>
  <si>
    <t>Vincular dos puntos</t>
  </si>
  <si>
    <t>sufro epilepsia</t>
  </si>
  <si>
    <t>Descarga pus</t>
  </si>
  <si>
    <t>hacer ruido</t>
  </si>
  <si>
    <t>bofetada en la cara</t>
  </si>
  <si>
    <t>Mascota/mango</t>
  </si>
  <si>
    <t>Quemar el pelo de un animal</t>
  </si>
  <si>
    <t>Afirma tu vida</t>
  </si>
  <si>
    <t>Fan algo</t>
  </si>
  <si>
    <t>Aumento</t>
  </si>
  <si>
    <t>lanzar polvo</t>
  </si>
  <si>
    <t>sacudir/sacudirse</t>
  </si>
  <si>
    <t>golpeado con machete</t>
  </si>
  <si>
    <t>Cortado con una hoja</t>
  </si>
  <si>
    <t>abrazos excesivos</t>
  </si>
  <si>
    <t>limpiar en exceso</t>
  </si>
  <si>
    <t>Pone excusas con mentiras</t>
  </si>
  <si>
    <t>Cruzar o caminar</t>
  </si>
  <si>
    <t>carcajada o jactancia</t>
  </si>
  <si>
    <t>Tela de desgarro</t>
  </si>
  <si>
    <t>se vuelve grueso</t>
  </si>
  <si>
    <t>haz algo grueso</t>
  </si>
  <si>
    <t>endereza</t>
  </si>
  <si>
    <t>garra en algo</t>
  </si>
  <si>
    <t>Déjate convencer</t>
  </si>
  <si>
    <t>pantalón/puff</t>
  </si>
  <si>
    <t>arrancar el terreno liso</t>
  </si>
  <si>
    <t>elasticidad</t>
  </si>
  <si>
    <t>Depreciación</t>
  </si>
  <si>
    <t>Reducir</t>
  </si>
  <si>
    <t>Origen</t>
  </si>
  <si>
    <t>Descarraspón</t>
  </si>
  <si>
    <t>Asar sobre fuego</t>
  </si>
  <si>
    <t>Quítate los pantalones</t>
  </si>
  <si>
    <t>abolladura</t>
  </si>
  <si>
    <t>Haz un nido</t>
  </si>
  <si>
    <t>cintura</t>
  </si>
  <si>
    <t>Perder la visión</t>
  </si>
  <si>
    <t>Perder un día</t>
  </si>
  <si>
    <t>Interpretar</t>
  </si>
  <si>
    <t>Haz algo circular</t>
  </si>
  <si>
    <t>Suea la nariz</t>
  </si>
  <si>
    <t>tambalearse de embriaguez.</t>
  </si>
  <si>
    <t>Únete</t>
  </si>
  <si>
    <t>apilar objetos unos encima de otros</t>
  </si>
  <si>
    <t>Pide un favor</t>
  </si>
  <si>
    <t>Busca la dirección correcta</t>
  </si>
  <si>
    <t>Vive una vida salvaje</t>
  </si>
  <si>
    <t>haz que algo tropiece</t>
  </si>
  <si>
    <t>Disparar licor</t>
  </si>
  <si>
    <t>Ruptura/Rasgón</t>
  </si>
  <si>
    <t>Hechizar/hacer ceremonias chamánicas</t>
  </si>
  <si>
    <t>echa al perro de la casa</t>
  </si>
  <si>
    <t>¡Golpea un tambor</t>
  </si>
  <si>
    <t>Acortar o cortar la longitud</t>
  </si>
  <si>
    <t>reducción de tamaño</t>
  </si>
  <si>
    <t>Ordenar</t>
  </si>
  <si>
    <t>Alargar</t>
  </si>
  <si>
    <t>Presenta a los muertos</t>
  </si>
  <si>
    <t>tropezar por el agotamiento extremo</t>
  </si>
  <si>
    <t>Haz que mojese</t>
  </si>
  <si>
    <t>Desperdicio/Dejar atrás</t>
  </si>
  <si>
    <t>Decaer</t>
  </si>
  <si>
    <t>a dónde</t>
  </si>
  <si>
    <t>Lanzar un objeto sucio</t>
  </si>
  <si>
    <t>haz circular</t>
  </si>
  <si>
    <t>codiciar</t>
  </si>
  <si>
    <t>Haz ruido con metal/cacofónico</t>
  </si>
  <si>
    <t>enredar con/molestar/molestar</t>
  </si>
  <si>
    <t>Enciende un fuego</t>
  </si>
  <si>
    <t>Inmersión en agua</t>
  </si>
  <si>
    <t>rellenar hasta arriba</t>
  </si>
  <si>
    <t>Deseo de comer buena comida</t>
  </si>
  <si>
    <t>Madera partida</t>
  </si>
  <si>
    <t>Mamar</t>
  </si>
  <si>
    <t>Calor</t>
  </si>
  <si>
    <t>goteo</t>
  </si>
  <si>
    <t>Fundido</t>
  </si>
  <si>
    <t>Convertirse en firme</t>
  </si>
  <si>
    <t>Da agua para beber</t>
  </si>
  <si>
    <t>Inicio</t>
  </si>
  <si>
    <t>Pisa</t>
  </si>
  <si>
    <t>Tener algo en la boca</t>
  </si>
  <si>
    <t>duda</t>
  </si>
  <si>
    <t>Bark</t>
  </si>
  <si>
    <t>haz que baile</t>
  </si>
  <si>
    <t>Con los amigos</t>
  </si>
  <si>
    <t>Relájate del trabajo</t>
  </si>
  <si>
    <t>Haz mucho ruido</t>
  </si>
  <si>
    <t>Parte/RIP</t>
  </si>
  <si>
    <t>Toca la flauta</t>
  </si>
  <si>
    <t>Oprime</t>
  </si>
  <si>
    <t>Atragantarse con la comida</t>
  </si>
  <si>
    <t>Escóndete</t>
  </si>
  <si>
    <t>Volverse frágil</t>
  </si>
  <si>
    <t>Cabezas de choque</t>
  </si>
  <si>
    <t>llega al final</t>
  </si>
  <si>
    <t>Da un paso</t>
  </si>
  <si>
    <t>Haz ondas</t>
  </si>
  <si>
    <t>Volverse retorcido</t>
  </si>
  <si>
    <t>Enrojarse</t>
  </si>
  <si>
    <t>Mash</t>
  </si>
  <si>
    <t>Volverse resbaladizo</t>
  </si>
  <si>
    <t>Ponerse duro</t>
  </si>
  <si>
    <t>Balanceo y movimiento</t>
  </si>
  <si>
    <t>Mezcla</t>
  </si>
  <si>
    <t>moratón o mazo</t>
  </si>
  <si>
    <t>Muy maduro</t>
  </si>
  <si>
    <t>envuelvo en un trapo</t>
  </si>
  <si>
    <t>Dejarlo seco</t>
  </si>
  <si>
    <t>pellizco</t>
  </si>
  <si>
    <t>imitar</t>
  </si>
  <si>
    <t>Sigue un buen ejemplo</t>
  </si>
  <si>
    <t>Parpadea</t>
  </si>
  <si>
    <t>Ocupar espacio</t>
  </si>
  <si>
    <t>Silbato con dientes en la lengua</t>
  </si>
  <si>
    <t>ocultar algo</t>
  </si>
  <si>
    <t>dominar</t>
  </si>
  <si>
    <t>Hazlo bien</t>
  </si>
  <si>
    <t>Peinado</t>
  </si>
  <si>
    <t>Cortado con un hacha</t>
  </si>
  <si>
    <t>Calienta</t>
  </si>
  <si>
    <t>Cerca/juntas (como en las piernas)</t>
  </si>
  <si>
    <t>Pulsar/apretar</t>
  </si>
  <si>
    <t>Flash</t>
  </si>
  <si>
    <t>Spray</t>
  </si>
  <si>
    <t>Organizar</t>
  </si>
  <si>
    <t>organizar/distribuir</t>
  </si>
  <si>
    <t>Resolver un problema</t>
  </si>
  <si>
    <t>causar pesadillas</t>
  </si>
  <si>
    <t>viver la vida plenamente</t>
  </si>
  <si>
    <t>tener agua en la boca</t>
  </si>
  <si>
    <t>x</t>
  </si>
  <si>
    <t>en_infl</t>
  </si>
  <si>
    <t>es_infl</t>
  </si>
  <si>
    <t>p_weight</t>
  </si>
  <si>
    <t>p_debug_percent</t>
  </si>
  <si>
    <t>kanasi</t>
  </si>
  <si>
    <t>nat</t>
  </si>
  <si>
    <t>press</t>
  </si>
  <si>
    <t>presionar</t>
  </si>
  <si>
    <t>experimir</t>
  </si>
  <si>
    <t>squeezed</t>
  </si>
  <si>
    <t>tul</t>
  </si>
  <si>
    <t>warm</t>
  </si>
  <si>
    <t>v_action | v_process</t>
  </si>
  <si>
    <t>calentar</t>
  </si>
  <si>
    <t>rek’ob’tas</t>
  </si>
  <si>
    <t>tz’uy</t>
  </si>
  <si>
    <t>yoles</t>
  </si>
  <si>
    <t>did well</t>
  </si>
  <si>
    <t>done well</t>
  </si>
  <si>
    <t>prosperar</t>
  </si>
  <si>
    <t>to do well</t>
  </si>
  <si>
    <t>artifact;emotion;substance;tool</t>
  </si>
  <si>
    <t>merer</t>
  </si>
  <si>
    <t>to blink your eyes</t>
  </si>
  <si>
    <t>blink</t>
  </si>
  <si>
    <t>parpadear</t>
  </si>
  <si>
    <t>sisb'</t>
  </si>
  <si>
    <t>sisb'ak</t>
  </si>
  <si>
    <t>ch'uch'ib'</t>
  </si>
  <si>
    <t>k'irtes</t>
  </si>
  <si>
    <t>ha’ob’res</t>
  </si>
  <si>
    <t>chokob’</t>
  </si>
  <si>
    <t>echajat</t>
  </si>
  <si>
    <t>xoy</t>
  </si>
  <si>
    <t>place</t>
  </si>
  <si>
    <t>xok</t>
  </si>
  <si>
    <t>oprimir</t>
  </si>
  <si>
    <t>xtzapb’</t>
  </si>
  <si>
    <t>hide</t>
  </si>
  <si>
    <t>esconderse</t>
  </si>
  <si>
    <t>human;kinship;occupation;animal_domestic;animal_wild</t>
  </si>
  <si>
    <t>to hide yourself</t>
  </si>
  <si>
    <t>hid</t>
  </si>
  <si>
    <t>hidden</t>
  </si>
  <si>
    <t>yoq’</t>
  </si>
  <si>
    <t>machacar</t>
  </si>
  <si>
    <t>fruit;food;vegetable</t>
  </si>
  <si>
    <t>yuq’yuq’</t>
  </si>
  <si>
    <t>to become very ripe</t>
  </si>
  <si>
    <t>fruit;vegetable</t>
  </si>
  <si>
    <t>yot</t>
  </si>
  <si>
    <t>harden</t>
  </si>
  <si>
    <t>endurecer</t>
  </si>
  <si>
    <t>fruit;vegetable;substance</t>
  </si>
  <si>
    <t>xey</t>
  </si>
  <si>
    <t>xejb'</t>
  </si>
  <si>
    <t>clamor</t>
  </si>
  <si>
    <t>clamorear</t>
  </si>
  <si>
    <t>tob'</t>
  </si>
  <si>
    <t>tob'ok</t>
  </si>
  <si>
    <t>break</t>
  </si>
  <si>
    <t>broke</t>
  </si>
  <si>
    <t>broken</t>
  </si>
  <si>
    <t>romper</t>
  </si>
  <si>
    <t>human;kinship;occupation;animal_domestic</t>
  </si>
  <si>
    <t>rip</t>
  </si>
  <si>
    <t>rasgar</t>
  </si>
  <si>
    <t>machitarse</t>
  </si>
  <si>
    <t>t'oqe</t>
  </si>
  <si>
    <t>to break/to rip</t>
  </si>
  <si>
    <t>tuye'</t>
  </si>
  <si>
    <t>tuye'k</t>
  </si>
  <si>
    <t>reel</t>
  </si>
  <si>
    <t>tambalear</t>
  </si>
  <si>
    <t>artifact;furniture;tool;vehicle</t>
  </si>
  <si>
    <t>food;vegetable</t>
  </si>
  <si>
    <t>agonize in pain</t>
  </si>
  <si>
    <t>qixb'ak</t>
  </si>
  <si>
    <t>loq'ok</t>
  </si>
  <si>
    <t>carry a load with a leather strap</t>
  </si>
  <si>
    <t>artifact;food;fruit;tool;vegetable</t>
  </si>
  <si>
    <t>b'itonk</t>
  </si>
  <si>
    <t>b'it</t>
  </si>
  <si>
    <t>carry on head</t>
  </si>
  <si>
    <t>majewank</t>
  </si>
  <si>
    <t>animal_domesticated;animal_wild;food;fruit;plant;vegetable</t>
  </si>
  <si>
    <t>musiqi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</si>
</sst>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0" fillId="33" borderId="0" xfId="0" applyFill="1"/>
    <xf numFmtId="0" fontId="0" fillId="34" borderId="0" xfId="0" applyFill="1"/>
    <xf numFmtId="0" fontId="0" fillId="35" borderId="0" xfId="0" applyFill="1"/>
    <xf numFmtId="164" fontId="0" fillId="0" borderId="0" xfId="0" applyNumberFormat="1"/>
    <xf numFmtId="164" fontId="0" fillId="0" borderId="0" xfId="0" quotePrefix="1" applyNumberFormat="1"/>
    <xf numFmtId="165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9AC4-E453-40C3-9F3F-D16F990E0023}">
  <dimension ref="A1:V177"/>
  <sheetViews>
    <sheetView tabSelected="1" workbookViewId="0">
      <pane ySplit="1" topLeftCell="A32" activePane="bottomLeft" state="frozen"/>
      <selection pane="bottomLeft" activeCell="A17" sqref="A17"/>
    </sheetView>
  </sheetViews>
  <sheetFormatPr defaultRowHeight="14.25" x14ac:dyDescent="0.45"/>
  <cols>
    <col min="1" max="10" width="12.6640625" customWidth="1"/>
    <col min="11" max="11" width="76.3984375" customWidth="1"/>
    <col min="12" max="12" width="25.33203125" customWidth="1"/>
    <col min="13" max="13" width="6.86328125" customWidth="1"/>
    <col min="14" max="14" width="37.265625" customWidth="1"/>
    <col min="15" max="19" width="24.53125" customWidth="1"/>
    <col min="20" max="20" width="17.46484375" customWidth="1"/>
    <col min="21" max="21" width="13.33203125" style="11" bestFit="1" customWidth="1"/>
    <col min="22" max="22" width="9.3984375" style="11" bestFit="1" customWidth="1"/>
  </cols>
  <sheetData>
    <row r="1" spans="1:22" x14ac:dyDescent="0.45">
      <c r="A1" t="s">
        <v>0</v>
      </c>
      <c r="B1" t="s">
        <v>1041</v>
      </c>
      <c r="C1" t="s">
        <v>1</v>
      </c>
      <c r="D1" t="s">
        <v>837</v>
      </c>
      <c r="E1" t="s">
        <v>838</v>
      </c>
      <c r="F1" t="s">
        <v>1650</v>
      </c>
      <c r="G1" t="s">
        <v>176</v>
      </c>
      <c r="H1" t="s">
        <v>841</v>
      </c>
      <c r="I1" t="s">
        <v>839</v>
      </c>
      <c r="J1" t="s">
        <v>840</v>
      </c>
      <c r="K1" t="s">
        <v>1651</v>
      </c>
      <c r="L1" t="s">
        <v>2</v>
      </c>
      <c r="M1" t="s">
        <v>3</v>
      </c>
      <c r="N1" t="s">
        <v>850</v>
      </c>
      <c r="O1" t="s">
        <v>851</v>
      </c>
      <c r="P1" t="s">
        <v>852</v>
      </c>
      <c r="Q1" t="s">
        <v>854</v>
      </c>
      <c r="R1" t="s">
        <v>855</v>
      </c>
      <c r="S1" t="s">
        <v>1040</v>
      </c>
      <c r="T1" t="s">
        <v>6</v>
      </c>
      <c r="U1" s="11" t="s">
        <v>1652</v>
      </c>
      <c r="V1" s="11" t="s">
        <v>1653</v>
      </c>
    </row>
    <row r="2" spans="1:22" x14ac:dyDescent="0.45">
      <c r="A2" t="s">
        <v>18</v>
      </c>
      <c r="B2" t="s">
        <v>1042</v>
      </c>
      <c r="C2" t="s">
        <v>137</v>
      </c>
      <c r="G2" s="1" t="s">
        <v>191</v>
      </c>
      <c r="H2" s="1"/>
      <c r="I2" s="1"/>
      <c r="J2" s="1"/>
      <c r="K2" s="1"/>
      <c r="L2" t="s">
        <v>868</v>
      </c>
      <c r="M2" t="s">
        <v>8</v>
      </c>
      <c r="N2" t="s">
        <v>319</v>
      </c>
      <c r="O2" t="s">
        <v>833</v>
      </c>
      <c r="T2" t="s">
        <v>1726</v>
      </c>
      <c r="U2" s="10">
        <v>165.95869074375599</v>
      </c>
      <c r="V2" s="9">
        <v>9.4372626587892205E-4</v>
      </c>
    </row>
    <row r="3" spans="1:22" x14ac:dyDescent="0.45">
      <c r="A3" t="s">
        <v>1046</v>
      </c>
      <c r="B3" t="s">
        <v>393</v>
      </c>
      <c r="C3" t="s">
        <v>137</v>
      </c>
      <c r="G3" t="s">
        <v>191</v>
      </c>
      <c r="L3" t="s">
        <v>868</v>
      </c>
      <c r="M3" t="s">
        <v>8</v>
      </c>
      <c r="N3" t="s">
        <v>319</v>
      </c>
      <c r="O3" t="s">
        <v>833</v>
      </c>
      <c r="T3" t="s">
        <v>1726</v>
      </c>
      <c r="U3" s="10">
        <v>165.95869074375599</v>
      </c>
      <c r="V3" s="9">
        <v>9.4372626587892205E-4</v>
      </c>
    </row>
    <row r="4" spans="1:22" x14ac:dyDescent="0.45">
      <c r="A4" t="s">
        <v>1189</v>
      </c>
      <c r="B4" t="s">
        <v>1188</v>
      </c>
      <c r="C4" t="s">
        <v>1190</v>
      </c>
      <c r="G4" t="s">
        <v>1223</v>
      </c>
      <c r="L4" t="s">
        <v>1011</v>
      </c>
      <c r="M4" t="s">
        <v>11</v>
      </c>
      <c r="N4" t="s">
        <v>320</v>
      </c>
      <c r="U4" s="12">
        <v>147910.83881682</v>
      </c>
      <c r="V4" s="12">
        <v>0.84109691980604595</v>
      </c>
    </row>
    <row r="5" spans="1:22" x14ac:dyDescent="0.45">
      <c r="A5" t="s">
        <v>19</v>
      </c>
      <c r="B5" t="s">
        <v>1047</v>
      </c>
      <c r="C5" t="s">
        <v>79</v>
      </c>
      <c r="G5" s="1" t="s">
        <v>254</v>
      </c>
      <c r="H5" s="1"/>
      <c r="I5" s="1"/>
      <c r="J5" s="1"/>
      <c r="K5" s="1"/>
      <c r="L5" t="s">
        <v>899</v>
      </c>
      <c r="M5" t="s">
        <v>11</v>
      </c>
      <c r="N5" t="s">
        <v>1028</v>
      </c>
      <c r="O5" t="s">
        <v>833</v>
      </c>
      <c r="P5" t="s">
        <v>320</v>
      </c>
      <c r="U5" s="12">
        <v>218776.162394955</v>
      </c>
      <c r="V5" s="12">
        <v>1.2440735093475599</v>
      </c>
    </row>
    <row r="6" spans="1:22" x14ac:dyDescent="0.45">
      <c r="A6" t="s">
        <v>1235</v>
      </c>
      <c r="B6" t="s">
        <v>1048</v>
      </c>
      <c r="C6" t="s">
        <v>79</v>
      </c>
      <c r="G6" s="1" t="s">
        <v>276</v>
      </c>
      <c r="H6" s="1" t="s">
        <v>277</v>
      </c>
      <c r="I6" s="1" t="s">
        <v>278</v>
      </c>
      <c r="J6" s="1" t="s">
        <v>279</v>
      </c>
      <c r="K6" s="1" t="str">
        <f>"{'es.verb.past':'"&amp;H6&amp;"','es.verb.pp':'"&amp;I6&amp;",'es.verb.ger':'"&amp;J6&amp;"'}"</f>
        <v>{'es.verb.past':'pidió','es.verb.pp':'pedido,'es.verb.ger':'pidiendo'}</v>
      </c>
      <c r="L6" t="s">
        <v>899</v>
      </c>
      <c r="M6" t="s">
        <v>11</v>
      </c>
      <c r="N6" t="s">
        <v>1028</v>
      </c>
      <c r="O6" t="s">
        <v>833</v>
      </c>
      <c r="P6" t="s">
        <v>320</v>
      </c>
      <c r="U6" s="12">
        <v>218776.162394955</v>
      </c>
      <c r="V6" s="12">
        <v>1.2440735093475599</v>
      </c>
    </row>
    <row r="7" spans="1:22" x14ac:dyDescent="0.45">
      <c r="A7" t="s">
        <v>20</v>
      </c>
      <c r="B7" t="s">
        <v>1049</v>
      </c>
      <c r="C7" t="s">
        <v>80</v>
      </c>
      <c r="G7" s="1" t="s">
        <v>188</v>
      </c>
      <c r="H7" s="1" t="s">
        <v>1039</v>
      </c>
      <c r="I7" s="1" t="s">
        <v>189</v>
      </c>
      <c r="J7" s="1"/>
      <c r="K7" s="1" t="str">
        <f>"{'es.verb.past':'"&amp;H7&amp;"','es.verb.pp':'"&amp;I7&amp;"'}"</f>
        <v>{'es.verb.past':'bañó','es.verb.pp':'bañado'}</v>
      </c>
      <c r="L7" t="s">
        <v>863</v>
      </c>
      <c r="M7" t="s">
        <v>8</v>
      </c>
      <c r="N7" t="s">
        <v>320</v>
      </c>
      <c r="O7" t="s">
        <v>833</v>
      </c>
      <c r="U7" s="12">
        <v>2344.2288153199202</v>
      </c>
      <c r="V7" s="9">
        <v>1.33304878240061E-2</v>
      </c>
    </row>
    <row r="8" spans="1:22" x14ac:dyDescent="0.45">
      <c r="A8" t="s">
        <v>1050</v>
      </c>
      <c r="B8" t="s">
        <v>415</v>
      </c>
      <c r="C8" t="s">
        <v>724</v>
      </c>
      <c r="D8" t="s">
        <v>724</v>
      </c>
      <c r="E8" t="s">
        <v>805</v>
      </c>
      <c r="F8" t="str">
        <f>"{'en.verb.past':'"&amp;D8&amp;"','en.verb.pp':'"&amp;E8&amp;"'}"</f>
        <v>{'en.verb.past':'beat','en.verb.pp':'beaten'}</v>
      </c>
      <c r="G8" t="s">
        <v>198</v>
      </c>
      <c r="K8" s="1"/>
      <c r="L8" t="s">
        <v>879</v>
      </c>
      <c r="M8" t="s">
        <v>11</v>
      </c>
      <c r="N8" t="s">
        <v>320</v>
      </c>
      <c r="O8" t="s">
        <v>833</v>
      </c>
      <c r="P8" t="s">
        <v>349</v>
      </c>
      <c r="U8" s="12">
        <v>102329.299228075</v>
      </c>
      <c r="V8" s="12">
        <v>0.58189689866634298</v>
      </c>
    </row>
    <row r="9" spans="1:22" x14ac:dyDescent="0.45">
      <c r="A9" t="s">
        <v>1083</v>
      </c>
      <c r="B9" t="s">
        <v>416</v>
      </c>
      <c r="C9" t="s">
        <v>724</v>
      </c>
      <c r="D9" t="s">
        <v>724</v>
      </c>
      <c r="E9" t="s">
        <v>805</v>
      </c>
      <c r="F9" t="str">
        <f>"{'en.verb.past':'"&amp;D9&amp;"','en.verb.pp':'"&amp;E9&amp;"'}"</f>
        <v>{'en.verb.past':'beat','en.verb.pp':'beaten'}</v>
      </c>
      <c r="G9" t="s">
        <v>198</v>
      </c>
      <c r="K9" s="1"/>
      <c r="L9" t="s">
        <v>879</v>
      </c>
      <c r="M9" t="s">
        <v>11</v>
      </c>
      <c r="N9" t="s">
        <v>320</v>
      </c>
      <c r="O9" t="s">
        <v>833</v>
      </c>
      <c r="P9" t="s">
        <v>349</v>
      </c>
      <c r="U9" s="12">
        <v>102329.299228075</v>
      </c>
      <c r="V9" s="12">
        <v>0.58189689866634298</v>
      </c>
    </row>
    <row r="10" spans="1:22" x14ac:dyDescent="0.45">
      <c r="A10" t="s">
        <v>1084</v>
      </c>
      <c r="B10" t="s">
        <v>542</v>
      </c>
      <c r="C10" t="s">
        <v>724</v>
      </c>
      <c r="D10" t="s">
        <v>724</v>
      </c>
      <c r="E10" t="s">
        <v>805</v>
      </c>
      <c r="F10" t="str">
        <f>"{'en.verb.past':'"&amp;D10&amp;"','en.verb.pp':'"&amp;E10&amp;"'}"</f>
        <v>{'en.verb.past':'beat','en.verb.pp':'beaten'}</v>
      </c>
      <c r="G10" t="s">
        <v>198</v>
      </c>
      <c r="K10" s="1"/>
      <c r="L10" t="s">
        <v>879</v>
      </c>
      <c r="M10" t="s">
        <v>11</v>
      </c>
      <c r="N10" t="s">
        <v>320</v>
      </c>
      <c r="O10" t="s">
        <v>833</v>
      </c>
      <c r="P10" t="s">
        <v>349</v>
      </c>
      <c r="U10" s="12">
        <v>102329.299228075</v>
      </c>
      <c r="V10" s="12">
        <v>0.58189689866634298</v>
      </c>
    </row>
    <row r="11" spans="1:22" x14ac:dyDescent="0.45">
      <c r="A11" t="s">
        <v>21</v>
      </c>
      <c r="B11" t="s">
        <v>1051</v>
      </c>
      <c r="C11" t="s">
        <v>81</v>
      </c>
      <c r="G11" s="1" t="s">
        <v>273</v>
      </c>
      <c r="H11" s="1"/>
      <c r="I11" s="1"/>
      <c r="J11" s="1"/>
      <c r="K11" s="1"/>
      <c r="L11" t="s">
        <v>925</v>
      </c>
      <c r="M11" t="s">
        <v>11</v>
      </c>
      <c r="N11" t="s">
        <v>320</v>
      </c>
      <c r="O11" t="s">
        <v>833</v>
      </c>
      <c r="P11" t="s">
        <v>320</v>
      </c>
      <c r="U11" s="12">
        <v>102.329299228075</v>
      </c>
      <c r="V11" s="9">
        <v>5.8189689866634299E-4</v>
      </c>
    </row>
    <row r="12" spans="1:22" x14ac:dyDescent="0.45">
      <c r="A12" t="s">
        <v>175</v>
      </c>
      <c r="B12" t="s">
        <v>1236</v>
      </c>
      <c r="C12" t="s">
        <v>82</v>
      </c>
      <c r="D12" t="s">
        <v>166</v>
      </c>
      <c r="E12" t="s">
        <v>167</v>
      </c>
      <c r="F12" t="str">
        <f>"{'en.verb.past':'"&amp;D12&amp;"','en.verb.pp':'"&amp;E12&amp;"'}"</f>
        <v>{'en.verb.past':'bit','en.verb.pp':'bitten'}</v>
      </c>
      <c r="G12" s="1" t="s">
        <v>262</v>
      </c>
      <c r="H12" s="1" t="s">
        <v>263</v>
      </c>
      <c r="I12" s="1" t="s">
        <v>264</v>
      </c>
      <c r="J12" s="1"/>
      <c r="K12" s="1" t="str">
        <f>"{'es.verb.past':'"&amp;H12&amp;"','es.verb.pp':'"&amp;I12&amp;"'}"</f>
        <v>{'es.verb.past':'mordió','es.verb.pp':'mordido'}</v>
      </c>
      <c r="L12" t="s">
        <v>879</v>
      </c>
      <c r="M12" t="s">
        <v>11</v>
      </c>
      <c r="N12" t="s">
        <v>319</v>
      </c>
      <c r="O12" t="s">
        <v>833</v>
      </c>
      <c r="P12" t="s">
        <v>317</v>
      </c>
      <c r="U12" s="12">
        <v>20417.379446695199</v>
      </c>
      <c r="V12" s="12">
        <v>0.11610369531062099</v>
      </c>
    </row>
    <row r="13" spans="1:22" x14ac:dyDescent="0.45">
      <c r="A13" s="6" t="s">
        <v>1672</v>
      </c>
      <c r="B13" t="s">
        <v>648</v>
      </c>
      <c r="C13" t="s">
        <v>1674</v>
      </c>
      <c r="G13" s="1" t="s">
        <v>1675</v>
      </c>
      <c r="K13" s="1"/>
      <c r="L13" t="s">
        <v>1020</v>
      </c>
      <c r="M13" t="s">
        <v>8</v>
      </c>
      <c r="N13" t="s">
        <v>319</v>
      </c>
      <c r="O13" t="s">
        <v>833</v>
      </c>
      <c r="T13" t="s">
        <v>1673</v>
      </c>
      <c r="U13" s="12"/>
      <c r="V13" s="12"/>
    </row>
    <row r="14" spans="1:22" x14ac:dyDescent="0.45">
      <c r="A14" t="s">
        <v>22</v>
      </c>
      <c r="B14" t="s">
        <v>1052</v>
      </c>
      <c r="C14" t="s">
        <v>83</v>
      </c>
      <c r="G14" s="1" t="s">
        <v>296</v>
      </c>
      <c r="H14" s="1" t="s">
        <v>297</v>
      </c>
      <c r="I14" s="1" t="s">
        <v>298</v>
      </c>
      <c r="J14" s="1" t="s">
        <v>299</v>
      </c>
      <c r="K14" s="1" t="str">
        <f>"{'es.verb.past':'"&amp;H14&amp;"','es.verb.pp':'"&amp;I14&amp;",'es.verb.ger':'"&amp;J14&amp;"'}"</f>
        <v>{'es.verb.past':'hirvió','es.verb.pp':'hervido,'es.verb.ger':'hirviendo'}</v>
      </c>
      <c r="L14" t="s">
        <v>892</v>
      </c>
      <c r="M14" t="s">
        <v>11</v>
      </c>
      <c r="N14" t="s">
        <v>320</v>
      </c>
      <c r="O14" t="s">
        <v>833</v>
      </c>
      <c r="P14" t="s">
        <v>853</v>
      </c>
      <c r="U14" s="12">
        <v>6760.8297539198102</v>
      </c>
      <c r="V14" s="12">
        <v>3.84455468364793E-2</v>
      </c>
    </row>
    <row r="15" spans="1:22" x14ac:dyDescent="0.45">
      <c r="A15" s="6" t="s">
        <v>1654</v>
      </c>
      <c r="B15" t="s">
        <v>669</v>
      </c>
      <c r="C15" t="s">
        <v>758</v>
      </c>
      <c r="G15" t="s">
        <v>763</v>
      </c>
      <c r="K15" s="1"/>
      <c r="L15" t="s">
        <v>869</v>
      </c>
      <c r="M15" t="s">
        <v>8</v>
      </c>
      <c r="N15" t="s">
        <v>1028</v>
      </c>
      <c r="O15" t="s">
        <v>833</v>
      </c>
      <c r="U15" s="12">
        <v>3090.2954325135902</v>
      </c>
      <c r="V15" s="12">
        <v>1.7573005402240199E-2</v>
      </c>
    </row>
    <row r="16" spans="1:22" x14ac:dyDescent="0.45">
      <c r="A16" s="6" t="s">
        <v>1708</v>
      </c>
      <c r="B16" t="s">
        <v>1709</v>
      </c>
      <c r="C16" t="s">
        <v>1710</v>
      </c>
      <c r="D16" t="s">
        <v>1711</v>
      </c>
      <c r="E16" t="s">
        <v>1712</v>
      </c>
      <c r="G16" s="1" t="s">
        <v>1713</v>
      </c>
      <c r="L16" t="s">
        <v>1020</v>
      </c>
      <c r="M16" t="s">
        <v>11</v>
      </c>
      <c r="N16" t="s">
        <v>1714</v>
      </c>
      <c r="O16" t="s">
        <v>833</v>
      </c>
      <c r="P16" t="s">
        <v>1724</v>
      </c>
      <c r="T16" t="s">
        <v>1719</v>
      </c>
    </row>
    <row r="17" spans="1:22" x14ac:dyDescent="0.45">
      <c r="A17" t="s">
        <v>1736</v>
      </c>
      <c r="B17" t="s">
        <v>1053</v>
      </c>
      <c r="C17" t="s">
        <v>84</v>
      </c>
      <c r="G17" s="1" t="s">
        <v>244</v>
      </c>
      <c r="H17" s="1"/>
      <c r="I17" s="1"/>
      <c r="J17" s="1"/>
      <c r="K17" s="1"/>
      <c r="L17" t="s">
        <v>911</v>
      </c>
      <c r="M17" t="s">
        <v>8</v>
      </c>
      <c r="N17" t="s">
        <v>319</v>
      </c>
      <c r="O17" t="s">
        <v>833</v>
      </c>
      <c r="U17" s="12">
        <v>18197.008586099801</v>
      </c>
      <c r="V17" s="12">
        <v>0.103477527366386</v>
      </c>
    </row>
    <row r="18" spans="1:22" x14ac:dyDescent="0.45">
      <c r="A18" t="s">
        <v>27</v>
      </c>
      <c r="B18" t="s">
        <v>1085</v>
      </c>
      <c r="C18" t="s">
        <v>842</v>
      </c>
      <c r="D18" t="s">
        <v>843</v>
      </c>
      <c r="E18" t="s">
        <v>843</v>
      </c>
      <c r="F18" t="str">
        <f>"{'en.verb.past':'"&amp;D18&amp;"','en.verb.pp':'"&amp;E18&amp;"'}"</f>
        <v>{'en.verb.past':'built','en.verb.pp':'built'}</v>
      </c>
      <c r="G18" s="1" t="s">
        <v>280</v>
      </c>
      <c r="H18" s="1" t="s">
        <v>281</v>
      </c>
      <c r="I18" s="1" t="s">
        <v>282</v>
      </c>
      <c r="J18" s="1" t="s">
        <v>283</v>
      </c>
      <c r="K18" s="1" t="str">
        <f>"{'es.verb.past':'"&amp;H18&amp;"','es.verb.pp':'"&amp;I18&amp;",'es.verb.ger':'"&amp;J18&amp;"'}"</f>
        <v>{'es.verb.past':'construyó','es.verb.pp':'construido,'es.verb.ger':'construyendo'}</v>
      </c>
      <c r="L18" t="s">
        <v>927</v>
      </c>
      <c r="M18" t="s">
        <v>11</v>
      </c>
      <c r="N18" t="s">
        <v>320</v>
      </c>
      <c r="O18" t="s">
        <v>833</v>
      </c>
      <c r="P18" t="s">
        <v>844</v>
      </c>
      <c r="U18" s="12">
        <v>109647.819614318</v>
      </c>
      <c r="V18" s="12">
        <v>0.62351376057887797</v>
      </c>
    </row>
    <row r="19" spans="1:22" x14ac:dyDescent="0.45">
      <c r="A19" t="s">
        <v>1086</v>
      </c>
      <c r="B19" t="s">
        <v>396</v>
      </c>
      <c r="C19" t="s">
        <v>712</v>
      </c>
      <c r="G19" t="s">
        <v>764</v>
      </c>
      <c r="K19" s="1"/>
      <c r="L19" t="s">
        <v>878</v>
      </c>
      <c r="M19" t="s">
        <v>8</v>
      </c>
      <c r="N19" t="s">
        <v>350</v>
      </c>
      <c r="U19" s="12">
        <v>1737.8008287493701</v>
      </c>
      <c r="V19" s="9">
        <v>9.8820271454729304E-3</v>
      </c>
    </row>
    <row r="20" spans="1:22" x14ac:dyDescent="0.45">
      <c r="A20" t="s">
        <v>23</v>
      </c>
      <c r="B20" t="s">
        <v>1727</v>
      </c>
      <c r="C20" t="s">
        <v>85</v>
      </c>
      <c r="G20" s="1" t="s">
        <v>265</v>
      </c>
      <c r="H20" s="1"/>
      <c r="I20" s="1"/>
      <c r="J20" s="1"/>
      <c r="K20" s="1"/>
      <c r="L20" t="s">
        <v>914</v>
      </c>
      <c r="M20" t="s">
        <v>8</v>
      </c>
      <c r="N20" t="s">
        <v>1028</v>
      </c>
      <c r="O20" t="s">
        <v>833</v>
      </c>
      <c r="U20" s="12">
        <v>645.65422903465503</v>
      </c>
      <c r="V20" s="9">
        <v>3.6715212194377601E-3</v>
      </c>
    </row>
    <row r="21" spans="1:22" x14ac:dyDescent="0.45">
      <c r="A21" t="s">
        <v>172</v>
      </c>
      <c r="B21" t="s">
        <v>1728</v>
      </c>
      <c r="C21" t="s">
        <v>86</v>
      </c>
      <c r="D21" t="s">
        <v>164</v>
      </c>
      <c r="E21" t="s">
        <v>164</v>
      </c>
      <c r="F21" t="str">
        <f>"{'en.verb.past':'"&amp;D21&amp;"','en.verb.pp':'"&amp;E21&amp;"'}"</f>
        <v>{'en.verb.past':'bought','en.verb.pp':'bought'}</v>
      </c>
      <c r="G21" s="1" t="s">
        <v>235</v>
      </c>
      <c r="H21" s="1"/>
      <c r="I21" s="1"/>
      <c r="J21" s="1"/>
      <c r="K21" s="1"/>
      <c r="L21" t="s">
        <v>902</v>
      </c>
      <c r="M21" t="s">
        <v>11</v>
      </c>
      <c r="N21" t="s">
        <v>320</v>
      </c>
      <c r="O21" t="s">
        <v>833</v>
      </c>
      <c r="P21" t="s">
        <v>318</v>
      </c>
      <c r="U21" s="12">
        <v>208929.61308540401</v>
      </c>
      <c r="V21" s="12">
        <v>1.18808097789259</v>
      </c>
    </row>
    <row r="22" spans="1:22" x14ac:dyDescent="0.45">
      <c r="A22" t="s">
        <v>24</v>
      </c>
      <c r="B22" t="s">
        <v>1087</v>
      </c>
      <c r="C22" t="s">
        <v>87</v>
      </c>
      <c r="G22" s="1" t="s">
        <v>274</v>
      </c>
      <c r="H22" s="1" t="s">
        <v>1037</v>
      </c>
      <c r="I22" s="1" t="s">
        <v>275</v>
      </c>
      <c r="J22" s="1"/>
      <c r="K22" s="1" t="str">
        <f>"{'es.verb.past':'"&amp;H22&amp;"','es.verb.pp':'"&amp;I22&amp;"'}"</f>
        <v>{'es.verb.past':'calmó','es.verb.pp':'calmado'}</v>
      </c>
      <c r="L22" t="s">
        <v>926</v>
      </c>
      <c r="M22" t="s">
        <v>11</v>
      </c>
      <c r="N22" t="s">
        <v>320</v>
      </c>
      <c r="O22" t="s">
        <v>833</v>
      </c>
      <c r="P22" t="s">
        <v>320</v>
      </c>
      <c r="T22" t="s">
        <v>87</v>
      </c>
      <c r="U22" s="12">
        <v>34673.6850452531</v>
      </c>
      <c r="V22" s="12">
        <v>0.19717236358861601</v>
      </c>
    </row>
    <row r="23" spans="1:22" x14ac:dyDescent="0.45">
      <c r="A23" t="s">
        <v>25</v>
      </c>
      <c r="B23" t="s">
        <v>1054</v>
      </c>
      <c r="C23" t="s">
        <v>88</v>
      </c>
      <c r="D23" t="s">
        <v>163</v>
      </c>
      <c r="E23" t="s">
        <v>163</v>
      </c>
      <c r="F23" t="str">
        <f>"{'en.verb.past':'"&amp;D23&amp;"','en.verb.pp':'"&amp;E23&amp;"'}"</f>
        <v>{'en.verb.past':'carried','en.verb.pp':'carried'}</v>
      </c>
      <c r="G23" s="1" t="s">
        <v>233</v>
      </c>
      <c r="H23" s="1" t="s">
        <v>831</v>
      </c>
      <c r="I23" s="1" t="s">
        <v>832</v>
      </c>
      <c r="J23" s="1" t="s">
        <v>234</v>
      </c>
      <c r="K23" s="1" t="str">
        <f>"{'es.verb.past':'"&amp;H23&amp;"','es.verb.pp':'"&amp;I23&amp;",'es.verb.ger':'"&amp;J23&amp;"'}"</f>
        <v>{'es.verb.past':'cargó','es.verb.pp':'cargado,'es.verb.ger':'cargando'}</v>
      </c>
      <c r="L23" t="s">
        <v>873</v>
      </c>
      <c r="M23" t="s">
        <v>11</v>
      </c>
      <c r="N23" t="s">
        <v>319</v>
      </c>
      <c r="O23" t="s">
        <v>833</v>
      </c>
      <c r="P23" t="s">
        <v>1730</v>
      </c>
      <c r="T23" t="s">
        <v>1729</v>
      </c>
      <c r="U23" s="12">
        <v>77624.7116628691</v>
      </c>
      <c r="V23" s="12">
        <v>0.44141393830731701</v>
      </c>
    </row>
    <row r="24" spans="1:22" x14ac:dyDescent="0.45">
      <c r="A24" t="s">
        <v>1732</v>
      </c>
      <c r="B24" t="s">
        <v>1731</v>
      </c>
      <c r="C24" t="s">
        <v>88</v>
      </c>
      <c r="D24" t="s">
        <v>163</v>
      </c>
      <c r="E24" t="s">
        <v>163</v>
      </c>
      <c r="F24" t="str">
        <f>"{'en.verb.past':'"&amp;D24&amp;"','en.verb.pp':'"&amp;E24&amp;"'}"</f>
        <v>{'en.verb.past':'carried','en.verb.pp':'carried'}</v>
      </c>
      <c r="G24" s="1" t="s">
        <v>233</v>
      </c>
      <c r="H24" s="1" t="s">
        <v>831</v>
      </c>
      <c r="I24" s="1" t="s">
        <v>832</v>
      </c>
      <c r="J24" s="1" t="s">
        <v>234</v>
      </c>
      <c r="K24" s="1" t="str">
        <f>"{'es.verb.past':'"&amp;H24&amp;"','es.verb.pp':'"&amp;I24&amp;",'es.verb.ger':'"&amp;J24&amp;"'}"</f>
        <v>{'es.verb.past':'cargó','es.verb.pp':'cargado,'es.verb.ger':'cargando'}</v>
      </c>
      <c r="L24" t="s">
        <v>873</v>
      </c>
      <c r="M24" t="s">
        <v>11</v>
      </c>
      <c r="N24" t="s">
        <v>319</v>
      </c>
      <c r="O24" t="s">
        <v>833</v>
      </c>
      <c r="P24" t="s">
        <v>1730</v>
      </c>
      <c r="T24" t="s">
        <v>1733</v>
      </c>
      <c r="U24" s="12"/>
      <c r="V24" s="12"/>
    </row>
    <row r="25" spans="1:22" x14ac:dyDescent="0.45">
      <c r="A25" s="6" t="s">
        <v>1705</v>
      </c>
      <c r="B25" t="s">
        <v>620</v>
      </c>
      <c r="C25" t="s">
        <v>1706</v>
      </c>
      <c r="G25" t="s">
        <v>1707</v>
      </c>
      <c r="L25" t="s">
        <v>1020</v>
      </c>
      <c r="M25" t="s">
        <v>8</v>
      </c>
      <c r="N25" t="s">
        <v>1690</v>
      </c>
    </row>
    <row r="26" spans="1:22" x14ac:dyDescent="0.45">
      <c r="A26" t="s">
        <v>26</v>
      </c>
      <c r="B26" t="s">
        <v>1088</v>
      </c>
      <c r="C26" t="s">
        <v>12</v>
      </c>
      <c r="G26" s="1" t="s">
        <v>242</v>
      </c>
      <c r="H26" s="1"/>
      <c r="I26" s="1"/>
      <c r="J26" s="1"/>
      <c r="K26" s="1"/>
      <c r="L26" t="s">
        <v>910</v>
      </c>
      <c r="M26" t="s">
        <v>11</v>
      </c>
      <c r="N26" t="s">
        <v>320</v>
      </c>
      <c r="O26" t="s">
        <v>833</v>
      </c>
      <c r="P26" t="s">
        <v>149</v>
      </c>
      <c r="U26" s="12">
        <v>93325.430079698999</v>
      </c>
      <c r="V26" s="12">
        <v>0.53069627897129201</v>
      </c>
    </row>
    <row r="27" spans="1:22" x14ac:dyDescent="0.45">
      <c r="A27" t="s">
        <v>1169</v>
      </c>
      <c r="B27" t="s">
        <v>1170</v>
      </c>
      <c r="C27" t="s">
        <v>1171</v>
      </c>
      <c r="D27" t="s">
        <v>1183</v>
      </c>
      <c r="E27" t="s">
        <v>1171</v>
      </c>
      <c r="F27" t="str">
        <f>"{'en.verb.past':'"&amp;D27&amp;"','en.verb.pp':'"&amp;E27&amp;"'}"</f>
        <v>{'en.verb.past':'came','en.verb.pp':'come'}</v>
      </c>
      <c r="G27" t="s">
        <v>1215</v>
      </c>
      <c r="H27" t="s">
        <v>1216</v>
      </c>
      <c r="K27" s="1" t="str">
        <f>"{'es.verb.past':'"&amp;H27&amp;"'}"</f>
        <v>{'es.verb.past':'vine'}</v>
      </c>
      <c r="L27" t="s">
        <v>974</v>
      </c>
      <c r="M27" t="s">
        <v>8</v>
      </c>
      <c r="N27" t="s">
        <v>1028</v>
      </c>
      <c r="T27" t="s">
        <v>1172</v>
      </c>
      <c r="U27" s="12">
        <v>602559.58607435797</v>
      </c>
      <c r="V27" s="12">
        <v>3.4264629685077002</v>
      </c>
    </row>
    <row r="28" spans="1:22" x14ac:dyDescent="0.45">
      <c r="A28" t="s">
        <v>1089</v>
      </c>
      <c r="B28" t="s">
        <v>371</v>
      </c>
      <c r="C28" t="s">
        <v>693</v>
      </c>
      <c r="G28" t="s">
        <v>765</v>
      </c>
      <c r="K28" s="1"/>
      <c r="L28" t="s">
        <v>869</v>
      </c>
      <c r="M28" t="s">
        <v>8</v>
      </c>
      <c r="N28" t="s">
        <v>1028</v>
      </c>
      <c r="O28" t="s">
        <v>833</v>
      </c>
      <c r="U28" s="12">
        <v>16982.436524617398</v>
      </c>
      <c r="V28" s="9">
        <v>9.6570847450518596E-2</v>
      </c>
    </row>
    <row r="29" spans="1:22" x14ac:dyDescent="0.45">
      <c r="A29" t="s">
        <v>28</v>
      </c>
      <c r="B29" t="s">
        <v>1055</v>
      </c>
      <c r="C29" t="s">
        <v>89</v>
      </c>
      <c r="G29" s="1" t="s">
        <v>232</v>
      </c>
      <c r="H29" s="1"/>
      <c r="I29" s="1"/>
      <c r="J29" s="1"/>
      <c r="K29" s="1"/>
      <c r="L29" t="s">
        <v>905</v>
      </c>
      <c r="M29" t="s">
        <v>11</v>
      </c>
      <c r="N29" t="s">
        <v>320</v>
      </c>
      <c r="O29" t="s">
        <v>833</v>
      </c>
      <c r="P29" t="s">
        <v>1725</v>
      </c>
      <c r="U29" s="12">
        <v>44668.359215096301</v>
      </c>
      <c r="V29" s="12">
        <v>0.25400720899931001</v>
      </c>
    </row>
    <row r="30" spans="1:22" x14ac:dyDescent="0.45">
      <c r="A30" t="s">
        <v>29</v>
      </c>
      <c r="B30" t="s">
        <v>1090</v>
      </c>
      <c r="C30" t="s">
        <v>90</v>
      </c>
      <c r="G30" s="1" t="s">
        <v>247</v>
      </c>
      <c r="H30" s="1" t="s">
        <v>248</v>
      </c>
      <c r="I30" s="1" t="s">
        <v>249</v>
      </c>
      <c r="J30" s="1"/>
      <c r="K30" s="1" t="str">
        <f>"{'es.verb.past':'"&amp;H30&amp;"','es.verb.pp':'"&amp;I30&amp;"'}"</f>
        <v>{'es.verb.past':'tosió','es.verb.pp':'tosido'}</v>
      </c>
      <c r="L30" t="s">
        <v>914</v>
      </c>
      <c r="M30" t="s">
        <v>8</v>
      </c>
      <c r="N30" s="1" t="s">
        <v>1028</v>
      </c>
      <c r="O30" t="s">
        <v>833</v>
      </c>
      <c r="U30" s="12">
        <v>8912.5093813374497</v>
      </c>
      <c r="V30" s="12">
        <v>5.0681101184674802E-2</v>
      </c>
    </row>
    <row r="31" spans="1:22" x14ac:dyDescent="0.45">
      <c r="A31" t="s">
        <v>30</v>
      </c>
      <c r="B31" t="s">
        <v>1056</v>
      </c>
      <c r="C31" t="s">
        <v>91</v>
      </c>
      <c r="G31" s="1" t="s">
        <v>185</v>
      </c>
      <c r="H31" s="1" t="s">
        <v>186</v>
      </c>
      <c r="I31" s="1" t="s">
        <v>187</v>
      </c>
      <c r="J31" s="1"/>
      <c r="K31" s="1" t="str">
        <f>"{'es.verb.past':'"&amp;H31&amp;"','es.verb.pp':'"&amp;I31&amp;"'}"</f>
        <v>{'es.verb.past':'contó','es.verb.pp':'contado'}</v>
      </c>
      <c r="L31" t="s">
        <v>859</v>
      </c>
      <c r="M31" t="s">
        <v>11</v>
      </c>
      <c r="N31" s="1" t="s">
        <v>320</v>
      </c>
      <c r="O31" t="s">
        <v>833</v>
      </c>
      <c r="P31" t="s">
        <v>345</v>
      </c>
      <c r="U31" s="12">
        <v>74131.024130091697</v>
      </c>
      <c r="V31" s="9">
        <v>0.42154703845001201</v>
      </c>
    </row>
    <row r="32" spans="1:22" x14ac:dyDescent="0.45">
      <c r="A32" t="s">
        <v>1091</v>
      </c>
      <c r="B32" t="s">
        <v>458</v>
      </c>
      <c r="C32" t="s">
        <v>747</v>
      </c>
      <c r="G32" t="s">
        <v>766</v>
      </c>
      <c r="K32" s="1"/>
      <c r="L32" t="s">
        <v>857</v>
      </c>
      <c r="M32" t="s">
        <v>8</v>
      </c>
      <c r="N32" t="s">
        <v>847</v>
      </c>
      <c r="O32" t="s">
        <v>833</v>
      </c>
      <c r="U32" s="9">
        <v>5888.43655355589</v>
      </c>
      <c r="V32" s="9">
        <v>3.3484671490524601E-2</v>
      </c>
    </row>
    <row r="33" spans="1:22" x14ac:dyDescent="0.45">
      <c r="A33" t="s">
        <v>1092</v>
      </c>
      <c r="B33" t="s">
        <v>395</v>
      </c>
      <c r="C33" t="s">
        <v>723</v>
      </c>
      <c r="G33" t="s">
        <v>767</v>
      </c>
      <c r="K33" s="1"/>
      <c r="L33" t="s">
        <v>879</v>
      </c>
      <c r="M33" t="s">
        <v>11</v>
      </c>
      <c r="N33" t="s">
        <v>320</v>
      </c>
      <c r="O33" t="s">
        <v>833</v>
      </c>
      <c r="P33" t="s">
        <v>353</v>
      </c>
      <c r="U33" s="12">
        <v>14791.083881682</v>
      </c>
      <c r="V33" s="9">
        <v>8.4109691980604598E-2</v>
      </c>
    </row>
    <row r="34" spans="1:22" x14ac:dyDescent="0.45">
      <c r="A34" t="s">
        <v>31</v>
      </c>
      <c r="B34" t="s">
        <v>1093</v>
      </c>
      <c r="C34" t="s">
        <v>92</v>
      </c>
      <c r="G34" s="1" t="s">
        <v>307</v>
      </c>
      <c r="H34" s="1"/>
      <c r="I34" s="1"/>
      <c r="J34" s="1"/>
      <c r="K34" s="1"/>
      <c r="L34" t="s">
        <v>933</v>
      </c>
      <c r="M34" t="s">
        <v>8</v>
      </c>
      <c r="N34" t="s">
        <v>1028</v>
      </c>
      <c r="O34" t="s">
        <v>833</v>
      </c>
      <c r="U34" s="12">
        <v>38904.514499427998</v>
      </c>
      <c r="V34" s="12">
        <v>0.22123103062476299</v>
      </c>
    </row>
    <row r="35" spans="1:22" x14ac:dyDescent="0.45">
      <c r="A35" t="s">
        <v>1679</v>
      </c>
      <c r="B35" t="s">
        <v>1057</v>
      </c>
      <c r="C35" t="s">
        <v>93</v>
      </c>
      <c r="G35" s="1" t="s">
        <v>228</v>
      </c>
      <c r="H35" s="1"/>
      <c r="I35" s="1"/>
      <c r="J35" s="1"/>
      <c r="K35" s="1"/>
      <c r="L35" t="s">
        <v>903</v>
      </c>
      <c r="M35" t="s">
        <v>11</v>
      </c>
      <c r="N35" t="s">
        <v>320</v>
      </c>
      <c r="O35" t="s">
        <v>833</v>
      </c>
      <c r="P35" t="s">
        <v>320</v>
      </c>
      <c r="U35" s="12">
        <v>20892.961308540402</v>
      </c>
      <c r="V35" s="12">
        <v>0.11880809778925901</v>
      </c>
    </row>
    <row r="36" spans="1:22" x14ac:dyDescent="0.45">
      <c r="A36" t="s">
        <v>173</v>
      </c>
      <c r="B36" t="s">
        <v>1734</v>
      </c>
      <c r="C36" t="s">
        <v>94</v>
      </c>
      <c r="G36" s="1" t="s">
        <v>238</v>
      </c>
      <c r="H36" s="1" t="s">
        <v>239</v>
      </c>
      <c r="I36" s="1" t="s">
        <v>240</v>
      </c>
      <c r="J36" s="1" t="s">
        <v>241</v>
      </c>
      <c r="K36" s="1" t="str">
        <f>"{'es.verb.past':'"&amp;H36&amp;"','es.verb.pp':'"&amp;I36&amp;",'es.verb.ger':'"&amp;J36&amp;"'}"</f>
        <v>{'es.verb.past':'maldijo','es.verb.pp':'maldecido,'es.verb.ger':'maldiciendo'}</v>
      </c>
      <c r="L36" t="s">
        <v>909</v>
      </c>
      <c r="M36" t="s">
        <v>11</v>
      </c>
      <c r="N36" t="s">
        <v>320</v>
      </c>
      <c r="O36" t="s">
        <v>833</v>
      </c>
      <c r="P36" t="s">
        <v>320</v>
      </c>
      <c r="U36" s="12">
        <v>11748.9755493953</v>
      </c>
      <c r="V36" s="9">
        <v>6.68107031541567E-2</v>
      </c>
    </row>
    <row r="37" spans="1:22" x14ac:dyDescent="0.45">
      <c r="A37" t="s">
        <v>171</v>
      </c>
      <c r="B37" t="s">
        <v>1058</v>
      </c>
      <c r="C37" t="s">
        <v>95</v>
      </c>
      <c r="D37" t="s">
        <v>95</v>
      </c>
      <c r="E37" t="s">
        <v>95</v>
      </c>
      <c r="F37" t="str">
        <f>"{'en.verb.past':'"&amp;D37&amp;"','en.verb.pp':'"&amp;E37&amp;"'}"</f>
        <v>{'en.verb.past':'cut','en.verb.pp':'cut'}</v>
      </c>
      <c r="G37" s="1" t="s">
        <v>231</v>
      </c>
      <c r="H37" s="1"/>
      <c r="I37" s="1"/>
      <c r="J37" s="1"/>
      <c r="K37" s="1"/>
      <c r="L37" t="s">
        <v>880</v>
      </c>
      <c r="M37" t="s">
        <v>11</v>
      </c>
      <c r="N37" t="s">
        <v>320</v>
      </c>
      <c r="O37" t="s">
        <v>833</v>
      </c>
      <c r="P37" t="s">
        <v>15</v>
      </c>
      <c r="U37" s="12">
        <v>173780.08287493701</v>
      </c>
      <c r="V37" s="12">
        <v>0.98820271454729303</v>
      </c>
    </row>
    <row r="38" spans="1:22" x14ac:dyDescent="0.45">
      <c r="A38" t="s">
        <v>1094</v>
      </c>
      <c r="B38" t="s">
        <v>397</v>
      </c>
      <c r="C38" t="s">
        <v>715</v>
      </c>
      <c r="G38" t="s">
        <v>768</v>
      </c>
      <c r="K38" s="1"/>
      <c r="L38" t="s">
        <v>879</v>
      </c>
      <c r="M38" t="s">
        <v>11</v>
      </c>
      <c r="N38" t="s">
        <v>320</v>
      </c>
      <c r="O38" t="s">
        <v>833</v>
      </c>
      <c r="P38" t="s">
        <v>347</v>
      </c>
      <c r="U38" s="12">
        <v>79432.823472428194</v>
      </c>
      <c r="V38" s="12">
        <v>0.45169578976492702</v>
      </c>
    </row>
    <row r="39" spans="1:22" x14ac:dyDescent="0.45">
      <c r="A39" t="s">
        <v>32</v>
      </c>
      <c r="B39" t="s">
        <v>1095</v>
      </c>
      <c r="C39" t="s">
        <v>96</v>
      </c>
      <c r="G39" s="1" t="s">
        <v>300</v>
      </c>
      <c r="H39" s="1"/>
      <c r="I39" s="1"/>
      <c r="J39" s="1"/>
      <c r="K39" s="1"/>
      <c r="L39" t="s">
        <v>931</v>
      </c>
      <c r="M39" t="s">
        <v>8</v>
      </c>
      <c r="N39" t="s">
        <v>320</v>
      </c>
      <c r="O39" t="s">
        <v>833</v>
      </c>
      <c r="U39" s="12">
        <v>85113.803820237503</v>
      </c>
      <c r="V39" s="12">
        <v>0.48400075882766602</v>
      </c>
    </row>
    <row r="40" spans="1:22" x14ac:dyDescent="0.45">
      <c r="A40" t="s">
        <v>1096</v>
      </c>
      <c r="B40" t="s">
        <v>372</v>
      </c>
      <c r="C40" t="s">
        <v>695</v>
      </c>
      <c r="G40" t="s">
        <v>769</v>
      </c>
      <c r="K40" s="1"/>
      <c r="L40" t="s">
        <v>867</v>
      </c>
      <c r="M40" t="s">
        <v>11</v>
      </c>
      <c r="N40" t="s">
        <v>320</v>
      </c>
      <c r="O40" t="s">
        <v>833</v>
      </c>
      <c r="P40" t="s">
        <v>344</v>
      </c>
      <c r="U40" s="12">
        <v>2290.8676527677699</v>
      </c>
      <c r="V40" s="12">
        <v>1.3027048875117001E-2</v>
      </c>
    </row>
    <row r="41" spans="1:22" x14ac:dyDescent="0.45">
      <c r="A41" t="s">
        <v>1683</v>
      </c>
      <c r="B41" t="s">
        <v>626</v>
      </c>
      <c r="C41" t="s">
        <v>695</v>
      </c>
      <c r="G41" t="s">
        <v>769</v>
      </c>
      <c r="L41" t="s">
        <v>1020</v>
      </c>
      <c r="M41" t="s">
        <v>11</v>
      </c>
      <c r="N41" t="s">
        <v>1028</v>
      </c>
      <c r="P41" t="s">
        <v>1684</v>
      </c>
    </row>
    <row r="42" spans="1:22" x14ac:dyDescent="0.45">
      <c r="A42" t="s">
        <v>33</v>
      </c>
      <c r="B42" t="s">
        <v>1097</v>
      </c>
      <c r="C42" t="s">
        <v>140</v>
      </c>
      <c r="G42" s="1" t="s">
        <v>230</v>
      </c>
      <c r="H42" s="1"/>
      <c r="I42" s="1"/>
      <c r="J42" s="1"/>
      <c r="K42" s="1"/>
      <c r="L42" t="s">
        <v>888</v>
      </c>
      <c r="M42" t="s">
        <v>8</v>
      </c>
      <c r="N42" t="s">
        <v>319</v>
      </c>
      <c r="O42" t="s">
        <v>833</v>
      </c>
      <c r="U42" s="12">
        <v>512.86138399136405</v>
      </c>
      <c r="V42" s="9">
        <v>2.9163929689887398E-3</v>
      </c>
    </row>
    <row r="43" spans="1:22" x14ac:dyDescent="0.45">
      <c r="A43" t="s">
        <v>1098</v>
      </c>
      <c r="B43" t="s">
        <v>1237</v>
      </c>
      <c r="C43" t="s">
        <v>692</v>
      </c>
      <c r="G43" t="s">
        <v>770</v>
      </c>
      <c r="K43" s="1"/>
      <c r="L43" t="s">
        <v>864</v>
      </c>
      <c r="M43" t="s">
        <v>11</v>
      </c>
      <c r="N43" t="s">
        <v>320</v>
      </c>
      <c r="O43" t="s">
        <v>833</v>
      </c>
      <c r="P43" t="s">
        <v>853</v>
      </c>
      <c r="U43" s="12">
        <v>40738.027780411299</v>
      </c>
      <c r="V43" s="12">
        <v>0.23165732788191301</v>
      </c>
    </row>
    <row r="44" spans="1:22" x14ac:dyDescent="0.45">
      <c r="A44" t="s">
        <v>34</v>
      </c>
      <c r="B44" t="s">
        <v>1059</v>
      </c>
      <c r="C44" t="s">
        <v>97</v>
      </c>
      <c r="D44" t="s">
        <v>339</v>
      </c>
      <c r="E44" t="s">
        <v>339</v>
      </c>
      <c r="F44" t="str">
        <f>"{'en.verb.past':'"&amp;D44&amp;"','en.verb.pp':'"&amp;E44&amp;"'}"</f>
        <v>{'en.verb.past':'dug','en.verb.pp':'dug'}</v>
      </c>
      <c r="G44" s="1" t="s">
        <v>256</v>
      </c>
      <c r="H44" s="1"/>
      <c r="I44" s="1"/>
      <c r="J44" s="1"/>
      <c r="K44" s="1"/>
      <c r="L44" t="s">
        <v>917</v>
      </c>
      <c r="M44" t="s">
        <v>8</v>
      </c>
      <c r="N44" t="s">
        <v>320</v>
      </c>
      <c r="O44" t="s">
        <v>833</v>
      </c>
      <c r="U44" s="12">
        <v>16595.8690743755</v>
      </c>
      <c r="V44" s="9">
        <v>9.4372626587892097E-2</v>
      </c>
    </row>
    <row r="45" spans="1:22" x14ac:dyDescent="0.45">
      <c r="A45" t="s">
        <v>1099</v>
      </c>
      <c r="B45" t="s">
        <v>673</v>
      </c>
      <c r="C45" t="s">
        <v>762</v>
      </c>
      <c r="G45" t="s">
        <v>771</v>
      </c>
      <c r="K45" s="1"/>
      <c r="L45" t="s">
        <v>894</v>
      </c>
      <c r="M45" t="s">
        <v>8</v>
      </c>
      <c r="N45" t="s">
        <v>320</v>
      </c>
      <c r="O45" t="s">
        <v>833</v>
      </c>
      <c r="U45" s="12">
        <v>12302.6877081238</v>
      </c>
      <c r="V45" s="9">
        <v>6.9959394588071697E-2</v>
      </c>
    </row>
    <row r="46" spans="1:22" x14ac:dyDescent="0.45">
      <c r="A46" t="s">
        <v>1100</v>
      </c>
      <c r="B46" t="s">
        <v>553</v>
      </c>
      <c r="C46" t="s">
        <v>751</v>
      </c>
      <c r="G46" t="s">
        <v>772</v>
      </c>
      <c r="I46" t="s">
        <v>773</v>
      </c>
      <c r="K46" s="1" t="str">
        <f>"{'es.verb.pp':'"&amp;I46&amp;"'}"</f>
        <v>{'es.verb.pp':'devestido'}</v>
      </c>
      <c r="L46" t="s">
        <v>921</v>
      </c>
      <c r="M46" t="s">
        <v>8</v>
      </c>
      <c r="N46" t="s">
        <v>320</v>
      </c>
      <c r="O46" t="s">
        <v>833</v>
      </c>
      <c r="U46" s="12">
        <v>91.201083935590901</v>
      </c>
      <c r="V46" s="9">
        <v>5.1861615683349504E-4</v>
      </c>
    </row>
    <row r="47" spans="1:22" x14ac:dyDescent="0.45">
      <c r="A47" s="6" t="s">
        <v>1664</v>
      </c>
      <c r="B47" t="s">
        <v>656</v>
      </c>
      <c r="C47" t="s">
        <v>1420</v>
      </c>
      <c r="D47" t="s">
        <v>1667</v>
      </c>
      <c r="E47" t="s">
        <v>1668</v>
      </c>
      <c r="F47" t="str">
        <f>"{'en.verb.past':'"&amp;D47&amp;"','en.verb.pp':'"&amp;E47&amp;"'}"</f>
        <v>{'en.verb.past':'did well','en.verb.pp':'done well'}</v>
      </c>
      <c r="G47" s="1" t="s">
        <v>1669</v>
      </c>
      <c r="K47" s="1"/>
      <c r="L47" t="s">
        <v>946</v>
      </c>
      <c r="M47" t="s">
        <v>8</v>
      </c>
      <c r="N47" t="s">
        <v>1028</v>
      </c>
      <c r="O47" t="s">
        <v>1671</v>
      </c>
      <c r="T47" t="s">
        <v>1670</v>
      </c>
      <c r="U47" s="12"/>
      <c r="V47" s="12"/>
    </row>
    <row r="48" spans="1:22" x14ac:dyDescent="0.45">
      <c r="A48" t="s">
        <v>1101</v>
      </c>
      <c r="B48" t="s">
        <v>357</v>
      </c>
      <c r="C48" t="s">
        <v>681</v>
      </c>
      <c r="G48" t="s">
        <v>774</v>
      </c>
      <c r="I48" t="s">
        <v>775</v>
      </c>
      <c r="K48" s="1" t="str">
        <f>"{'es.verb.pp':'"&amp;I48&amp;"'}"</f>
        <v>{'es.verb.pp':'vestido'}</v>
      </c>
      <c r="L48" t="s">
        <v>863</v>
      </c>
      <c r="M48" t="s">
        <v>11</v>
      </c>
      <c r="N48" t="s">
        <v>320</v>
      </c>
      <c r="O48" t="s">
        <v>833</v>
      </c>
      <c r="P48" t="s">
        <v>320</v>
      </c>
      <c r="U48" s="12">
        <v>57543.993733715601</v>
      </c>
      <c r="V48" s="12">
        <v>0.32722467312018499</v>
      </c>
    </row>
    <row r="49" spans="1:22" x14ac:dyDescent="0.45">
      <c r="A49" t="s">
        <v>35</v>
      </c>
      <c r="B49" t="s">
        <v>1238</v>
      </c>
      <c r="C49" t="s">
        <v>98</v>
      </c>
      <c r="D49" t="s">
        <v>341</v>
      </c>
      <c r="E49" t="s">
        <v>342</v>
      </c>
      <c r="F49" t="str">
        <f>"{'en.verb.past':'"&amp;D49&amp;"','en.verb.pp':'"&amp;E49&amp;"'}"</f>
        <v>{'en.verb.past':'drank','en.verb.pp':'drunk'}</v>
      </c>
      <c r="G49" s="1" t="s">
        <v>286</v>
      </c>
      <c r="H49" s="1"/>
      <c r="I49" s="1"/>
      <c r="J49" s="1"/>
      <c r="K49" s="1"/>
      <c r="L49" t="s">
        <v>913</v>
      </c>
      <c r="M49" t="s">
        <v>11</v>
      </c>
      <c r="N49" t="s">
        <v>319</v>
      </c>
      <c r="O49" t="s">
        <v>833</v>
      </c>
      <c r="P49" t="s">
        <v>346</v>
      </c>
      <c r="U49" s="12">
        <v>79432.823472428194</v>
      </c>
      <c r="V49" s="12">
        <v>0.45169578976492702</v>
      </c>
    </row>
    <row r="50" spans="1:22" x14ac:dyDescent="0.45">
      <c r="A50" t="s">
        <v>13</v>
      </c>
      <c r="B50" t="s">
        <v>1060</v>
      </c>
      <c r="C50" t="s">
        <v>14</v>
      </c>
      <c r="D50" t="s">
        <v>152</v>
      </c>
      <c r="E50" t="s">
        <v>153</v>
      </c>
      <c r="F50" t="str">
        <f>"{'en.verb.past':'"&amp;D50&amp;"','en.verb.pp':'"&amp;E50&amp;"'}"</f>
        <v>{'en.verb.past':'ate','en.verb.pp':'eaten'}</v>
      </c>
      <c r="G50" s="1" t="s">
        <v>290</v>
      </c>
      <c r="H50" s="1"/>
      <c r="I50" s="1"/>
      <c r="J50" s="1"/>
      <c r="K50" s="1"/>
      <c r="L50" t="s">
        <v>913</v>
      </c>
      <c r="M50" t="s">
        <v>11</v>
      </c>
      <c r="N50" t="s">
        <v>1029</v>
      </c>
      <c r="O50" t="s">
        <v>833</v>
      </c>
      <c r="P50" t="s">
        <v>853</v>
      </c>
      <c r="U50" s="12">
        <v>134896.28825916501</v>
      </c>
      <c r="V50" s="12">
        <v>0.76708950781198204</v>
      </c>
    </row>
    <row r="51" spans="1:22" x14ac:dyDescent="0.45">
      <c r="A51" t="s">
        <v>37</v>
      </c>
      <c r="B51" t="s">
        <v>1102</v>
      </c>
      <c r="C51" t="s">
        <v>99</v>
      </c>
      <c r="G51" s="1" t="s">
        <v>236</v>
      </c>
      <c r="H51" s="1" t="s">
        <v>1036</v>
      </c>
      <c r="I51" s="1" t="s">
        <v>237</v>
      </c>
      <c r="J51" s="1"/>
      <c r="K51" s="1" t="str">
        <f>"{'es.verb.past':'"&amp;H51&amp;"','es.verb.pp':'"&amp;I51&amp;"'}"</f>
        <v>{'es.verb.past':'desmayó','es.verb.pp':'desmayado'}</v>
      </c>
      <c r="L51" t="s">
        <v>908</v>
      </c>
      <c r="M51" t="s">
        <v>8</v>
      </c>
      <c r="N51" t="s">
        <v>1028</v>
      </c>
      <c r="O51" t="s">
        <v>833</v>
      </c>
      <c r="U51" s="12">
        <v>6025.5958607435696</v>
      </c>
      <c r="V51" s="9">
        <v>3.4264629685077E-2</v>
      </c>
    </row>
    <row r="52" spans="1:22" x14ac:dyDescent="0.45">
      <c r="A52" t="s">
        <v>1103</v>
      </c>
      <c r="B52" t="s">
        <v>388</v>
      </c>
      <c r="C52" t="s">
        <v>721</v>
      </c>
      <c r="D52" t="s">
        <v>806</v>
      </c>
      <c r="E52" t="s">
        <v>806</v>
      </c>
      <c r="F52" t="str">
        <f>"{'en.verb.past':'"&amp;D52&amp;"','en.verb.pp':'"&amp;E52&amp;"'}"</f>
        <v>{'en.verb.past':'felt','en.verb.pp':'felt'}</v>
      </c>
      <c r="G52" t="s">
        <v>776</v>
      </c>
      <c r="I52" t="s">
        <v>777</v>
      </c>
      <c r="K52" s="1" t="str">
        <f>"{'es.verb.pp':'"&amp;I52&amp;"'}"</f>
        <v>{'es.verb.pp':'sentido'}</v>
      </c>
      <c r="L52" t="s">
        <v>876</v>
      </c>
      <c r="M52" t="s">
        <v>11</v>
      </c>
      <c r="N52" t="s">
        <v>320</v>
      </c>
      <c r="O52" t="s">
        <v>833</v>
      </c>
      <c r="P52" t="s">
        <v>833</v>
      </c>
      <c r="U52" s="12">
        <v>467735.141287198</v>
      </c>
      <c r="V52" s="12">
        <v>2.6597819995390899</v>
      </c>
    </row>
    <row r="53" spans="1:22" x14ac:dyDescent="0.45">
      <c r="A53" t="s">
        <v>38</v>
      </c>
      <c r="B53" t="s">
        <v>1061</v>
      </c>
      <c r="C53" t="s">
        <v>100</v>
      </c>
      <c r="D53" t="s">
        <v>155</v>
      </c>
      <c r="E53" t="s">
        <v>155</v>
      </c>
      <c r="F53" t="str">
        <f>"{'en.verb.past':'"&amp;D53&amp;"','en.verb.pp':'"&amp;E53&amp;"'}"</f>
        <v>{'en.verb.past':'fought','en.verb.pp':'fought'}</v>
      </c>
      <c r="G53" s="1" t="s">
        <v>200</v>
      </c>
      <c r="H53" s="1"/>
      <c r="I53" s="1"/>
      <c r="J53" s="1"/>
      <c r="K53" s="1"/>
      <c r="L53" t="s">
        <v>885</v>
      </c>
      <c r="M53" t="s">
        <v>11</v>
      </c>
      <c r="N53" t="s">
        <v>319</v>
      </c>
      <c r="O53" t="s">
        <v>833</v>
      </c>
      <c r="P53" t="s">
        <v>317</v>
      </c>
      <c r="U53" s="12">
        <v>169824.36524617401</v>
      </c>
      <c r="V53" s="12">
        <v>0.96570847450518504</v>
      </c>
    </row>
    <row r="54" spans="1:22" x14ac:dyDescent="0.45">
      <c r="A54" t="s">
        <v>1197</v>
      </c>
      <c r="B54" t="s">
        <v>1198</v>
      </c>
      <c r="C54" t="s">
        <v>1199</v>
      </c>
      <c r="G54" t="s">
        <v>1227</v>
      </c>
      <c r="K54" s="1"/>
      <c r="L54" t="s">
        <v>1020</v>
      </c>
      <c r="M54" t="s">
        <v>11</v>
      </c>
      <c r="N54" t="s">
        <v>320</v>
      </c>
      <c r="U54" s="12">
        <v>43651.583224016496</v>
      </c>
      <c r="V54" s="12">
        <v>0.248225299025227</v>
      </c>
    </row>
    <row r="55" spans="1:22" x14ac:dyDescent="0.45">
      <c r="A55" t="s">
        <v>1173</v>
      </c>
      <c r="B55" t="s">
        <v>1174</v>
      </c>
      <c r="C55" t="s">
        <v>1175</v>
      </c>
      <c r="G55" t="s">
        <v>1217</v>
      </c>
      <c r="H55" t="s">
        <v>1218</v>
      </c>
      <c r="K55" s="1" t="str">
        <f>"{'es.verb.past':'"&amp;H55&amp;"'}"</f>
        <v>{'es.verb.past':'pesqué'}</v>
      </c>
      <c r="L55" t="s">
        <v>1020</v>
      </c>
      <c r="M55" t="s">
        <v>8</v>
      </c>
      <c r="N55" t="s">
        <v>1028</v>
      </c>
      <c r="U55" s="12">
        <v>79432.823472428194</v>
      </c>
      <c r="V55" s="12">
        <v>0.45169578976492702</v>
      </c>
    </row>
    <row r="56" spans="1:22" x14ac:dyDescent="0.45">
      <c r="A56" t="s">
        <v>1104</v>
      </c>
      <c r="B56" t="s">
        <v>474</v>
      </c>
      <c r="C56" t="s">
        <v>101</v>
      </c>
      <c r="G56" t="s">
        <v>253</v>
      </c>
      <c r="K56" s="1"/>
      <c r="L56" t="s">
        <v>907</v>
      </c>
      <c r="M56" t="s">
        <v>8</v>
      </c>
      <c r="N56" t="s">
        <v>320</v>
      </c>
      <c r="O56" t="s">
        <v>833</v>
      </c>
      <c r="T56" t="s">
        <v>475</v>
      </c>
      <c r="U56" s="12">
        <v>8709.6358995608007</v>
      </c>
      <c r="V56" s="9">
        <v>4.9527458476691801E-2</v>
      </c>
    </row>
    <row r="57" spans="1:22" x14ac:dyDescent="0.45">
      <c r="A57" t="s">
        <v>39</v>
      </c>
      <c r="B57" t="s">
        <v>1062</v>
      </c>
      <c r="C57" t="s">
        <v>101</v>
      </c>
      <c r="G57" s="1" t="s">
        <v>253</v>
      </c>
      <c r="H57" s="1"/>
      <c r="I57" s="1"/>
      <c r="J57" s="1"/>
      <c r="K57" s="1"/>
      <c r="L57" t="s">
        <v>907</v>
      </c>
      <c r="M57" t="s">
        <v>8</v>
      </c>
      <c r="N57" t="s">
        <v>319</v>
      </c>
      <c r="O57" t="s">
        <v>833</v>
      </c>
      <c r="U57" s="12">
        <v>8709.6358995608007</v>
      </c>
      <c r="V57" s="9">
        <v>4.9527458476691801E-2</v>
      </c>
    </row>
    <row r="58" spans="1:22" x14ac:dyDescent="0.45">
      <c r="A58" t="s">
        <v>40</v>
      </c>
      <c r="B58" t="s">
        <v>1063</v>
      </c>
      <c r="C58" t="s">
        <v>102</v>
      </c>
      <c r="D58" t="s">
        <v>335</v>
      </c>
      <c r="E58" t="s">
        <v>336</v>
      </c>
      <c r="F58" t="str">
        <f>"{'en.verb.past':'"&amp;D58&amp;"','en.verb.pp':'"&amp;E58&amp;"'}"</f>
        <v>{'en.verb.past':'froze','en.verb.pp':'frozen'}</v>
      </c>
      <c r="G58" s="1" t="s">
        <v>217</v>
      </c>
      <c r="H58" s="1" t="s">
        <v>1035</v>
      </c>
      <c r="I58" s="1" t="s">
        <v>218</v>
      </c>
      <c r="J58" s="1"/>
      <c r="K58" s="1" t="str">
        <f>"{'es.verb.past':'"&amp;H58&amp;"','es.verb.pp':'"&amp;I58&amp;"'}"</f>
        <v>{'es.verb.past':'congeló','es.verb.pp':'congelado'}</v>
      </c>
      <c r="L58" t="s">
        <v>860</v>
      </c>
      <c r="M58" t="s">
        <v>8</v>
      </c>
      <c r="N58" s="1" t="s">
        <v>320</v>
      </c>
      <c r="O58" t="s">
        <v>833</v>
      </c>
      <c r="U58" s="12">
        <v>12882.4955169313</v>
      </c>
      <c r="V58" s="9">
        <v>7.3256479277527597E-2</v>
      </c>
    </row>
    <row r="59" spans="1:22" x14ac:dyDescent="0.45">
      <c r="A59" t="s">
        <v>1105</v>
      </c>
      <c r="B59" t="s">
        <v>378</v>
      </c>
      <c r="C59" t="s">
        <v>702</v>
      </c>
      <c r="G59" t="s">
        <v>778</v>
      </c>
      <c r="K59" s="1"/>
      <c r="L59" t="s">
        <v>872</v>
      </c>
      <c r="M59" t="s">
        <v>8</v>
      </c>
      <c r="N59" t="s">
        <v>848</v>
      </c>
      <c r="O59" t="s">
        <v>833</v>
      </c>
      <c r="U59" s="12">
        <v>478.63009232263801</v>
      </c>
      <c r="V59" s="9">
        <v>2.7217362811228401E-3</v>
      </c>
    </row>
    <row r="60" spans="1:22" x14ac:dyDescent="0.45">
      <c r="A60" t="s">
        <v>1165</v>
      </c>
      <c r="B60" t="s">
        <v>1166</v>
      </c>
      <c r="C60" s="8" t="s">
        <v>1168</v>
      </c>
      <c r="D60" t="s">
        <v>1181</v>
      </c>
      <c r="E60" t="s">
        <v>1182</v>
      </c>
      <c r="F60" t="str">
        <f>"{'en.verb.past':'"&amp;D60&amp;"','en.verb.pp':'"&amp;E60&amp;"'}"</f>
        <v>{'en.verb.past':'got lost','en.verb.pp':'gotten lost'}</v>
      </c>
      <c r="G60" t="s">
        <v>1213</v>
      </c>
      <c r="H60" t="s">
        <v>1214</v>
      </c>
      <c r="K60" s="1" t="str">
        <f>"{'es.verb.past':'"&amp;H60&amp;"'}"</f>
        <v>{'es.verb.past':'me pierdo'}</v>
      </c>
      <c r="L60" t="s">
        <v>979</v>
      </c>
      <c r="M60" t="s">
        <v>8</v>
      </c>
      <c r="N60" t="s">
        <v>1028</v>
      </c>
      <c r="U60" s="12">
        <v>1905460.7179632401</v>
      </c>
      <c r="V60" s="12">
        <v>10.835427298706101</v>
      </c>
    </row>
    <row r="61" spans="1:22" x14ac:dyDescent="0.45">
      <c r="A61" t="s">
        <v>170</v>
      </c>
      <c r="B61" t="s">
        <v>1239</v>
      </c>
      <c r="C61" t="s">
        <v>16</v>
      </c>
      <c r="D61" t="s">
        <v>160</v>
      </c>
      <c r="E61" t="s">
        <v>158</v>
      </c>
      <c r="F61" t="str">
        <f>"{'en.verb.past':'"&amp;D61&amp;"','en.verb.pp':'"&amp;E61&amp;"'}"</f>
        <v>{'en.verb.past':'gave','en.verb.pp':'given'}</v>
      </c>
      <c r="G61" s="1" t="s">
        <v>219</v>
      </c>
      <c r="H61" s="1" t="s">
        <v>220</v>
      </c>
      <c r="I61" s="1" t="s">
        <v>221</v>
      </c>
      <c r="J61" s="1"/>
      <c r="K61" s="1" t="str">
        <f>"{'es.verb.past':'"&amp;H61&amp;"','es.verb.pp':'"&amp;I61&amp;"'}"</f>
        <v>{'es.verb.past':'dio','es.verb.pp':'dado'}</v>
      </c>
      <c r="L61" t="s">
        <v>902</v>
      </c>
      <c r="M61" t="s">
        <v>17</v>
      </c>
      <c r="N61" t="s">
        <v>1028</v>
      </c>
      <c r="O61" t="s">
        <v>833</v>
      </c>
      <c r="P61" t="s">
        <v>856</v>
      </c>
      <c r="R61" t="s">
        <v>349</v>
      </c>
      <c r="U61" s="12">
        <v>512861.38399136398</v>
      </c>
      <c r="V61" s="12">
        <v>2.9163929689887298</v>
      </c>
    </row>
    <row r="62" spans="1:22" x14ac:dyDescent="0.45">
      <c r="A62" t="s">
        <v>41</v>
      </c>
      <c r="B62" t="s">
        <v>41</v>
      </c>
      <c r="C62" t="s">
        <v>103</v>
      </c>
      <c r="D62" t="s">
        <v>337</v>
      </c>
      <c r="E62" t="s">
        <v>338</v>
      </c>
      <c r="F62" t="str">
        <f>"{'en.verb.past':'"&amp;D62&amp;"','en.verb.pp':'"&amp;E62&amp;"'}"</f>
        <v>{'en.verb.past':'went','en.verb.pp':'gone'}</v>
      </c>
      <c r="G62" s="1" t="s">
        <v>303</v>
      </c>
      <c r="H62" s="1" t="s">
        <v>304</v>
      </c>
      <c r="I62" s="1" t="s">
        <v>305</v>
      </c>
      <c r="J62" s="1" t="s">
        <v>306</v>
      </c>
      <c r="K62" s="1" t="str">
        <f>"{'es.verb.past':'"&amp;H62&amp;"','es.verb.pp':'"&amp;I62&amp;",'es.verb.ger':'"&amp;J62&amp;"'}"</f>
        <v>{'es.verb.past':'fue','es.verb.pp':'ido,'es.verb.ger':'yendo'}</v>
      </c>
      <c r="L62" t="s">
        <v>857</v>
      </c>
      <c r="M62" t="s">
        <v>8</v>
      </c>
      <c r="N62" s="1" t="s">
        <v>845</v>
      </c>
      <c r="O62" t="s">
        <v>833</v>
      </c>
      <c r="U62" s="12">
        <v>1071519.3052376001</v>
      </c>
      <c r="V62" s="12">
        <v>6.0932085461580998</v>
      </c>
    </row>
    <row r="63" spans="1:22" x14ac:dyDescent="0.45">
      <c r="A63" t="s">
        <v>1106</v>
      </c>
      <c r="B63" t="s">
        <v>736</v>
      </c>
      <c r="C63" t="s">
        <v>735</v>
      </c>
      <c r="G63" t="s">
        <v>779</v>
      </c>
      <c r="K63" s="1"/>
      <c r="L63" t="s">
        <v>899</v>
      </c>
      <c r="M63" t="s">
        <v>8</v>
      </c>
      <c r="N63" t="s">
        <v>1028</v>
      </c>
      <c r="O63" t="s">
        <v>833</v>
      </c>
      <c r="U63" s="12">
        <v>7585.7757502918303</v>
      </c>
      <c r="V63" s="9">
        <v>4.31366130362602E-2</v>
      </c>
    </row>
    <row r="64" spans="1:22" x14ac:dyDescent="0.45">
      <c r="A64" t="s">
        <v>42</v>
      </c>
      <c r="B64" t="s">
        <v>1240</v>
      </c>
      <c r="C64" t="s">
        <v>104</v>
      </c>
      <c r="G64" s="1" t="s">
        <v>284</v>
      </c>
      <c r="H64" s="1" t="s">
        <v>1038</v>
      </c>
      <c r="I64" s="1" t="s">
        <v>285</v>
      </c>
      <c r="J64" s="1"/>
      <c r="K64" s="1" t="str">
        <f>"{'es.verb.past':'"&amp;H64&amp;"','es.verb.pp':'"&amp;I64&amp;"'}"</f>
        <v>{'es.verb.past':'graduó','es.verb.pp':'graduado'}</v>
      </c>
      <c r="L64" t="s">
        <v>928</v>
      </c>
      <c r="M64" t="s">
        <v>8</v>
      </c>
      <c r="N64" t="s">
        <v>320</v>
      </c>
      <c r="O64" t="s">
        <v>833</v>
      </c>
      <c r="U64" s="12">
        <v>31622.776601683701</v>
      </c>
      <c r="V64" s="12">
        <v>0.17982333281424201</v>
      </c>
    </row>
    <row r="65" spans="1:22" x14ac:dyDescent="0.45">
      <c r="A65" t="s">
        <v>1179</v>
      </c>
      <c r="B65" t="s">
        <v>1178</v>
      </c>
      <c r="C65" t="s">
        <v>1180</v>
      </c>
      <c r="G65" t="s">
        <v>1220</v>
      </c>
      <c r="K65" s="1"/>
      <c r="L65" t="s">
        <v>921</v>
      </c>
      <c r="M65" t="s">
        <v>11</v>
      </c>
      <c r="N65" t="s">
        <v>320</v>
      </c>
      <c r="U65" s="12">
        <v>4265.7951880159198</v>
      </c>
      <c r="V65" s="9">
        <v>2.42575001390338E-2</v>
      </c>
    </row>
    <row r="66" spans="1:22" x14ac:dyDescent="0.45">
      <c r="A66" t="s">
        <v>43</v>
      </c>
      <c r="B66" t="s">
        <v>1107</v>
      </c>
      <c r="C66" t="s">
        <v>147</v>
      </c>
      <c r="G66" s="1" t="s">
        <v>309</v>
      </c>
      <c r="H66" s="1"/>
      <c r="I66" s="1"/>
      <c r="J66" s="1"/>
      <c r="K66" s="1"/>
      <c r="L66" t="s">
        <v>936</v>
      </c>
      <c r="M66" t="s">
        <v>8</v>
      </c>
      <c r="N66" t="s">
        <v>320</v>
      </c>
      <c r="O66" t="s">
        <v>833</v>
      </c>
      <c r="U66" s="12">
        <v>512.86138399136405</v>
      </c>
      <c r="V66" s="9">
        <v>2.9163929689887398E-3</v>
      </c>
    </row>
    <row r="67" spans="1:22" x14ac:dyDescent="0.45">
      <c r="A67" s="6" t="s">
        <v>1700</v>
      </c>
      <c r="B67" t="s">
        <v>639</v>
      </c>
      <c r="C67" t="s">
        <v>1701</v>
      </c>
      <c r="G67" s="1" t="s">
        <v>1702</v>
      </c>
      <c r="L67" t="s">
        <v>965</v>
      </c>
      <c r="M67" t="s">
        <v>8</v>
      </c>
      <c r="N67" t="s">
        <v>1703</v>
      </c>
    </row>
    <row r="68" spans="1:22" x14ac:dyDescent="0.45">
      <c r="A68" t="s">
        <v>55</v>
      </c>
      <c r="B68" t="s">
        <v>1043</v>
      </c>
      <c r="C68" t="s">
        <v>742</v>
      </c>
      <c r="G68" t="s">
        <v>780</v>
      </c>
      <c r="K68" s="1"/>
      <c r="L68" t="s">
        <v>862</v>
      </c>
      <c r="M68" t="s">
        <v>8</v>
      </c>
      <c r="N68" t="s">
        <v>320</v>
      </c>
      <c r="O68" t="s">
        <v>833</v>
      </c>
      <c r="U68" s="12">
        <v>851.13803820237604</v>
      </c>
      <c r="V68" s="9">
        <v>4.8400075882766699E-3</v>
      </c>
    </row>
    <row r="69" spans="1:22" x14ac:dyDescent="0.45">
      <c r="A69" t="s">
        <v>169</v>
      </c>
      <c r="B69" t="s">
        <v>1241</v>
      </c>
      <c r="C69" t="s">
        <v>105</v>
      </c>
      <c r="D69" t="s">
        <v>154</v>
      </c>
      <c r="E69" t="s">
        <v>154</v>
      </c>
      <c r="F69" t="str">
        <f>"{'en.verb.past':'"&amp;D69&amp;"','en.verb.pp':'"&amp;E69&amp;"'}"</f>
        <v>{'en.verb.past':'heard','en.verb.pp':'heard'}</v>
      </c>
      <c r="G69" s="1" t="s">
        <v>180</v>
      </c>
      <c r="H69" s="1" t="s">
        <v>181</v>
      </c>
      <c r="I69" s="1" t="s">
        <v>182</v>
      </c>
      <c r="J69" s="1" t="s">
        <v>183</v>
      </c>
      <c r="K69" s="1" t="str">
        <f>"{'es.verb.past':'"&amp;H69&amp;"','es.verb.pp':'"&amp;I69&amp;",'es.verb.ger':'"&amp;J69&amp;"'}"</f>
        <v>{'es.verb.past':'oyó','es.verb.pp':'oído,'es.verb.ger':'oyendo'}</v>
      </c>
      <c r="L69" t="s">
        <v>849</v>
      </c>
      <c r="M69" t="s">
        <v>11</v>
      </c>
      <c r="N69" t="s">
        <v>1029</v>
      </c>
      <c r="O69" t="s">
        <v>833</v>
      </c>
      <c r="P69" t="s">
        <v>713</v>
      </c>
      <c r="U69" s="12">
        <v>169824.36524617401</v>
      </c>
      <c r="V69" s="12">
        <v>0.96570847450518504</v>
      </c>
    </row>
    <row r="70" spans="1:22" x14ac:dyDescent="0.45">
      <c r="A70" s="6" t="s">
        <v>1687</v>
      </c>
      <c r="B70" t="s">
        <v>627</v>
      </c>
      <c r="C70" t="s">
        <v>1688</v>
      </c>
      <c r="D70" t="s">
        <v>1692</v>
      </c>
      <c r="E70" t="s">
        <v>1693</v>
      </c>
      <c r="F70" t="str">
        <f>"{'en.verb.past':'"&amp;D70&amp;"','en.verb.pp':'"&amp;E70&amp;"'}"</f>
        <v>{'en.verb.past':'hid','en.verb.pp':'hidden'}</v>
      </c>
      <c r="G70" t="s">
        <v>1689</v>
      </c>
      <c r="L70" t="s">
        <v>1020</v>
      </c>
      <c r="M70" t="s">
        <v>8</v>
      </c>
      <c r="N70" t="s">
        <v>1690</v>
      </c>
      <c r="T70" t="s">
        <v>1691</v>
      </c>
    </row>
    <row r="71" spans="1:22" x14ac:dyDescent="0.45">
      <c r="A71" t="s">
        <v>44</v>
      </c>
      <c r="B71" t="s">
        <v>1064</v>
      </c>
      <c r="C71" t="s">
        <v>106</v>
      </c>
      <c r="D71" t="s">
        <v>106</v>
      </c>
      <c r="E71" t="s">
        <v>106</v>
      </c>
      <c r="F71" t="str">
        <f>"{'en.verb.past':'"&amp;D71&amp;"','en.verb.pp':'"&amp;E71&amp;"'}"</f>
        <v>{'en.verb.past':'hit','en.verb.pp':'hit'}</v>
      </c>
      <c r="G71" s="1" t="s">
        <v>198</v>
      </c>
      <c r="H71" s="1"/>
      <c r="I71" s="1"/>
      <c r="J71" s="1"/>
      <c r="K71" s="1"/>
      <c r="L71" t="s">
        <v>879</v>
      </c>
      <c r="M71" t="s">
        <v>11</v>
      </c>
      <c r="N71" t="s">
        <v>320</v>
      </c>
      <c r="O71" t="s">
        <v>833</v>
      </c>
      <c r="P71" t="s">
        <v>319</v>
      </c>
      <c r="U71" s="12">
        <v>234422.881531992</v>
      </c>
      <c r="V71" s="12">
        <v>1.3330487824006101</v>
      </c>
    </row>
    <row r="72" spans="1:22" x14ac:dyDescent="0.45">
      <c r="A72" t="s">
        <v>45</v>
      </c>
      <c r="B72" t="s">
        <v>1065</v>
      </c>
      <c r="C72" t="s">
        <v>107</v>
      </c>
      <c r="D72" t="s">
        <v>168</v>
      </c>
      <c r="E72" t="s">
        <v>168</v>
      </c>
      <c r="F72" t="str">
        <f>"{'en.verb.past':'"&amp;D72&amp;"','en.verb.pp':'"&amp;E72&amp;"'}"</f>
        <v>{'en.verb.past':'held','en.verb.pp':'held'}</v>
      </c>
      <c r="G72" s="1" t="s">
        <v>267</v>
      </c>
      <c r="H72" s="1" t="s">
        <v>268</v>
      </c>
      <c r="I72" s="1" t="s">
        <v>269</v>
      </c>
      <c r="J72" s="1"/>
      <c r="K72" s="1" t="str">
        <f>"{'es.verb.past':'"&amp;H72&amp;"','es.verb.pp':'"&amp;I72&amp;"'}"</f>
        <v>{'es.verb.past':'sostuvo','es.verb.pp':'sostenido'}</v>
      </c>
      <c r="L72" t="s">
        <v>920</v>
      </c>
      <c r="M72" t="s">
        <v>11</v>
      </c>
      <c r="N72" t="s">
        <v>320</v>
      </c>
      <c r="O72" t="s">
        <v>833</v>
      </c>
      <c r="P72" t="s">
        <v>347</v>
      </c>
      <c r="U72" s="12">
        <v>154881.66189124799</v>
      </c>
      <c r="V72" s="12">
        <v>0.88073659640658897</v>
      </c>
    </row>
    <row r="73" spans="1:22" x14ac:dyDescent="0.45">
      <c r="A73" t="s">
        <v>1108</v>
      </c>
      <c r="B73" t="s">
        <v>454</v>
      </c>
      <c r="C73" t="s">
        <v>732</v>
      </c>
      <c r="G73" t="s">
        <v>781</v>
      </c>
      <c r="K73" s="1"/>
      <c r="L73" t="s">
        <v>906</v>
      </c>
      <c r="M73" t="s">
        <v>8</v>
      </c>
      <c r="N73" t="s">
        <v>733</v>
      </c>
      <c r="O73" t="s">
        <v>833</v>
      </c>
      <c r="U73" s="12">
        <v>1513.5612484362</v>
      </c>
      <c r="V73" s="9">
        <v>8.6068858386645405E-3</v>
      </c>
    </row>
    <row r="74" spans="1:22" x14ac:dyDescent="0.45">
      <c r="A74" t="s">
        <v>1109</v>
      </c>
      <c r="B74" t="s">
        <v>450</v>
      </c>
      <c r="C74" t="s">
        <v>731</v>
      </c>
      <c r="G74" t="s">
        <v>782</v>
      </c>
      <c r="H74" t="s">
        <v>830</v>
      </c>
      <c r="I74" t="s">
        <v>829</v>
      </c>
      <c r="J74" t="s">
        <v>828</v>
      </c>
      <c r="K74" s="1" t="str">
        <f>"{'es.verb.past':'"&amp;H74&amp;"','es.verb.pp':'"&amp;I74&amp;",'es.verb.ger':'"&amp;J74&amp;"'}"</f>
        <v>{'es.verb.past':'abrazó','es.verb.pp':'abrazado,'es.verb.ger':'abrazando'}</v>
      </c>
      <c r="L74" t="s">
        <v>895</v>
      </c>
      <c r="M74" t="s">
        <v>11</v>
      </c>
      <c r="N74" t="s">
        <v>320</v>
      </c>
      <c r="O74" t="s">
        <v>833</v>
      </c>
      <c r="P74" t="s">
        <v>320</v>
      </c>
      <c r="U74" s="12">
        <v>12302.6877081238</v>
      </c>
      <c r="V74" s="9">
        <v>6.9959394588071697E-2</v>
      </c>
    </row>
    <row r="75" spans="1:22" x14ac:dyDescent="0.45">
      <c r="A75" t="s">
        <v>174</v>
      </c>
      <c r="B75" t="s">
        <v>1242</v>
      </c>
      <c r="C75" t="s">
        <v>108</v>
      </c>
      <c r="G75" s="1" t="s">
        <v>308</v>
      </c>
      <c r="H75" s="1"/>
      <c r="I75" s="1"/>
      <c r="J75" s="1"/>
      <c r="K75" s="1"/>
      <c r="L75" t="s">
        <v>934</v>
      </c>
      <c r="M75" t="s">
        <v>11</v>
      </c>
      <c r="N75" t="s">
        <v>319</v>
      </c>
      <c r="O75" t="s">
        <v>833</v>
      </c>
      <c r="P75" t="s">
        <v>348</v>
      </c>
      <c r="U75" s="12">
        <v>30902.954325135899</v>
      </c>
      <c r="V75" s="12">
        <v>0.17573005402240199</v>
      </c>
    </row>
    <row r="76" spans="1:22" x14ac:dyDescent="0.45">
      <c r="A76" t="s">
        <v>1161</v>
      </c>
      <c r="B76" t="s">
        <v>1162</v>
      </c>
      <c r="C76" t="s">
        <v>1163</v>
      </c>
      <c r="D76" t="s">
        <v>1163</v>
      </c>
      <c r="E76" t="s">
        <v>1163</v>
      </c>
      <c r="F76" t="str">
        <f>"{'en.verb.past':'"&amp;D76&amp;"','en.verb.pp':'"&amp;E76&amp;"'}"</f>
        <v>{'en.verb.past':'hurt','en.verb.pp':'hurt'}</v>
      </c>
      <c r="G76" t="s">
        <v>1211</v>
      </c>
      <c r="H76" t="s">
        <v>1212</v>
      </c>
      <c r="K76" s="1" t="str">
        <f>"{'es.verb.past':'"&amp;H76&amp;"'}"</f>
        <v>{'es.verb.past':'duele'}</v>
      </c>
      <c r="L76" t="s">
        <v>930</v>
      </c>
      <c r="M76" t="s">
        <v>8</v>
      </c>
      <c r="N76" t="s">
        <v>350</v>
      </c>
      <c r="U76" s="12">
        <v>87096.358995608098</v>
      </c>
      <c r="V76" s="12">
        <v>0.49527458476691899</v>
      </c>
    </row>
    <row r="77" spans="1:22" x14ac:dyDescent="0.45">
      <c r="A77" s="6" t="s">
        <v>1682</v>
      </c>
      <c r="B77" t="s">
        <v>646</v>
      </c>
      <c r="C77" t="s">
        <v>1414</v>
      </c>
      <c r="G77" s="1" t="s">
        <v>1628</v>
      </c>
      <c r="K77" s="1"/>
      <c r="L77" t="s">
        <v>1250</v>
      </c>
      <c r="M77" t="s">
        <v>11</v>
      </c>
      <c r="N77" t="s">
        <v>1028</v>
      </c>
      <c r="O77" t="s">
        <v>833</v>
      </c>
      <c r="P77" t="s">
        <v>319</v>
      </c>
      <c r="U77" s="12"/>
      <c r="V77" s="9"/>
    </row>
    <row r="78" spans="1:22" x14ac:dyDescent="0.45">
      <c r="A78" t="s">
        <v>1110</v>
      </c>
      <c r="B78" t="s">
        <v>614</v>
      </c>
      <c r="C78" t="s">
        <v>753</v>
      </c>
      <c r="G78" t="s">
        <v>783</v>
      </c>
      <c r="K78" s="1"/>
      <c r="L78" t="s">
        <v>930</v>
      </c>
      <c r="M78" t="s">
        <v>8</v>
      </c>
      <c r="N78" t="s">
        <v>320</v>
      </c>
      <c r="O78" t="s">
        <v>833</v>
      </c>
      <c r="P78" t="s">
        <v>350</v>
      </c>
      <c r="U78" s="12">
        <v>2754.2287033381599</v>
      </c>
      <c r="V78" s="12">
        <v>1.5661957550575901E-2</v>
      </c>
    </row>
    <row r="79" spans="1:22" x14ac:dyDescent="0.45">
      <c r="A79" t="s">
        <v>1678</v>
      </c>
      <c r="B79" t="s">
        <v>1176</v>
      </c>
      <c r="C79" t="s">
        <v>1177</v>
      </c>
      <c r="G79" t="s">
        <v>1219</v>
      </c>
      <c r="K79" s="1"/>
      <c r="L79" t="s">
        <v>898</v>
      </c>
      <c r="M79" t="s">
        <v>8</v>
      </c>
      <c r="N79" t="s">
        <v>1028</v>
      </c>
      <c r="U79" s="9">
        <v>47863.009232263801</v>
      </c>
      <c r="V79" s="12">
        <v>0.27217362811228402</v>
      </c>
    </row>
    <row r="80" spans="1:22" x14ac:dyDescent="0.45">
      <c r="A80" t="s">
        <v>1111</v>
      </c>
      <c r="B80" t="s">
        <v>1066</v>
      </c>
      <c r="C80" t="s">
        <v>708</v>
      </c>
      <c r="G80" t="s">
        <v>784</v>
      </c>
      <c r="K80" s="1"/>
      <c r="L80" t="s">
        <v>875</v>
      </c>
      <c r="M80" t="s">
        <v>11</v>
      </c>
      <c r="N80" t="s">
        <v>320</v>
      </c>
      <c r="O80" t="s">
        <v>833</v>
      </c>
      <c r="P80" t="s">
        <v>320</v>
      </c>
      <c r="U80" s="9">
        <v>89125.093813374595</v>
      </c>
      <c r="V80" s="12">
        <v>0.50681101184674804</v>
      </c>
    </row>
    <row r="81" spans="1:22" x14ac:dyDescent="0.45">
      <c r="A81" s="6" t="s">
        <v>1249</v>
      </c>
      <c r="B81" t="s">
        <v>1248</v>
      </c>
      <c r="C81" t="s">
        <v>1247</v>
      </c>
      <c r="G81" s="1" t="s">
        <v>1252</v>
      </c>
      <c r="H81" s="1"/>
      <c r="I81" s="1"/>
      <c r="J81" s="1"/>
      <c r="K81" s="1"/>
      <c r="L81" t="s">
        <v>1250</v>
      </c>
      <c r="M81" t="s">
        <v>11</v>
      </c>
      <c r="N81" t="s">
        <v>320</v>
      </c>
      <c r="O81" t="s">
        <v>345</v>
      </c>
      <c r="P81" t="s">
        <v>320</v>
      </c>
      <c r="T81" t="s">
        <v>1251</v>
      </c>
      <c r="U81" s="12">
        <v>38018.939632056099</v>
      </c>
      <c r="V81" s="12">
        <v>0.216195197556934</v>
      </c>
    </row>
    <row r="82" spans="1:22" x14ac:dyDescent="0.45">
      <c r="A82" t="s">
        <v>46</v>
      </c>
      <c r="B82" t="s">
        <v>1112</v>
      </c>
      <c r="C82" t="s">
        <v>145</v>
      </c>
      <c r="D82" t="s">
        <v>835</v>
      </c>
      <c r="E82" t="s">
        <v>835</v>
      </c>
      <c r="F82" t="str">
        <f>"{'en.verb.past':'"&amp;D82&amp;"','en.verb.pp':'"&amp;E82&amp;"'}"</f>
        <v>{'en.verb.past':'lent','en.verb.pp':'lent'}</v>
      </c>
      <c r="G82" s="1" t="s">
        <v>271</v>
      </c>
      <c r="H82" s="1"/>
      <c r="I82" s="1"/>
      <c r="J82" s="1"/>
      <c r="K82" s="1"/>
      <c r="L82" t="s">
        <v>902</v>
      </c>
      <c r="M82" t="s">
        <v>17</v>
      </c>
      <c r="N82" t="s">
        <v>320</v>
      </c>
      <c r="O82" t="s">
        <v>833</v>
      </c>
      <c r="P82" t="s">
        <v>345</v>
      </c>
      <c r="R82" t="s">
        <v>320</v>
      </c>
      <c r="U82" s="12">
        <v>13803.842646028799</v>
      </c>
      <c r="V82" s="9">
        <v>7.8495731779609307E-2</v>
      </c>
    </row>
    <row r="83" spans="1:22" x14ac:dyDescent="0.45">
      <c r="A83" t="s">
        <v>1243</v>
      </c>
      <c r="B83" t="s">
        <v>1244</v>
      </c>
      <c r="C83" t="s">
        <v>109</v>
      </c>
      <c r="D83" t="s">
        <v>340</v>
      </c>
      <c r="E83" t="s">
        <v>340</v>
      </c>
      <c r="F83" t="str">
        <f>"{'en.verb.past':'"&amp;D83&amp;"','en.verb.pp':'"&amp;E83&amp;"'}"</f>
        <v>{'en.verb.past':'lied','en.verb.pp':'lied'}</v>
      </c>
      <c r="G83" s="1" t="s">
        <v>311</v>
      </c>
      <c r="H83" s="1" t="s">
        <v>312</v>
      </c>
      <c r="I83" s="1" t="s">
        <v>313</v>
      </c>
      <c r="J83" s="1" t="s">
        <v>314</v>
      </c>
      <c r="K83" s="1" t="str">
        <f>"{'es.verb.past':'"&amp;H83&amp;"','es.verb.pp':'"&amp;I83&amp;",'es.verb.ger':'"&amp;J83&amp;"'}"</f>
        <v>{'es.verb.past':'mintió','es.verb.pp':'mentido,'es.verb.ger':'mintiendo'}</v>
      </c>
      <c r="L83" t="s">
        <v>922</v>
      </c>
      <c r="M83" t="s">
        <v>8</v>
      </c>
      <c r="N83" t="s">
        <v>320</v>
      </c>
      <c r="O83" t="s">
        <v>833</v>
      </c>
      <c r="U83" s="12">
        <v>69183.097091893593</v>
      </c>
      <c r="V83" s="9">
        <v>0.39341058662170802</v>
      </c>
    </row>
    <row r="84" spans="1:22" x14ac:dyDescent="0.45">
      <c r="A84" t="s">
        <v>47</v>
      </c>
      <c r="B84" t="s">
        <v>1067</v>
      </c>
      <c r="C84" t="s">
        <v>110</v>
      </c>
      <c r="G84" s="1" t="s">
        <v>229</v>
      </c>
      <c r="H84" s="1"/>
      <c r="I84" s="1"/>
      <c r="J84" s="1"/>
      <c r="K84" s="1"/>
      <c r="L84" t="s">
        <v>904</v>
      </c>
      <c r="M84" t="s">
        <v>8</v>
      </c>
      <c r="N84" t="s">
        <v>1029</v>
      </c>
      <c r="O84" t="s">
        <v>833</v>
      </c>
      <c r="U84" s="12">
        <v>2691.5348039269102</v>
      </c>
      <c r="V84" s="9">
        <v>1.53054478714527E-2</v>
      </c>
    </row>
    <row r="85" spans="1:22" x14ac:dyDescent="0.45">
      <c r="A85" t="s">
        <v>1680</v>
      </c>
      <c r="B85" t="s">
        <v>421</v>
      </c>
      <c r="C85" t="s">
        <v>743</v>
      </c>
      <c r="G85" t="s">
        <v>785</v>
      </c>
      <c r="K85" s="1"/>
      <c r="L85" t="s">
        <v>892</v>
      </c>
      <c r="M85" t="s">
        <v>11</v>
      </c>
      <c r="N85" t="s">
        <v>320</v>
      </c>
      <c r="O85" t="s">
        <v>833</v>
      </c>
      <c r="P85" t="s">
        <v>744</v>
      </c>
      <c r="U85" s="12">
        <v>239.88329190194801</v>
      </c>
      <c r="V85" s="9">
        <v>1.36409947739893E-3</v>
      </c>
    </row>
    <row r="86" spans="1:22" x14ac:dyDescent="0.45">
      <c r="A86" t="s">
        <v>169</v>
      </c>
      <c r="B86" t="s">
        <v>1241</v>
      </c>
      <c r="C86" s="8" t="s">
        <v>1253</v>
      </c>
      <c r="G86" s="1" t="s">
        <v>184</v>
      </c>
      <c r="H86" s="1"/>
      <c r="I86" s="1"/>
      <c r="J86" s="1"/>
      <c r="K86" s="1"/>
      <c r="L86" t="s">
        <v>858</v>
      </c>
      <c r="M86" t="s">
        <v>11</v>
      </c>
      <c r="N86" t="s">
        <v>1028</v>
      </c>
      <c r="O86" t="s">
        <v>833</v>
      </c>
      <c r="P86" t="s">
        <v>1028</v>
      </c>
      <c r="U86" s="12">
        <v>114815.36214968799</v>
      </c>
      <c r="V86" s="12">
        <v>0.65289905880471599</v>
      </c>
    </row>
    <row r="87" spans="1:22" x14ac:dyDescent="0.45">
      <c r="A87" t="s">
        <v>1165</v>
      </c>
      <c r="B87" t="s">
        <v>1195</v>
      </c>
      <c r="C87" t="s">
        <v>1167</v>
      </c>
      <c r="D87" t="s">
        <v>1200</v>
      </c>
      <c r="E87" t="s">
        <v>1200</v>
      </c>
      <c r="F87" t="str">
        <f>"{'en.verb.past':'"&amp;D87&amp;"','en.verb.pp':'"&amp;E87&amp;"'}"</f>
        <v>{'en.verb.past':'lost','en.verb.pp':'lost'}</v>
      </c>
      <c r="G87" t="s">
        <v>1225</v>
      </c>
      <c r="H87" t="s">
        <v>1226</v>
      </c>
      <c r="K87" s="1" t="str">
        <f>"{'es.verb.past':'"&amp;H87&amp;"'}"</f>
        <v>{'es.verb.past':'pierdo'}</v>
      </c>
      <c r="L87" t="s">
        <v>979</v>
      </c>
      <c r="M87" t="s">
        <v>11</v>
      </c>
      <c r="N87" t="s">
        <v>320</v>
      </c>
      <c r="U87" s="12">
        <v>120226.443461741</v>
      </c>
      <c r="V87" s="12">
        <v>0.68366924346998204</v>
      </c>
    </row>
    <row r="88" spans="1:22" x14ac:dyDescent="0.45">
      <c r="A88" t="s">
        <v>1184</v>
      </c>
      <c r="B88" t="s">
        <v>1185</v>
      </c>
      <c r="C88" t="s">
        <v>1186</v>
      </c>
      <c r="D88" t="s">
        <v>1194</v>
      </c>
      <c r="E88" t="s">
        <v>1194</v>
      </c>
      <c r="F88" t="str">
        <f>"{'en.verb.past':'"&amp;D88&amp;"','en.verb.pp':'"&amp;E88&amp;"'}"</f>
        <v>{'en.verb.past':'made','en.verb.pp':'made'}</v>
      </c>
      <c r="G88" t="s">
        <v>1221</v>
      </c>
      <c r="H88" t="s">
        <v>1222</v>
      </c>
      <c r="K88" s="1" t="str">
        <f>"{'es.verb.past':'"&amp;H88&amp;"'}"</f>
        <v>{'es.verb.past':'hice'}</v>
      </c>
      <c r="L88" t="s">
        <v>1020</v>
      </c>
      <c r="M88" t="s">
        <v>11</v>
      </c>
      <c r="N88" t="s">
        <v>1028</v>
      </c>
      <c r="T88" t="s">
        <v>1187</v>
      </c>
      <c r="U88" s="12">
        <v>1202264.4346174099</v>
      </c>
      <c r="V88" s="12">
        <v>6.8366924346998204</v>
      </c>
    </row>
    <row r="89" spans="1:22" x14ac:dyDescent="0.45">
      <c r="A89" s="6" t="s">
        <v>1694</v>
      </c>
      <c r="B89" t="s">
        <v>637</v>
      </c>
      <c r="C89" t="s">
        <v>1405</v>
      </c>
      <c r="G89" s="1" t="s">
        <v>1695</v>
      </c>
      <c r="L89" t="s">
        <v>1020</v>
      </c>
      <c r="M89" t="s">
        <v>11</v>
      </c>
      <c r="N89" t="s">
        <v>320</v>
      </c>
      <c r="P89" t="s">
        <v>1696</v>
      </c>
    </row>
    <row r="90" spans="1:22" x14ac:dyDescent="0.45">
      <c r="A90" s="6" t="s">
        <v>1665</v>
      </c>
      <c r="B90" t="s">
        <v>606</v>
      </c>
      <c r="C90" t="s">
        <v>752</v>
      </c>
      <c r="G90" t="s">
        <v>786</v>
      </c>
      <c r="K90" s="1"/>
      <c r="L90" t="s">
        <v>893</v>
      </c>
      <c r="M90" t="s">
        <v>8</v>
      </c>
      <c r="N90" t="s">
        <v>320</v>
      </c>
      <c r="O90" t="s">
        <v>833</v>
      </c>
      <c r="U90" s="12">
        <v>2344.2288153199202</v>
      </c>
      <c r="V90" s="9">
        <v>1.33304878240061E-2</v>
      </c>
    </row>
    <row r="91" spans="1:22" x14ac:dyDescent="0.45">
      <c r="A91" t="s">
        <v>1113</v>
      </c>
      <c r="B91" t="s">
        <v>376</v>
      </c>
      <c r="C91" t="s">
        <v>698</v>
      </c>
      <c r="G91" t="s">
        <v>787</v>
      </c>
      <c r="K91" s="1"/>
      <c r="L91" t="s">
        <v>857</v>
      </c>
      <c r="M91" t="s">
        <v>11</v>
      </c>
      <c r="N91" t="s">
        <v>320</v>
      </c>
      <c r="O91" t="s">
        <v>833</v>
      </c>
      <c r="P91" t="s">
        <v>696</v>
      </c>
      <c r="U91" s="12">
        <v>223872.11385683299</v>
      </c>
      <c r="V91" s="12">
        <v>1.27305170399748</v>
      </c>
    </row>
    <row r="92" spans="1:22" x14ac:dyDescent="0.45">
      <c r="A92" t="s">
        <v>48</v>
      </c>
      <c r="B92" t="s">
        <v>1114</v>
      </c>
      <c r="C92" t="s">
        <v>142</v>
      </c>
      <c r="G92" s="1" t="s">
        <v>250</v>
      </c>
      <c r="H92" s="1" t="s">
        <v>251</v>
      </c>
      <c r="I92" s="1" t="s">
        <v>252</v>
      </c>
      <c r="J92" s="1"/>
      <c r="K92" s="1" t="str">
        <f>"{'es.verb.past':'"&amp;H92&amp;"','es.verb.pp':'"&amp;I92&amp;"'}"</f>
        <v>{'es.verb.past':'obedeció','es.verb.pp':'obedecido'}</v>
      </c>
      <c r="L92" t="s">
        <v>915</v>
      </c>
      <c r="M92" t="s">
        <v>11</v>
      </c>
      <c r="N92" t="s">
        <v>319</v>
      </c>
      <c r="O92" t="s">
        <v>833</v>
      </c>
      <c r="P92" t="s">
        <v>320</v>
      </c>
      <c r="U92" s="12">
        <v>6760.8297539198102</v>
      </c>
      <c r="V92" s="12">
        <v>3.84455468364793E-2</v>
      </c>
    </row>
    <row r="93" spans="1:22" x14ac:dyDescent="0.45">
      <c r="A93" t="s">
        <v>1685</v>
      </c>
      <c r="B93" t="s">
        <v>624</v>
      </c>
      <c r="C93" t="s">
        <v>1395</v>
      </c>
      <c r="G93" s="1" t="s">
        <v>1686</v>
      </c>
      <c r="L93" t="s">
        <v>951</v>
      </c>
      <c r="M93" t="s">
        <v>11</v>
      </c>
      <c r="N93" t="s">
        <v>1028</v>
      </c>
      <c r="O93" t="s">
        <v>345</v>
      </c>
      <c r="P93" t="s">
        <v>1028</v>
      </c>
    </row>
    <row r="94" spans="1:22" x14ac:dyDescent="0.45">
      <c r="A94" t="s">
        <v>1115</v>
      </c>
      <c r="B94" t="s">
        <v>671</v>
      </c>
      <c r="C94" t="s">
        <v>759</v>
      </c>
      <c r="D94" t="s">
        <v>760</v>
      </c>
      <c r="E94" t="s">
        <v>761</v>
      </c>
      <c r="F94" t="str">
        <f>"{'en.verb.past':'"&amp;D94&amp;"','en.verb.pp':'"&amp;E94&amp;"'}"</f>
        <v>{'en.verb.past':'overate','en.verb.pp':'overeaten'}</v>
      </c>
      <c r="G94" t="s">
        <v>788</v>
      </c>
      <c r="K94" s="1"/>
      <c r="L94" t="s">
        <v>912</v>
      </c>
      <c r="M94" t="s">
        <v>8</v>
      </c>
      <c r="N94" t="s">
        <v>320</v>
      </c>
      <c r="O94" t="s">
        <v>833</v>
      </c>
      <c r="T94" t="s">
        <v>672</v>
      </c>
      <c r="U94" s="12">
        <v>199.52623149688699</v>
      </c>
      <c r="V94" s="9">
        <v>1.13460852548052E-3</v>
      </c>
    </row>
    <row r="95" spans="1:22" x14ac:dyDescent="0.45">
      <c r="A95" t="s">
        <v>1116</v>
      </c>
      <c r="B95" t="s">
        <v>519</v>
      </c>
      <c r="C95" t="s">
        <v>750</v>
      </c>
      <c r="G95" t="s">
        <v>789</v>
      </c>
      <c r="K95" s="1"/>
      <c r="L95" t="s">
        <v>918</v>
      </c>
      <c r="M95" t="s">
        <v>8</v>
      </c>
      <c r="N95" t="s">
        <v>319</v>
      </c>
      <c r="O95" t="s">
        <v>833</v>
      </c>
      <c r="U95" s="12">
        <v>1513.5612484362</v>
      </c>
      <c r="V95" s="9">
        <v>8.6068858386645405E-3</v>
      </c>
    </row>
    <row r="96" spans="1:22" x14ac:dyDescent="0.45">
      <c r="A96" t="s">
        <v>1704</v>
      </c>
      <c r="B96" t="s">
        <v>622</v>
      </c>
      <c r="C96" t="s">
        <v>750</v>
      </c>
      <c r="G96" t="s">
        <v>789</v>
      </c>
      <c r="K96" s="1"/>
      <c r="L96" t="s">
        <v>918</v>
      </c>
      <c r="M96" t="s">
        <v>8</v>
      </c>
      <c r="N96" t="s">
        <v>319</v>
      </c>
      <c r="O96" t="s">
        <v>833</v>
      </c>
      <c r="U96" s="12">
        <v>1513.5612484362</v>
      </c>
      <c r="V96" s="9">
        <v>8.6068858386645405E-3</v>
      </c>
    </row>
    <row r="97" spans="1:22" x14ac:dyDescent="0.45">
      <c r="A97" t="s">
        <v>49</v>
      </c>
      <c r="B97" t="s">
        <v>1117</v>
      </c>
      <c r="C97" t="s">
        <v>146</v>
      </c>
      <c r="D97" t="s">
        <v>343</v>
      </c>
      <c r="E97" t="s">
        <v>343</v>
      </c>
      <c r="F97" t="str">
        <f>"{'en.verb.past':'"&amp;D97&amp;"','en.verb.pp':'"&amp;E97&amp;"'}"</f>
        <v>{'en.verb.past':'paid','en.verb.pp':'paid'}</v>
      </c>
      <c r="G97" s="1" t="s">
        <v>272</v>
      </c>
      <c r="H97" s="1"/>
      <c r="I97" s="1"/>
      <c r="J97" s="1"/>
      <c r="K97" s="1"/>
      <c r="L97" t="s">
        <v>924</v>
      </c>
      <c r="M97" t="s">
        <v>11</v>
      </c>
      <c r="N97" t="s">
        <v>320</v>
      </c>
      <c r="O97" t="s">
        <v>833</v>
      </c>
      <c r="P97" t="s">
        <v>320</v>
      </c>
      <c r="U97" s="12">
        <v>251188.643150958</v>
      </c>
      <c r="V97" s="12">
        <v>1.42838750516574</v>
      </c>
    </row>
    <row r="98" spans="1:22" x14ac:dyDescent="0.45">
      <c r="A98" t="s">
        <v>54</v>
      </c>
      <c r="B98" t="s">
        <v>441</v>
      </c>
      <c r="C98" t="s">
        <v>729</v>
      </c>
      <c r="G98" t="s">
        <v>790</v>
      </c>
      <c r="K98" s="1"/>
      <c r="L98" t="s">
        <v>895</v>
      </c>
      <c r="M98" t="s">
        <v>11</v>
      </c>
      <c r="N98" t="s">
        <v>320</v>
      </c>
      <c r="O98" t="s">
        <v>833</v>
      </c>
      <c r="P98" t="s">
        <v>730</v>
      </c>
      <c r="U98" s="12">
        <v>28183.829312644499</v>
      </c>
      <c r="V98" s="12">
        <v>0.16026771406903001</v>
      </c>
    </row>
    <row r="99" spans="1:22" x14ac:dyDescent="0.45">
      <c r="A99" t="s">
        <v>1118</v>
      </c>
      <c r="B99" t="s">
        <v>486</v>
      </c>
      <c r="C99" t="s">
        <v>729</v>
      </c>
      <c r="G99" t="s">
        <v>790</v>
      </c>
      <c r="K99" s="1"/>
      <c r="L99" t="s">
        <v>895</v>
      </c>
      <c r="M99" t="s">
        <v>11</v>
      </c>
      <c r="N99" t="s">
        <v>320</v>
      </c>
      <c r="O99" t="s">
        <v>833</v>
      </c>
      <c r="P99" t="s">
        <v>730</v>
      </c>
      <c r="U99" s="12">
        <v>28183.829312644499</v>
      </c>
      <c r="V99" s="12">
        <v>0.16026771406903001</v>
      </c>
    </row>
    <row r="100" spans="1:22" x14ac:dyDescent="0.45">
      <c r="A100" t="s">
        <v>1207</v>
      </c>
      <c r="B100" t="s">
        <v>1208</v>
      </c>
      <c r="C100" t="s">
        <v>1209</v>
      </c>
      <c r="G100" t="s">
        <v>1232</v>
      </c>
      <c r="H100" t="s">
        <v>1233</v>
      </c>
      <c r="K100" s="1" t="str">
        <f>"{'es.verb.past':'"&amp;H100&amp;"'}"</f>
        <v>{'es.verb.past':'pellizqué'}</v>
      </c>
      <c r="L100" t="s">
        <v>879</v>
      </c>
      <c r="M100" t="s">
        <v>11</v>
      </c>
      <c r="N100" t="s">
        <v>320</v>
      </c>
      <c r="P100" t="s">
        <v>1234</v>
      </c>
      <c r="U100" s="12">
        <v>5754.3993733715597</v>
      </c>
      <c r="V100" s="9">
        <v>3.2722467312018499E-2</v>
      </c>
    </row>
    <row r="101" spans="1:22" x14ac:dyDescent="0.45">
      <c r="A101" s="6" t="s">
        <v>1655</v>
      </c>
      <c r="B101" t="s">
        <v>661</v>
      </c>
      <c r="C101" t="s">
        <v>1656</v>
      </c>
      <c r="G101" s="1" t="s">
        <v>1657</v>
      </c>
      <c r="H101" s="1"/>
      <c r="I101" s="1"/>
      <c r="J101" s="1"/>
      <c r="K101" s="1"/>
      <c r="L101" t="s">
        <v>871</v>
      </c>
      <c r="M101" t="s">
        <v>11</v>
      </c>
      <c r="N101" t="s">
        <v>320</v>
      </c>
      <c r="O101" t="s">
        <v>833</v>
      </c>
      <c r="U101" s="12"/>
      <c r="V101" s="12"/>
    </row>
    <row r="102" spans="1:22" x14ac:dyDescent="0.45">
      <c r="A102" t="s">
        <v>1119</v>
      </c>
      <c r="B102" t="s">
        <v>1245</v>
      </c>
      <c r="C102" t="s">
        <v>701</v>
      </c>
      <c r="G102" t="s">
        <v>791</v>
      </c>
      <c r="K102" s="1"/>
      <c r="L102" t="s">
        <v>870</v>
      </c>
      <c r="M102" t="s">
        <v>8</v>
      </c>
      <c r="N102" t="s">
        <v>320</v>
      </c>
      <c r="O102" t="s">
        <v>833</v>
      </c>
      <c r="U102" s="12">
        <v>21379.620895022301</v>
      </c>
      <c r="V102" s="12">
        <v>0.121575493893955</v>
      </c>
    </row>
    <row r="103" spans="1:22" x14ac:dyDescent="0.45">
      <c r="A103" t="s">
        <v>51</v>
      </c>
      <c r="B103" t="s">
        <v>1120</v>
      </c>
      <c r="C103" t="s">
        <v>111</v>
      </c>
      <c r="G103" s="1" t="s">
        <v>295</v>
      </c>
      <c r="H103" s="1"/>
      <c r="I103" s="1"/>
      <c r="J103" s="1"/>
      <c r="K103" s="1"/>
      <c r="L103" t="s">
        <v>898</v>
      </c>
      <c r="M103" t="s">
        <v>8</v>
      </c>
      <c r="N103" t="s">
        <v>1028</v>
      </c>
      <c r="O103" t="s">
        <v>833</v>
      </c>
      <c r="U103" s="12">
        <v>28183.829312644499</v>
      </c>
      <c r="V103" s="12">
        <v>0.16026771406903001</v>
      </c>
    </row>
    <row r="104" spans="1:22" x14ac:dyDescent="0.45">
      <c r="A104" t="s">
        <v>1191</v>
      </c>
      <c r="B104" t="s">
        <v>1192</v>
      </c>
      <c r="C104" t="s">
        <v>1193</v>
      </c>
      <c r="G104" t="s">
        <v>1224</v>
      </c>
      <c r="K104" s="1"/>
      <c r="L104" t="s">
        <v>879</v>
      </c>
      <c r="M104" t="s">
        <v>11</v>
      </c>
      <c r="N104" t="s">
        <v>320</v>
      </c>
      <c r="U104" s="12">
        <v>66069.344800759602</v>
      </c>
      <c r="V104" s="12">
        <v>0.37570419348607498</v>
      </c>
    </row>
    <row r="105" spans="1:22" x14ac:dyDescent="0.45">
      <c r="A105" t="s">
        <v>52</v>
      </c>
      <c r="B105" t="s">
        <v>1068</v>
      </c>
      <c r="C105" t="s">
        <v>112</v>
      </c>
      <c r="G105" s="1" t="s">
        <v>243</v>
      </c>
      <c r="H105" s="1"/>
      <c r="I105" s="1"/>
      <c r="J105" s="1"/>
      <c r="K105" s="1"/>
      <c r="L105" t="s">
        <v>879</v>
      </c>
      <c r="M105" t="s">
        <v>11</v>
      </c>
      <c r="N105" t="s">
        <v>320</v>
      </c>
      <c r="O105" t="s">
        <v>833</v>
      </c>
      <c r="P105" t="s">
        <v>349</v>
      </c>
      <c r="U105" s="12">
        <v>66069.344800759602</v>
      </c>
      <c r="V105" s="12">
        <v>0.37570419348607498</v>
      </c>
    </row>
    <row r="106" spans="1:22" x14ac:dyDescent="0.45">
      <c r="A106" s="6" t="s">
        <v>1720</v>
      </c>
      <c r="B106" t="s">
        <v>1721</v>
      </c>
      <c r="C106" t="s">
        <v>1722</v>
      </c>
      <c r="G106" t="s">
        <v>1723</v>
      </c>
      <c r="L106" t="s">
        <v>979</v>
      </c>
      <c r="M106" t="s">
        <v>8</v>
      </c>
      <c r="N106" t="s">
        <v>1028</v>
      </c>
    </row>
    <row r="107" spans="1:22" x14ac:dyDescent="0.45">
      <c r="A107" t="s">
        <v>1121</v>
      </c>
      <c r="B107" t="s">
        <v>618</v>
      </c>
      <c r="C107" t="s">
        <v>619</v>
      </c>
      <c r="G107" t="s">
        <v>792</v>
      </c>
      <c r="K107" s="1"/>
      <c r="L107" t="s">
        <v>932</v>
      </c>
      <c r="M107" t="s">
        <v>11</v>
      </c>
      <c r="N107" t="s">
        <v>320</v>
      </c>
      <c r="O107" t="s">
        <v>833</v>
      </c>
      <c r="P107" t="s">
        <v>150</v>
      </c>
      <c r="U107" s="12">
        <v>204.17379446695199</v>
      </c>
      <c r="V107" s="9">
        <v>1.1610369531062201E-3</v>
      </c>
    </row>
    <row r="108" spans="1:22" x14ac:dyDescent="0.45">
      <c r="A108" t="s">
        <v>1122</v>
      </c>
      <c r="B108" t="s">
        <v>418</v>
      </c>
      <c r="C108" t="s">
        <v>726</v>
      </c>
      <c r="G108" t="s">
        <v>793</v>
      </c>
      <c r="K108" s="1"/>
      <c r="L108" t="s">
        <v>891</v>
      </c>
      <c r="M108" t="s">
        <v>11</v>
      </c>
      <c r="N108" t="s">
        <v>320</v>
      </c>
      <c r="O108" t="s">
        <v>833</v>
      </c>
      <c r="P108" t="s">
        <v>320</v>
      </c>
      <c r="U108" s="12">
        <v>21379.620895022301</v>
      </c>
      <c r="V108" s="12">
        <v>0.121575493893955</v>
      </c>
    </row>
    <row r="109" spans="1:22" x14ac:dyDescent="0.45">
      <c r="A109" s="6" t="s">
        <v>1708</v>
      </c>
      <c r="B109" t="s">
        <v>1709</v>
      </c>
      <c r="C109" t="s">
        <v>1715</v>
      </c>
      <c r="G109" t="s">
        <v>1716</v>
      </c>
      <c r="L109" t="s">
        <v>1020</v>
      </c>
      <c r="M109" t="s">
        <v>11</v>
      </c>
      <c r="N109" t="s">
        <v>1028</v>
      </c>
      <c r="O109" t="s">
        <v>833</v>
      </c>
      <c r="P109" t="s">
        <v>148</v>
      </c>
      <c r="T109" t="s">
        <v>1719</v>
      </c>
    </row>
    <row r="110" spans="1:22" x14ac:dyDescent="0.45">
      <c r="A110" t="s">
        <v>1159</v>
      </c>
      <c r="B110" t="s">
        <v>1158</v>
      </c>
      <c r="C110" t="s">
        <v>1160</v>
      </c>
      <c r="G110" t="s">
        <v>1210</v>
      </c>
      <c r="K110" s="1"/>
      <c r="L110" t="s">
        <v>860</v>
      </c>
      <c r="M110" t="s">
        <v>8</v>
      </c>
      <c r="N110" t="s">
        <v>1164</v>
      </c>
      <c r="U110" s="12">
        <v>2951.2092266663799</v>
      </c>
      <c r="V110" s="12">
        <v>1.6782089873254E-2</v>
      </c>
    </row>
    <row r="111" spans="1:22" x14ac:dyDescent="0.45">
      <c r="A111" s="6" t="s">
        <v>1697</v>
      </c>
      <c r="B111" t="s">
        <v>643</v>
      </c>
      <c r="C111" t="s">
        <v>1160</v>
      </c>
      <c r="G111" t="s">
        <v>1210</v>
      </c>
      <c r="L111" t="s">
        <v>965</v>
      </c>
      <c r="M111" t="s">
        <v>8</v>
      </c>
      <c r="N111" t="s">
        <v>1699</v>
      </c>
      <c r="T111" t="s">
        <v>1698</v>
      </c>
    </row>
    <row r="112" spans="1:22" x14ac:dyDescent="0.45">
      <c r="A112" t="s">
        <v>53</v>
      </c>
      <c r="B112" t="s">
        <v>1123</v>
      </c>
      <c r="C112" t="s">
        <v>113</v>
      </c>
      <c r="G112" s="1" t="s">
        <v>260</v>
      </c>
      <c r="H112" s="1"/>
      <c r="I112" s="1"/>
      <c r="J112" s="1"/>
      <c r="K112" s="1"/>
      <c r="L112" t="s">
        <v>905</v>
      </c>
      <c r="M112" t="s">
        <v>11</v>
      </c>
      <c r="N112" t="s">
        <v>320</v>
      </c>
      <c r="O112" t="s">
        <v>833</v>
      </c>
      <c r="P112" t="s">
        <v>15</v>
      </c>
      <c r="U112" s="12">
        <v>7413.10241300917</v>
      </c>
      <c r="V112" s="9">
        <v>4.2154703845001203E-2</v>
      </c>
    </row>
    <row r="113" spans="1:22" x14ac:dyDescent="0.45">
      <c r="A113" t="s">
        <v>1124</v>
      </c>
      <c r="B113" t="s">
        <v>526</v>
      </c>
      <c r="C113" t="s">
        <v>741</v>
      </c>
      <c r="E113" t="s">
        <v>804</v>
      </c>
      <c r="F113" t="str">
        <f>"{'en.verb.pp':'"&amp;E113&amp;"'}"</f>
        <v>{'en.verb.pp':'rotten'}</v>
      </c>
      <c r="G113" t="s">
        <v>794</v>
      </c>
      <c r="I113" t="s">
        <v>795</v>
      </c>
      <c r="K113" s="1" t="str">
        <f>"{'es.verb.pp':'"&amp;I113&amp;"'}"</f>
        <v>{'es.verb.pp':'pudrido'}</v>
      </c>
      <c r="L113" t="s">
        <v>860</v>
      </c>
      <c r="M113" t="s">
        <v>8</v>
      </c>
      <c r="N113" t="s">
        <v>739</v>
      </c>
      <c r="U113" s="12">
        <v>5011.8723362727196</v>
      </c>
      <c r="V113" s="12">
        <v>2.8500077602296201E-2</v>
      </c>
    </row>
    <row r="114" spans="1:22" x14ac:dyDescent="0.45">
      <c r="A114" t="s">
        <v>54</v>
      </c>
      <c r="B114" t="s">
        <v>441</v>
      </c>
      <c r="C114" t="s">
        <v>114</v>
      </c>
      <c r="G114" s="1" t="s">
        <v>210</v>
      </c>
      <c r="H114" s="1"/>
      <c r="I114" s="1"/>
      <c r="J114" s="1"/>
      <c r="K114" s="1"/>
      <c r="L114" t="s">
        <v>871</v>
      </c>
      <c r="M114" t="s">
        <v>11</v>
      </c>
      <c r="N114" t="s">
        <v>320</v>
      </c>
      <c r="O114" t="s">
        <v>833</v>
      </c>
      <c r="P114" t="s">
        <v>350</v>
      </c>
      <c r="U114" s="12">
        <v>9332.5430079699108</v>
      </c>
      <c r="V114" s="9">
        <v>5.3069627897129303E-2</v>
      </c>
    </row>
    <row r="115" spans="1:22" x14ac:dyDescent="0.45">
      <c r="A115" t="s">
        <v>55</v>
      </c>
      <c r="B115" t="s">
        <v>1043</v>
      </c>
      <c r="C115" t="s">
        <v>115</v>
      </c>
      <c r="D115" t="s">
        <v>326</v>
      </c>
      <c r="E115" t="s">
        <v>115</v>
      </c>
      <c r="F115" t="str">
        <f>"{'en.verb.past':'"&amp;D115&amp;"','en.verb.pp':'"&amp;E115&amp;"'}"</f>
        <v>{'en.verb.past':'ran','en.verb.pp':'run'}</v>
      </c>
      <c r="G115" s="1" t="s">
        <v>177</v>
      </c>
      <c r="H115" s="1" t="s">
        <v>178</v>
      </c>
      <c r="I115" s="1" t="s">
        <v>179</v>
      </c>
      <c r="J115" s="1"/>
      <c r="K115" s="1" t="str">
        <f>"{'es.verb.past':'"&amp;H115&amp;"','es.verb.pp':'"&amp;I115&amp;"'}"</f>
        <v>{'es.verb.past':'corrió','es.verb.pp':'corrido'}</v>
      </c>
      <c r="L115" t="s">
        <v>857</v>
      </c>
      <c r="M115" t="s">
        <v>8</v>
      </c>
      <c r="N115" t="s">
        <v>319</v>
      </c>
      <c r="O115" t="s">
        <v>833</v>
      </c>
      <c r="U115" s="12">
        <v>309029.54325135902</v>
      </c>
      <c r="V115" s="12">
        <v>1.75730054022402</v>
      </c>
    </row>
    <row r="116" spans="1:22" x14ac:dyDescent="0.45">
      <c r="A116" t="s">
        <v>1125</v>
      </c>
      <c r="B116" t="s">
        <v>489</v>
      </c>
      <c r="C116" t="s">
        <v>737</v>
      </c>
      <c r="G116" t="s">
        <v>796</v>
      </c>
      <c r="K116" s="1"/>
      <c r="L116" t="s">
        <v>860</v>
      </c>
      <c r="M116" t="s">
        <v>8</v>
      </c>
      <c r="N116" t="s">
        <v>738</v>
      </c>
      <c r="O116" t="s">
        <v>833</v>
      </c>
      <c r="U116" s="12">
        <v>5495.4087385762396</v>
      </c>
      <c r="V116" s="12">
        <v>3.1249713679306498E-2</v>
      </c>
    </row>
    <row r="117" spans="1:22" x14ac:dyDescent="0.45">
      <c r="A117" t="s">
        <v>1126</v>
      </c>
      <c r="B117" t="s">
        <v>537</v>
      </c>
      <c r="C117" t="s">
        <v>737</v>
      </c>
      <c r="G117" t="s">
        <v>796</v>
      </c>
      <c r="K117" s="1"/>
      <c r="L117" t="s">
        <v>860</v>
      </c>
      <c r="M117" t="s">
        <v>8</v>
      </c>
      <c r="N117" t="s">
        <v>738</v>
      </c>
      <c r="U117" s="12">
        <v>5495.4087385762396</v>
      </c>
      <c r="V117" s="12">
        <v>3.1249713679306498E-2</v>
      </c>
    </row>
    <row r="118" spans="1:22" x14ac:dyDescent="0.45">
      <c r="A118" t="s">
        <v>1127</v>
      </c>
      <c r="B118" t="s">
        <v>373</v>
      </c>
      <c r="C118" t="s">
        <v>694</v>
      </c>
      <c r="G118" t="s">
        <v>797</v>
      </c>
      <c r="K118" s="1"/>
      <c r="L118" t="s">
        <v>866</v>
      </c>
      <c r="M118" t="s">
        <v>11</v>
      </c>
      <c r="N118" t="s">
        <v>320</v>
      </c>
      <c r="O118" t="s">
        <v>833</v>
      </c>
      <c r="P118" t="s">
        <v>310</v>
      </c>
      <c r="U118" s="12">
        <v>39810.717055349603</v>
      </c>
      <c r="V118" s="12">
        <v>0.226384163313369</v>
      </c>
    </row>
    <row r="119" spans="1:22" x14ac:dyDescent="0.45">
      <c r="A119" t="s">
        <v>1204</v>
      </c>
      <c r="B119" t="s">
        <v>1246</v>
      </c>
      <c r="C119" t="s">
        <v>1205</v>
      </c>
      <c r="D119" t="s">
        <v>1206</v>
      </c>
      <c r="E119" t="s">
        <v>1206</v>
      </c>
      <c r="F119" t="str">
        <f>"{'en.verb.past':'"&amp;D119&amp;"','en.verb.pp':'"&amp;E119&amp;"'}"</f>
        <v>{'en.verb.past':'said','en.verb.pp':'said'}</v>
      </c>
      <c r="G119" t="s">
        <v>1230</v>
      </c>
      <c r="H119" t="s">
        <v>1231</v>
      </c>
      <c r="K119" s="1" t="str">
        <f>"{'es.verb.past':'"&amp;H119&amp;"'}"</f>
        <v>{'es.verb.past':'dije'}</v>
      </c>
      <c r="L119" t="s">
        <v>1011</v>
      </c>
      <c r="M119" t="s">
        <v>11</v>
      </c>
      <c r="N119" t="s">
        <v>320</v>
      </c>
      <c r="U119" s="12">
        <v>776247.11662869097</v>
      </c>
      <c r="V119" s="12">
        <v>4.4141393830731701</v>
      </c>
    </row>
    <row r="120" spans="1:22" x14ac:dyDescent="0.45">
      <c r="A120" t="s">
        <v>56</v>
      </c>
      <c r="B120" t="s">
        <v>1069</v>
      </c>
      <c r="C120" t="s">
        <v>116</v>
      </c>
      <c r="G120" s="1" t="s">
        <v>266</v>
      </c>
      <c r="H120" s="1"/>
      <c r="I120" s="1"/>
      <c r="J120" s="1"/>
      <c r="K120" s="1"/>
      <c r="L120" t="s">
        <v>879</v>
      </c>
      <c r="M120" t="s">
        <v>11</v>
      </c>
      <c r="N120" t="s">
        <v>320</v>
      </c>
      <c r="O120" t="s">
        <v>833</v>
      </c>
      <c r="P120" t="s">
        <v>350</v>
      </c>
      <c r="U120" s="12">
        <v>14454.3977074592</v>
      </c>
      <c r="V120" s="9">
        <v>8.2195121646575303E-2</v>
      </c>
    </row>
    <row r="121" spans="1:22" x14ac:dyDescent="0.45">
      <c r="A121" t="s">
        <v>1128</v>
      </c>
      <c r="B121" t="s">
        <v>429</v>
      </c>
      <c r="C121" t="s">
        <v>727</v>
      </c>
      <c r="G121" t="s">
        <v>798</v>
      </c>
      <c r="K121" s="1"/>
      <c r="L121" t="s">
        <v>893</v>
      </c>
      <c r="M121" t="s">
        <v>8</v>
      </c>
      <c r="N121" t="s">
        <v>1028</v>
      </c>
      <c r="O121" t="s">
        <v>833</v>
      </c>
      <c r="U121" s="12">
        <v>16218.1009735892</v>
      </c>
      <c r="V121" s="9">
        <v>9.2224443341052204E-2</v>
      </c>
    </row>
    <row r="122" spans="1:22" x14ac:dyDescent="0.45">
      <c r="A122" t="s">
        <v>1129</v>
      </c>
      <c r="B122" t="s">
        <v>381</v>
      </c>
      <c r="C122" t="s">
        <v>707</v>
      </c>
      <c r="G122" t="s">
        <v>799</v>
      </c>
      <c r="I122" t="s">
        <v>800</v>
      </c>
      <c r="K122" s="1" t="str">
        <f>"{'es.verb.pp':'"&amp;I122&amp;"'}"</f>
        <v>{'es.verb.pp':'fregado'}</v>
      </c>
      <c r="L122" t="s">
        <v>874</v>
      </c>
      <c r="M122" t="s">
        <v>11</v>
      </c>
      <c r="N122" t="s">
        <v>320</v>
      </c>
      <c r="O122" t="s">
        <v>833</v>
      </c>
      <c r="P122" t="s">
        <v>350</v>
      </c>
      <c r="U122" s="12">
        <v>4897.7881936844597</v>
      </c>
      <c r="V122" s="12">
        <v>2.7851336633092898E-2</v>
      </c>
    </row>
    <row r="123" spans="1:22" x14ac:dyDescent="0.45">
      <c r="A123" t="s">
        <v>1130</v>
      </c>
      <c r="B123" t="s">
        <v>401</v>
      </c>
      <c r="C123" t="s">
        <v>717</v>
      </c>
      <c r="G123" t="s">
        <v>801</v>
      </c>
      <c r="K123" s="1"/>
      <c r="L123" t="s">
        <v>866</v>
      </c>
      <c r="M123" t="s">
        <v>11</v>
      </c>
      <c r="N123" t="s">
        <v>320</v>
      </c>
      <c r="O123" t="s">
        <v>833</v>
      </c>
      <c r="P123" t="s">
        <v>310</v>
      </c>
      <c r="U123" s="12">
        <v>301995.17204020103</v>
      </c>
      <c r="V123" s="9">
        <v>1.71729949631267</v>
      </c>
    </row>
    <row r="124" spans="1:22" x14ac:dyDescent="0.45">
      <c r="A124" t="s">
        <v>57</v>
      </c>
      <c r="B124" t="s">
        <v>1070</v>
      </c>
      <c r="C124" t="s">
        <v>117</v>
      </c>
      <c r="D124" t="s">
        <v>156</v>
      </c>
      <c r="E124" t="s">
        <v>157</v>
      </c>
      <c r="F124" t="str">
        <f>"{'en.verb.past':'"&amp;D124&amp;"','en.verb.pp':'"&amp;E124&amp;"'}"</f>
        <v>{'en.verb.past':'saw','en.verb.pp':'seen'}</v>
      </c>
      <c r="G124" s="1" t="s">
        <v>207</v>
      </c>
      <c r="H124" s="1" t="s">
        <v>208</v>
      </c>
      <c r="I124" s="1" t="s">
        <v>209</v>
      </c>
      <c r="J124" s="1"/>
      <c r="K124" s="1" t="str">
        <f>"{'es.verb.past':'"&amp;H124&amp;"','es.verb.pp':'"&amp;I124&amp;"'}"</f>
        <v>{'es.verb.past':'vio','es.verb.pp':'visto'}</v>
      </c>
      <c r="L124" t="s">
        <v>849</v>
      </c>
      <c r="M124" t="s">
        <v>11</v>
      </c>
      <c r="N124" t="s">
        <v>1029</v>
      </c>
      <c r="O124" t="s">
        <v>833</v>
      </c>
      <c r="P124" t="s">
        <v>846</v>
      </c>
      <c r="U124" s="12">
        <v>1258925.41179416</v>
      </c>
      <c r="V124" s="9">
        <v>7.1588958226177901</v>
      </c>
    </row>
    <row r="125" spans="1:22" x14ac:dyDescent="0.45">
      <c r="A125" t="s">
        <v>58</v>
      </c>
      <c r="B125" t="s">
        <v>1071</v>
      </c>
      <c r="C125" t="s">
        <v>118</v>
      </c>
      <c r="G125" s="1" t="s">
        <v>194</v>
      </c>
      <c r="H125" s="1" t="s">
        <v>195</v>
      </c>
      <c r="I125" s="1" t="s">
        <v>196</v>
      </c>
      <c r="J125" s="1"/>
      <c r="K125" s="1" t="str">
        <f>"{'es.verb.past':'"&amp;H125&amp;"','es.verb.pp':'"&amp;I125&amp;"'}"</f>
        <v>{'es.verb.past':'cosió','es.verb.pp':'cosido'}</v>
      </c>
      <c r="L125" t="s">
        <v>882</v>
      </c>
      <c r="M125" t="s">
        <v>8</v>
      </c>
      <c r="N125" t="s">
        <v>320</v>
      </c>
      <c r="O125" t="s">
        <v>833</v>
      </c>
      <c r="P125" t="s">
        <v>148</v>
      </c>
      <c r="U125" s="12">
        <v>2884.0315031266</v>
      </c>
      <c r="V125" s="12">
        <v>1.6400082869569399E-2</v>
      </c>
    </row>
    <row r="126" spans="1:22" x14ac:dyDescent="0.45">
      <c r="A126" t="s">
        <v>1113</v>
      </c>
      <c r="B126" t="s">
        <v>376</v>
      </c>
      <c r="C126" t="s">
        <v>697</v>
      </c>
      <c r="D126" t="s">
        <v>802</v>
      </c>
      <c r="E126" t="s">
        <v>803</v>
      </c>
      <c r="F126" t="str">
        <f>"{'en.verb.past':'"&amp;D126&amp;"','en.verb.pp':'"&amp;E126&amp;"'}"</f>
        <v>{'en.verb.past':'shook','en.verb.pp':'shaken'}</v>
      </c>
      <c r="G126" t="s">
        <v>807</v>
      </c>
      <c r="K126" s="1"/>
      <c r="L126" t="s">
        <v>871</v>
      </c>
      <c r="M126" t="s">
        <v>11</v>
      </c>
      <c r="N126" t="s">
        <v>320</v>
      </c>
      <c r="O126" t="s">
        <v>833</v>
      </c>
      <c r="P126" t="s">
        <v>834</v>
      </c>
      <c r="U126" s="12">
        <v>21379.620895022301</v>
      </c>
      <c r="V126" s="12">
        <v>0.121575493893955</v>
      </c>
    </row>
    <row r="127" spans="1:22" x14ac:dyDescent="0.45">
      <c r="A127" t="s">
        <v>1094</v>
      </c>
      <c r="B127" t="s">
        <v>397</v>
      </c>
      <c r="C127" t="s">
        <v>714</v>
      </c>
      <c r="G127" t="s">
        <v>808</v>
      </c>
      <c r="I127" t="s">
        <v>809</v>
      </c>
      <c r="K127" s="1" t="str">
        <f>"{'es.verb.pp':'"&amp;I127&amp;"'}"</f>
        <v>{'es.verb.pp':'avorgoncé'}</v>
      </c>
      <c r="L127" t="s">
        <v>869</v>
      </c>
      <c r="M127" t="s">
        <v>11</v>
      </c>
      <c r="N127" t="s">
        <v>320</v>
      </c>
      <c r="O127" t="s">
        <v>833</v>
      </c>
      <c r="P127" t="s">
        <v>320</v>
      </c>
      <c r="U127" s="12">
        <v>35481.3389233575</v>
      </c>
      <c r="V127" s="12">
        <v>0.201765097931663</v>
      </c>
    </row>
    <row r="128" spans="1:22" x14ac:dyDescent="0.45">
      <c r="A128" t="s">
        <v>1131</v>
      </c>
      <c r="B128" t="s">
        <v>663</v>
      </c>
      <c r="C128" t="s">
        <v>757</v>
      </c>
      <c r="G128" t="s">
        <v>810</v>
      </c>
      <c r="K128" s="1"/>
      <c r="L128" t="s">
        <v>863</v>
      </c>
      <c r="M128" t="s">
        <v>8</v>
      </c>
      <c r="N128" t="s">
        <v>320</v>
      </c>
      <c r="O128" t="s">
        <v>833</v>
      </c>
      <c r="U128" s="12">
        <v>6760.8297539198102</v>
      </c>
      <c r="V128" s="12">
        <v>3.84455468364793E-2</v>
      </c>
    </row>
    <row r="129" spans="1:22" x14ac:dyDescent="0.45">
      <c r="A129" t="s">
        <v>1201</v>
      </c>
      <c r="B129" t="s">
        <v>1202</v>
      </c>
      <c r="C129" t="s">
        <v>1203</v>
      </c>
      <c r="G129" t="s">
        <v>1228</v>
      </c>
      <c r="H129" t="s">
        <v>1229</v>
      </c>
      <c r="K129" s="1" t="str">
        <f>"{'es.verb.past':'"&amp;H129&amp;"'}"</f>
        <v>{'es.verb.past':'miestro'}</v>
      </c>
      <c r="L129" t="s">
        <v>1020</v>
      </c>
      <c r="M129" t="s">
        <v>11</v>
      </c>
      <c r="N129" t="s">
        <v>320</v>
      </c>
      <c r="U129" s="9">
        <v>478630.09232263803</v>
      </c>
      <c r="V129" s="12">
        <v>2.7217362811228401</v>
      </c>
    </row>
    <row r="130" spans="1:22" x14ac:dyDescent="0.45">
      <c r="A130" t="s">
        <v>59</v>
      </c>
      <c r="B130" t="s">
        <v>1132</v>
      </c>
      <c r="C130" t="s">
        <v>143</v>
      </c>
      <c r="G130" s="1" t="s">
        <v>255</v>
      </c>
      <c r="H130" s="1"/>
      <c r="I130" s="1"/>
      <c r="J130" s="1"/>
      <c r="K130" s="1"/>
      <c r="L130" t="s">
        <v>916</v>
      </c>
      <c r="M130" t="s">
        <v>11</v>
      </c>
      <c r="N130" t="s">
        <v>320</v>
      </c>
      <c r="O130" t="s">
        <v>833</v>
      </c>
      <c r="P130" t="s">
        <v>351</v>
      </c>
      <c r="U130" s="12">
        <v>234.422881531992</v>
      </c>
      <c r="V130" s="9">
        <v>1.3330487824006101E-3</v>
      </c>
    </row>
    <row r="131" spans="1:22" x14ac:dyDescent="0.45">
      <c r="A131" t="s">
        <v>1133</v>
      </c>
      <c r="B131" t="s">
        <v>439</v>
      </c>
      <c r="C131" t="s">
        <v>728</v>
      </c>
      <c r="G131" t="s">
        <v>811</v>
      </c>
      <c r="K131" s="1"/>
      <c r="L131" t="s">
        <v>896</v>
      </c>
      <c r="M131" t="s">
        <v>8</v>
      </c>
      <c r="N131" t="s">
        <v>320</v>
      </c>
      <c r="O131" t="s">
        <v>833</v>
      </c>
      <c r="U131" s="12">
        <v>8912.5093813374497</v>
      </c>
      <c r="V131" s="12">
        <v>5.0681101184674802E-2</v>
      </c>
    </row>
    <row r="132" spans="1:22" x14ac:dyDescent="0.45">
      <c r="A132" t="s">
        <v>60</v>
      </c>
      <c r="B132" t="s">
        <v>1072</v>
      </c>
      <c r="C132" t="s">
        <v>119</v>
      </c>
      <c r="D132" t="s">
        <v>327</v>
      </c>
      <c r="E132" t="s">
        <v>328</v>
      </c>
      <c r="F132" t="str">
        <f>"{'en.verb.past':'"&amp;D132&amp;"','en.verb.pp':'"&amp;E132&amp;"'}"</f>
        <v>{'en.verb.past':'sang','en.verb.pp':'sung'}</v>
      </c>
      <c r="G132" s="1" t="s">
        <v>193</v>
      </c>
      <c r="H132" s="1"/>
      <c r="I132" s="1"/>
      <c r="J132" s="1"/>
      <c r="K132" s="1"/>
      <c r="L132" t="s">
        <v>881</v>
      </c>
      <c r="M132" t="s">
        <v>8</v>
      </c>
      <c r="N132" t="s">
        <v>320</v>
      </c>
      <c r="O132" t="s">
        <v>833</v>
      </c>
      <c r="U132" s="12">
        <v>34673.6850452531</v>
      </c>
      <c r="V132" s="12">
        <v>0.19717236358861601</v>
      </c>
    </row>
    <row r="133" spans="1:22" x14ac:dyDescent="0.45">
      <c r="A133" t="s">
        <v>61</v>
      </c>
      <c r="B133" t="s">
        <v>1073</v>
      </c>
      <c r="C133" t="s">
        <v>120</v>
      </c>
      <c r="D133" t="s">
        <v>329</v>
      </c>
      <c r="E133" t="s">
        <v>329</v>
      </c>
      <c r="F133" t="str">
        <f>"{'en.verb.past':'"&amp;D133&amp;"','en.verb.pp':'"&amp;E133&amp;"'}"</f>
        <v>{'en.verb.past':'sat','en.verb.pp':'sat'}</v>
      </c>
      <c r="G133" s="1" t="s">
        <v>202</v>
      </c>
      <c r="H133" s="1" t="s">
        <v>1034</v>
      </c>
      <c r="I133" s="1" t="s">
        <v>203</v>
      </c>
      <c r="J133" s="1"/>
      <c r="K133" s="1" t="str">
        <f>"{'es.verb.past':'"&amp;H133&amp;"','es.verb.pp':'"&amp;I133&amp;",'es.verb.ger':'"&amp;J133&amp;"'}"</f>
        <v>{'es.verb.past':'sentó','es.verb.pp':'sentado,'es.verb.ger':''}</v>
      </c>
      <c r="L133" t="s">
        <v>889</v>
      </c>
      <c r="M133" t="s">
        <v>8</v>
      </c>
      <c r="N133" s="1" t="s">
        <v>320</v>
      </c>
      <c r="O133" t="s">
        <v>833</v>
      </c>
      <c r="U133" s="12">
        <v>79432.823472428194</v>
      </c>
      <c r="V133" s="12">
        <v>0.45169578976492702</v>
      </c>
    </row>
    <row r="134" spans="1:22" x14ac:dyDescent="0.45">
      <c r="A134" t="s">
        <v>1135</v>
      </c>
      <c r="B134" t="s">
        <v>1134</v>
      </c>
      <c r="C134" t="s">
        <v>144</v>
      </c>
      <c r="G134" t="s">
        <v>812</v>
      </c>
      <c r="K134" s="1"/>
      <c r="L134" t="s">
        <v>899</v>
      </c>
      <c r="M134" t="s">
        <v>11</v>
      </c>
      <c r="N134" t="s">
        <v>320</v>
      </c>
      <c r="O134" t="s">
        <v>833</v>
      </c>
      <c r="P134" t="s">
        <v>320</v>
      </c>
      <c r="U134" s="12">
        <v>2187.7616239495501</v>
      </c>
      <c r="V134" s="12">
        <v>1.24407350934756E-2</v>
      </c>
    </row>
    <row r="135" spans="1:22" x14ac:dyDescent="0.45">
      <c r="A135" s="6" t="s">
        <v>1666</v>
      </c>
      <c r="B135" t="s">
        <v>662</v>
      </c>
      <c r="C135" t="s">
        <v>756</v>
      </c>
      <c r="G135" t="s">
        <v>813</v>
      </c>
      <c r="I135" t="s">
        <v>814</v>
      </c>
      <c r="K135" s="1" t="str">
        <f>"{'es.verb.pp':'"&amp;I135&amp;"'}"</f>
        <v>{'es.verb.pp':'degollado'}</v>
      </c>
      <c r="L135" t="s">
        <v>935</v>
      </c>
      <c r="M135" t="s">
        <v>11</v>
      </c>
      <c r="N135" t="s">
        <v>320</v>
      </c>
      <c r="O135" t="s">
        <v>833</v>
      </c>
      <c r="P135" t="s">
        <v>730</v>
      </c>
      <c r="U135" s="12">
        <v>6918.3097091893596</v>
      </c>
      <c r="V135" s="9">
        <v>3.9341058662170802E-2</v>
      </c>
    </row>
    <row r="136" spans="1:22" x14ac:dyDescent="0.45">
      <c r="A136" t="s">
        <v>62</v>
      </c>
      <c r="B136" t="s">
        <v>1074</v>
      </c>
      <c r="C136" t="s">
        <v>121</v>
      </c>
      <c r="D136" t="s">
        <v>330</v>
      </c>
      <c r="E136" t="s">
        <v>330</v>
      </c>
      <c r="F136" t="str">
        <f>"{'en.verb.past':'"&amp;D136&amp;"','en.verb.pp':'"&amp;E136&amp;"'}"</f>
        <v>{'en.verb.past':'slept','en.verb.pp':'slept'}</v>
      </c>
      <c r="G136" s="1" t="s">
        <v>291</v>
      </c>
      <c r="H136" s="1" t="s">
        <v>292</v>
      </c>
      <c r="I136" s="1" t="s">
        <v>293</v>
      </c>
      <c r="J136" s="1" t="s">
        <v>294</v>
      </c>
      <c r="K136" s="1" t="str">
        <f>"{'es.verb.past':'"&amp;H136&amp;"','es.verb.pp':'"&amp;I136&amp;",'es.verb.ger':'"&amp;J136&amp;"'}"</f>
        <v>{'es.verb.past':'durmió','es.verb.pp':'dormido,'es.verb.ger':'durmiendo'}</v>
      </c>
      <c r="L136" t="s">
        <v>929</v>
      </c>
      <c r="M136" t="s">
        <v>8</v>
      </c>
      <c r="N136" t="s">
        <v>319</v>
      </c>
      <c r="O136" t="s">
        <v>833</v>
      </c>
      <c r="U136" s="12">
        <v>112201.845430196</v>
      </c>
      <c r="V136" s="9">
        <v>0.63803726179098597</v>
      </c>
    </row>
    <row r="137" spans="1:22" x14ac:dyDescent="0.45">
      <c r="A137" t="s">
        <v>63</v>
      </c>
      <c r="B137" t="s">
        <v>1044</v>
      </c>
      <c r="C137" t="s">
        <v>122</v>
      </c>
      <c r="G137" s="1" t="s">
        <v>287</v>
      </c>
      <c r="H137" s="1" t="s">
        <v>288</v>
      </c>
      <c r="I137" s="1" t="s">
        <v>289</v>
      </c>
      <c r="J137" s="1"/>
      <c r="K137" s="1" t="str">
        <f>"{'es.verb.past':'"&amp;H137&amp;"','es.verb.pp':'"&amp;I137&amp;"'}"</f>
        <v>{'es.verb.past':'olió','es.verb.pp':'olido'}</v>
      </c>
      <c r="L137" t="s">
        <v>849</v>
      </c>
      <c r="M137" t="s">
        <v>11</v>
      </c>
      <c r="N137" t="s">
        <v>319</v>
      </c>
      <c r="O137" t="s">
        <v>833</v>
      </c>
      <c r="P137" t="s">
        <v>1735</v>
      </c>
      <c r="U137" s="12">
        <v>30902.954325135899</v>
      </c>
      <c r="V137" s="12">
        <v>0.17573005402240199</v>
      </c>
    </row>
    <row r="138" spans="1:22" x14ac:dyDescent="0.45">
      <c r="A138" t="s">
        <v>64</v>
      </c>
      <c r="B138" t="s">
        <v>1045</v>
      </c>
      <c r="C138" t="s">
        <v>136</v>
      </c>
      <c r="G138" s="1" t="s">
        <v>190</v>
      </c>
      <c r="H138" s="1"/>
      <c r="I138" s="1"/>
      <c r="J138" s="1"/>
      <c r="K138" s="1"/>
      <c r="L138" t="s">
        <v>865</v>
      </c>
      <c r="M138" t="s">
        <v>8</v>
      </c>
      <c r="N138" t="s">
        <v>320</v>
      </c>
      <c r="O138" t="s">
        <v>833</v>
      </c>
      <c r="U138" s="12">
        <v>1548.81661891248</v>
      </c>
      <c r="V138" s="9">
        <v>8.8073659640658802E-3</v>
      </c>
    </row>
    <row r="139" spans="1:22" x14ac:dyDescent="0.45">
      <c r="A139" t="s">
        <v>1136</v>
      </c>
      <c r="B139" t="s">
        <v>65</v>
      </c>
      <c r="C139" t="s">
        <v>138</v>
      </c>
      <c r="G139" s="1" t="s">
        <v>211</v>
      </c>
      <c r="H139" s="1"/>
      <c r="I139" s="1"/>
      <c r="J139" s="1"/>
      <c r="K139" s="1"/>
      <c r="L139" t="s">
        <v>897</v>
      </c>
      <c r="M139" t="s">
        <v>8</v>
      </c>
      <c r="N139" t="s">
        <v>320</v>
      </c>
      <c r="O139" t="s">
        <v>833</v>
      </c>
      <c r="U139" s="12">
        <v>575.43993733715604</v>
      </c>
      <c r="V139" s="9">
        <v>3.2722467312018499E-3</v>
      </c>
    </row>
    <row r="140" spans="1:22" x14ac:dyDescent="0.45">
      <c r="A140" t="s">
        <v>36</v>
      </c>
      <c r="B140" t="s">
        <v>1137</v>
      </c>
      <c r="C140" t="s">
        <v>123</v>
      </c>
      <c r="D140" t="s">
        <v>331</v>
      </c>
      <c r="E140" t="s">
        <v>331</v>
      </c>
      <c r="F140" t="str">
        <f>"{'en.verb.past':'"&amp;D140&amp;"','en.verb.pp':'"&amp;E140&amp;"'}"</f>
        <v>{'en.verb.past':'spat','en.verb.pp':'spat'}</v>
      </c>
      <c r="G140" s="1" t="s">
        <v>204</v>
      </c>
      <c r="H140" s="1" t="s">
        <v>205</v>
      </c>
      <c r="I140" s="1" t="s">
        <v>206</v>
      </c>
      <c r="J140" s="1"/>
      <c r="K140" s="1" t="str">
        <f>"{'es.verb.past':'"&amp;H140&amp;"','es.verb.pp':'"&amp;I140&amp;"'}"</f>
        <v>{'es.verb.past':'escupió','es.verb.pp':'escupido'}</v>
      </c>
      <c r="L140" t="s">
        <v>890</v>
      </c>
      <c r="M140" t="s">
        <v>8</v>
      </c>
      <c r="N140" s="1" t="s">
        <v>320</v>
      </c>
      <c r="O140" t="s">
        <v>833</v>
      </c>
      <c r="U140" s="12">
        <v>7079.4578438413801</v>
      </c>
      <c r="V140" s="9">
        <v>4.0257429637905399E-2</v>
      </c>
    </row>
    <row r="141" spans="1:22" x14ac:dyDescent="0.45">
      <c r="A141" t="s">
        <v>66</v>
      </c>
      <c r="B141" t="s">
        <v>1075</v>
      </c>
      <c r="C141" t="s">
        <v>124</v>
      </c>
      <c r="D141" t="s">
        <v>124</v>
      </c>
      <c r="E141" t="s">
        <v>124</v>
      </c>
      <c r="F141" t="str">
        <f>"{'en.verb.past':'"&amp;D141&amp;"','en.verb.pp':'"&amp;E141&amp;"'}"</f>
        <v>{'en.verb.past':'split','en.verb.pp':'split'}</v>
      </c>
      <c r="G141" s="1" t="s">
        <v>225</v>
      </c>
      <c r="H141" s="1" t="s">
        <v>226</v>
      </c>
      <c r="I141" s="1" t="s">
        <v>227</v>
      </c>
      <c r="J141" s="1"/>
      <c r="K141" s="1" t="str">
        <f>"{'es.verb.past':'"&amp;H141&amp;"','es.verb.pp':'"&amp;I141&amp;"'}"</f>
        <v>{'es.verb.past':'partió','es.verb.pp':'partido'}</v>
      </c>
      <c r="L141" t="s">
        <v>880</v>
      </c>
      <c r="M141" t="s">
        <v>11</v>
      </c>
      <c r="N141" t="s">
        <v>320</v>
      </c>
      <c r="O141" t="s">
        <v>833</v>
      </c>
      <c r="P141" t="s">
        <v>352</v>
      </c>
      <c r="U141" s="12">
        <v>147910.83881682</v>
      </c>
      <c r="V141" s="12">
        <v>0.84109691980604595</v>
      </c>
    </row>
    <row r="142" spans="1:22" x14ac:dyDescent="0.45">
      <c r="A142" t="s">
        <v>1138</v>
      </c>
      <c r="B142" t="s">
        <v>362</v>
      </c>
      <c r="C142" t="s">
        <v>686</v>
      </c>
      <c r="G142" t="s">
        <v>816</v>
      </c>
      <c r="K142" s="1"/>
      <c r="L142" t="s">
        <v>860</v>
      </c>
      <c r="M142" t="s">
        <v>8</v>
      </c>
      <c r="N142" t="s">
        <v>150</v>
      </c>
      <c r="U142" s="12">
        <v>1288.2495516931299</v>
      </c>
      <c r="V142" s="9">
        <v>7.3256479277527499E-3</v>
      </c>
    </row>
    <row r="143" spans="1:22" x14ac:dyDescent="0.45">
      <c r="A143" t="s">
        <v>1139</v>
      </c>
      <c r="B143" t="s">
        <v>417</v>
      </c>
      <c r="C143" t="s">
        <v>725</v>
      </c>
      <c r="G143" t="s">
        <v>815</v>
      </c>
      <c r="K143" s="1"/>
      <c r="L143" t="s">
        <v>883</v>
      </c>
      <c r="M143" t="s">
        <v>8</v>
      </c>
      <c r="N143" t="s">
        <v>320</v>
      </c>
      <c r="O143" t="s">
        <v>833</v>
      </c>
      <c r="P143" t="s">
        <v>149</v>
      </c>
      <c r="U143" s="12">
        <v>17378.0082874937</v>
      </c>
      <c r="V143" s="9">
        <v>9.8820271454729297E-2</v>
      </c>
    </row>
    <row r="144" spans="1:22" x14ac:dyDescent="0.45">
      <c r="A144" t="s">
        <v>1681</v>
      </c>
      <c r="B144" t="s">
        <v>402</v>
      </c>
      <c r="C144" t="s">
        <v>718</v>
      </c>
      <c r="G144" t="s">
        <v>817</v>
      </c>
      <c r="K144" s="1"/>
      <c r="L144" t="s">
        <v>887</v>
      </c>
      <c r="M144" t="s">
        <v>8</v>
      </c>
      <c r="N144" t="s">
        <v>320</v>
      </c>
      <c r="O144" t="s">
        <v>833</v>
      </c>
      <c r="U144" s="12">
        <v>3019.9517204020099</v>
      </c>
      <c r="V144" s="12">
        <v>1.71729949631266E-2</v>
      </c>
    </row>
    <row r="145" spans="1:22" x14ac:dyDescent="0.45">
      <c r="A145" s="6" t="s">
        <v>1655</v>
      </c>
      <c r="B145" t="s">
        <v>661</v>
      </c>
      <c r="C145" t="s">
        <v>125</v>
      </c>
      <c r="D145" t="s">
        <v>1659</v>
      </c>
      <c r="E145" t="s">
        <v>1659</v>
      </c>
      <c r="F145" t="str">
        <f>"{'en.verb.past':'"&amp;D145&amp;"','en.verb.pp':'"&amp;E145&amp;"'}"</f>
        <v>{'en.verb.past':'squeezed','en.verb.pp':'squeezed'}</v>
      </c>
      <c r="G145" s="1" t="s">
        <v>1658</v>
      </c>
      <c r="H145" s="1" t="s">
        <v>258</v>
      </c>
      <c r="I145" s="1" t="s">
        <v>259</v>
      </c>
      <c r="J145" s="1"/>
      <c r="K145" s="1" t="str">
        <f>"{'es.verb.past':'"&amp;H145&amp;"','es.verb.pp':'"&amp;I145&amp;"'}"</f>
        <v>{'es.verb.past':'exprimió','es.verb.pp':'exprimido'}</v>
      </c>
      <c r="L145" t="s">
        <v>871</v>
      </c>
      <c r="M145" t="s">
        <v>11</v>
      </c>
      <c r="N145" t="s">
        <v>320</v>
      </c>
      <c r="O145" t="s">
        <v>833</v>
      </c>
      <c r="P145" t="s">
        <v>353</v>
      </c>
      <c r="U145" s="12"/>
      <c r="V145" s="12"/>
    </row>
    <row r="146" spans="1:22" x14ac:dyDescent="0.45">
      <c r="A146" t="s">
        <v>67</v>
      </c>
      <c r="B146" t="s">
        <v>1076</v>
      </c>
      <c r="C146" t="s">
        <v>125</v>
      </c>
      <c r="G146" s="1" t="s">
        <v>257</v>
      </c>
      <c r="H146" s="1" t="s">
        <v>258</v>
      </c>
      <c r="I146" s="1" t="s">
        <v>259</v>
      </c>
      <c r="J146" s="1"/>
      <c r="K146" s="1" t="str">
        <f>"{'es.verb.past':'"&amp;H146&amp;"','es.verb.pp':'"&amp;I146&amp;"'}"</f>
        <v>{'es.verb.past':'exprimió','es.verb.pp':'exprimido'}</v>
      </c>
      <c r="L146" t="s">
        <v>871</v>
      </c>
      <c r="M146" t="s">
        <v>11</v>
      </c>
      <c r="N146" t="s">
        <v>320</v>
      </c>
      <c r="O146" t="s">
        <v>833</v>
      </c>
      <c r="P146" t="s">
        <v>353</v>
      </c>
      <c r="U146" s="12">
        <v>8709.6358995608007</v>
      </c>
      <c r="V146" s="9">
        <v>4.9527458476691801E-2</v>
      </c>
    </row>
    <row r="147" spans="1:22" x14ac:dyDescent="0.45">
      <c r="A147" t="s">
        <v>68</v>
      </c>
      <c r="B147" t="s">
        <v>1077</v>
      </c>
      <c r="C147" t="s">
        <v>126</v>
      </c>
      <c r="G147" s="1" t="s">
        <v>302</v>
      </c>
      <c r="H147" s="1"/>
      <c r="I147" s="1"/>
      <c r="J147" s="1"/>
      <c r="K147" s="1"/>
      <c r="L147" t="s">
        <v>879</v>
      </c>
      <c r="M147" t="s">
        <v>11</v>
      </c>
      <c r="N147" t="s">
        <v>320</v>
      </c>
      <c r="O147" t="s">
        <v>833</v>
      </c>
      <c r="P147" t="s">
        <v>713</v>
      </c>
      <c r="U147" s="12">
        <v>6025.5958607435696</v>
      </c>
      <c r="V147" s="9">
        <v>3.4264629685077E-2</v>
      </c>
    </row>
    <row r="148" spans="1:22" x14ac:dyDescent="0.45">
      <c r="A148" t="s">
        <v>1140</v>
      </c>
      <c r="B148" t="s">
        <v>457</v>
      </c>
      <c r="C148" t="s">
        <v>734</v>
      </c>
      <c r="D148" t="s">
        <v>836</v>
      </c>
      <c r="E148" t="s">
        <v>836</v>
      </c>
      <c r="F148" t="str">
        <f>"{'en.verb.past':'"&amp;D148&amp;"','en.verb.pp':'"&amp;E148&amp;"'}"</f>
        <v>{'en.verb.past':'stung','en.verb.pp':'stung'}</v>
      </c>
      <c r="G148" t="s">
        <v>783</v>
      </c>
      <c r="K148" s="1"/>
      <c r="L148" t="s">
        <v>879</v>
      </c>
      <c r="M148" t="s">
        <v>11</v>
      </c>
      <c r="N148" t="s">
        <v>748</v>
      </c>
      <c r="U148" s="9">
        <v>6309.5734448019302</v>
      </c>
      <c r="V148" s="9">
        <v>3.5879471931636403E-2</v>
      </c>
    </row>
    <row r="149" spans="1:22" x14ac:dyDescent="0.45">
      <c r="A149" t="s">
        <v>58</v>
      </c>
      <c r="B149" t="s">
        <v>1071</v>
      </c>
      <c r="C149" t="s">
        <v>127</v>
      </c>
      <c r="G149" s="1" t="s">
        <v>197</v>
      </c>
      <c r="H149" s="1"/>
      <c r="I149" s="1"/>
      <c r="J149" s="1"/>
      <c r="K149" s="1"/>
      <c r="L149" t="s">
        <v>882</v>
      </c>
      <c r="M149" t="s">
        <v>11</v>
      </c>
      <c r="N149" t="s">
        <v>320</v>
      </c>
      <c r="O149" t="s">
        <v>833</v>
      </c>
      <c r="P149" t="s">
        <v>148</v>
      </c>
      <c r="U149" s="12">
        <v>4365.1583224016604</v>
      </c>
      <c r="V149" s="9">
        <v>2.4822529902522799E-2</v>
      </c>
    </row>
    <row r="150" spans="1:22" x14ac:dyDescent="0.45">
      <c r="A150" t="s">
        <v>1141</v>
      </c>
      <c r="B150" t="s">
        <v>434</v>
      </c>
      <c r="C150" t="s">
        <v>746</v>
      </c>
      <c r="G150" t="s">
        <v>818</v>
      </c>
      <c r="K150" s="1"/>
      <c r="L150" t="s">
        <v>872</v>
      </c>
      <c r="M150" t="s">
        <v>8</v>
      </c>
      <c r="N150" t="s">
        <v>349</v>
      </c>
      <c r="O150" t="s">
        <v>833</v>
      </c>
      <c r="U150" s="12">
        <v>1445.43977074592</v>
      </c>
      <c r="V150" s="9">
        <v>8.2195121646575307E-3</v>
      </c>
    </row>
    <row r="151" spans="1:22" x14ac:dyDescent="0.45">
      <c r="A151" t="s">
        <v>1142</v>
      </c>
      <c r="B151" t="s">
        <v>653</v>
      </c>
      <c r="C151" t="s">
        <v>755</v>
      </c>
      <c r="G151" t="s">
        <v>819</v>
      </c>
      <c r="K151" s="1"/>
      <c r="L151" t="s">
        <v>886</v>
      </c>
      <c r="M151" t="s">
        <v>8</v>
      </c>
      <c r="N151" t="s">
        <v>320</v>
      </c>
      <c r="O151" t="s">
        <v>833</v>
      </c>
      <c r="U151" s="12">
        <v>173.78008287493699</v>
      </c>
      <c r="V151" s="9">
        <v>9.8820271454729295E-4</v>
      </c>
    </row>
    <row r="152" spans="1:22" x14ac:dyDescent="0.45">
      <c r="A152" t="s">
        <v>69</v>
      </c>
      <c r="B152" t="s">
        <v>1143</v>
      </c>
      <c r="C152" t="s">
        <v>141</v>
      </c>
      <c r="G152" s="1" t="s">
        <v>246</v>
      </c>
      <c r="H152" s="1"/>
      <c r="I152" s="1"/>
      <c r="J152" s="1"/>
      <c r="K152" s="1"/>
      <c r="L152" t="s">
        <v>913</v>
      </c>
      <c r="M152" t="s">
        <v>8</v>
      </c>
      <c r="N152" t="s">
        <v>320</v>
      </c>
      <c r="O152" t="s">
        <v>833</v>
      </c>
      <c r="U152" s="12">
        <v>7413.10241300917</v>
      </c>
      <c r="V152" s="9">
        <v>4.2154703845001203E-2</v>
      </c>
    </row>
    <row r="153" spans="1:22" x14ac:dyDescent="0.45">
      <c r="A153" t="s">
        <v>50</v>
      </c>
      <c r="B153" t="s">
        <v>1144</v>
      </c>
      <c r="C153" t="s">
        <v>315</v>
      </c>
      <c r="G153" s="1" t="s">
        <v>270</v>
      </c>
      <c r="H153" s="1"/>
      <c r="I153" s="1"/>
      <c r="J153" s="1"/>
      <c r="K153" s="1"/>
      <c r="L153" t="s">
        <v>923</v>
      </c>
      <c r="M153" t="s">
        <v>8</v>
      </c>
      <c r="N153" t="s">
        <v>1028</v>
      </c>
      <c r="O153" t="s">
        <v>833</v>
      </c>
      <c r="U153" s="12">
        <v>13803.842646028799</v>
      </c>
      <c r="V153" s="9">
        <v>7.8495731779609307E-2</v>
      </c>
    </row>
    <row r="154" spans="1:22" x14ac:dyDescent="0.45">
      <c r="A154" t="s">
        <v>70</v>
      </c>
      <c r="B154" t="s">
        <v>1078</v>
      </c>
      <c r="C154" t="s">
        <v>128</v>
      </c>
      <c r="D154" t="s">
        <v>332</v>
      </c>
      <c r="E154" t="s">
        <v>333</v>
      </c>
      <c r="F154" t="str">
        <f>"{'en.verb.past':'"&amp;D154&amp;"','en.verb.pp':'"&amp;E154&amp;"'}"</f>
        <v>{'en.verb.past':'swam','en.verb.pp':'swum'}</v>
      </c>
      <c r="G154" s="1" t="s">
        <v>245</v>
      </c>
      <c r="H154" s="1"/>
      <c r="I154" s="1"/>
      <c r="J154" s="1"/>
      <c r="K154" s="1"/>
      <c r="L154" t="s">
        <v>857</v>
      </c>
      <c r="M154" t="s">
        <v>8</v>
      </c>
      <c r="N154" t="s">
        <v>319</v>
      </c>
      <c r="O154" t="s">
        <v>833</v>
      </c>
      <c r="U154" s="12">
        <v>16218.1009735892</v>
      </c>
      <c r="V154" s="9">
        <v>9.2224443341052204E-2</v>
      </c>
    </row>
    <row r="155" spans="1:22" x14ac:dyDescent="0.45">
      <c r="A155" t="s">
        <v>71</v>
      </c>
      <c r="B155" t="s">
        <v>1079</v>
      </c>
      <c r="C155" t="s">
        <v>129</v>
      </c>
      <c r="D155" t="s">
        <v>334</v>
      </c>
      <c r="E155" t="s">
        <v>334</v>
      </c>
      <c r="F155" t="str">
        <f>"{'en.verb.past':'"&amp;D155&amp;"','en.verb.pp':'"&amp;E155&amp;"'}"</f>
        <v>{'en.verb.past':'thought','en.verb.pp':'thought'}</v>
      </c>
      <c r="G155" s="1" t="s">
        <v>214</v>
      </c>
      <c r="H155" s="1" t="s">
        <v>215</v>
      </c>
      <c r="I155" s="1" t="s">
        <v>216</v>
      </c>
      <c r="J155" s="1"/>
      <c r="K155" s="1" t="str">
        <f>"{'es.verb.past':'"&amp;H155&amp;"','es.verb.pp':'"&amp;I155&amp;"'}"</f>
        <v>{'es.verb.past':'pensó','es.verb.pp':'pensado'}</v>
      </c>
      <c r="L155" t="s">
        <v>901</v>
      </c>
      <c r="M155" t="s">
        <v>8</v>
      </c>
      <c r="N155" t="s">
        <v>320</v>
      </c>
      <c r="O155" t="s">
        <v>833</v>
      </c>
      <c r="U155" s="12">
        <v>1202264.4346174099</v>
      </c>
      <c r="V155" s="12">
        <v>6.8366924346998204</v>
      </c>
    </row>
    <row r="156" spans="1:22" x14ac:dyDescent="0.45">
      <c r="A156" t="s">
        <v>72</v>
      </c>
      <c r="B156" t="s">
        <v>1080</v>
      </c>
      <c r="C156" t="s">
        <v>130</v>
      </c>
      <c r="D156" t="s">
        <v>165</v>
      </c>
      <c r="E156" t="s">
        <v>159</v>
      </c>
      <c r="F156" t="str">
        <f>"{'en.verb.past':'"&amp;D156&amp;"','en.verb.pp':'"&amp;E156&amp;"'}"</f>
        <v>{'en.verb.past':'threw','en.verb.pp':'thrown'}</v>
      </c>
      <c r="G156" s="1" t="s">
        <v>261</v>
      </c>
      <c r="H156" s="1"/>
      <c r="I156" s="1"/>
      <c r="J156" s="1"/>
      <c r="K156" s="1"/>
      <c r="L156" t="s">
        <v>919</v>
      </c>
      <c r="M156" t="s">
        <v>11</v>
      </c>
      <c r="N156" t="s">
        <v>320</v>
      </c>
      <c r="O156" t="s">
        <v>833</v>
      </c>
      <c r="P156" t="s">
        <v>151</v>
      </c>
      <c r="U156" s="12">
        <v>67608.297539198102</v>
      </c>
      <c r="V156" s="12">
        <v>0.384455468364793</v>
      </c>
    </row>
    <row r="157" spans="1:22" x14ac:dyDescent="0.45">
      <c r="A157" t="s">
        <v>73</v>
      </c>
      <c r="B157" t="s">
        <v>1081</v>
      </c>
      <c r="C157" t="s">
        <v>131</v>
      </c>
      <c r="G157" s="1" t="s">
        <v>192</v>
      </c>
      <c r="H157" s="1"/>
      <c r="I157" s="1"/>
      <c r="J157" s="1"/>
      <c r="K157" s="1"/>
      <c r="L157" t="s">
        <v>880</v>
      </c>
      <c r="M157" t="s">
        <v>11</v>
      </c>
      <c r="N157" t="s">
        <v>320</v>
      </c>
      <c r="O157" t="s">
        <v>833</v>
      </c>
      <c r="P157" t="s">
        <v>151</v>
      </c>
      <c r="U157" s="12">
        <v>32359.365692962801</v>
      </c>
      <c r="V157" s="12">
        <v>0.18401195631738401</v>
      </c>
    </row>
    <row r="158" spans="1:22" x14ac:dyDescent="0.45">
      <c r="A158" t="s">
        <v>1103</v>
      </c>
      <c r="B158" t="s">
        <v>388</v>
      </c>
      <c r="C158" t="s">
        <v>722</v>
      </c>
      <c r="G158" t="s">
        <v>820</v>
      </c>
      <c r="K158" s="1"/>
      <c r="L158" t="s">
        <v>877</v>
      </c>
      <c r="M158" t="s">
        <v>11</v>
      </c>
      <c r="N158" t="s">
        <v>320</v>
      </c>
      <c r="O158" t="s">
        <v>833</v>
      </c>
      <c r="P158" t="s">
        <v>320</v>
      </c>
      <c r="U158" s="12">
        <v>81283.051616409895</v>
      </c>
      <c r="V158" s="12">
        <v>0.462217136309171</v>
      </c>
    </row>
    <row r="159" spans="1:22" x14ac:dyDescent="0.45">
      <c r="A159" t="s">
        <v>380</v>
      </c>
      <c r="B159" t="s">
        <v>380</v>
      </c>
      <c r="C159" t="s">
        <v>705</v>
      </c>
      <c r="G159" t="s">
        <v>821</v>
      </c>
      <c r="K159" s="1"/>
      <c r="L159" t="s">
        <v>873</v>
      </c>
      <c r="M159" t="s">
        <v>11</v>
      </c>
      <c r="N159" t="s">
        <v>320</v>
      </c>
      <c r="O159" t="s">
        <v>833</v>
      </c>
      <c r="P159" t="s">
        <v>706</v>
      </c>
      <c r="U159" s="9">
        <v>47863.009232263801</v>
      </c>
      <c r="V159" s="12">
        <v>0.27217362811228402</v>
      </c>
    </row>
    <row r="160" spans="1:22" x14ac:dyDescent="0.45">
      <c r="A160" t="s">
        <v>74</v>
      </c>
      <c r="B160" t="s">
        <v>1145</v>
      </c>
      <c r="C160" t="s">
        <v>139</v>
      </c>
      <c r="G160" s="1" t="s">
        <v>201</v>
      </c>
      <c r="H160" s="1"/>
      <c r="I160" s="1"/>
      <c r="J160" s="1"/>
      <c r="K160" s="1"/>
      <c r="L160" t="s">
        <v>888</v>
      </c>
      <c r="M160" t="s">
        <v>8</v>
      </c>
      <c r="N160" t="s">
        <v>319</v>
      </c>
      <c r="O160" t="s">
        <v>833</v>
      </c>
      <c r="U160" s="12">
        <v>2089.2961308540298</v>
      </c>
      <c r="V160" s="12">
        <v>1.18808097789259E-2</v>
      </c>
    </row>
    <row r="161" spans="1:22" x14ac:dyDescent="0.45">
      <c r="A161" t="s">
        <v>75</v>
      </c>
      <c r="B161" t="s">
        <v>1146</v>
      </c>
      <c r="C161" t="s">
        <v>132</v>
      </c>
      <c r="G161" s="1" t="s">
        <v>301</v>
      </c>
      <c r="H161" s="1"/>
      <c r="I161" s="1"/>
      <c r="J161" s="1"/>
      <c r="K161" s="1"/>
      <c r="L161" t="s">
        <v>923</v>
      </c>
      <c r="M161" t="s">
        <v>8</v>
      </c>
      <c r="N161" t="s">
        <v>1028</v>
      </c>
      <c r="O161" t="s">
        <v>833</v>
      </c>
      <c r="U161" s="12">
        <v>4168.6938347033501</v>
      </c>
      <c r="V161" s="12">
        <v>2.3705332023204601E-2</v>
      </c>
    </row>
    <row r="162" spans="1:22" x14ac:dyDescent="0.45">
      <c r="A162" t="s">
        <v>76</v>
      </c>
      <c r="B162" t="s">
        <v>1147</v>
      </c>
      <c r="C162" t="s">
        <v>133</v>
      </c>
      <c r="G162" s="1" t="s">
        <v>212</v>
      </c>
      <c r="H162" s="1"/>
      <c r="I162" s="1"/>
      <c r="J162" s="1"/>
      <c r="K162" s="1"/>
      <c r="L162" t="s">
        <v>898</v>
      </c>
      <c r="M162" t="s">
        <v>8</v>
      </c>
      <c r="N162" t="s">
        <v>320</v>
      </c>
      <c r="O162" t="s">
        <v>833</v>
      </c>
      <c r="U162" s="12">
        <v>128824.95516931301</v>
      </c>
      <c r="V162" s="12">
        <v>0.73256479277527597</v>
      </c>
    </row>
    <row r="163" spans="1:22" x14ac:dyDescent="0.45">
      <c r="A163" t="s">
        <v>1148</v>
      </c>
      <c r="B163" t="s">
        <v>1030</v>
      </c>
      <c r="C163" t="s">
        <v>1031</v>
      </c>
      <c r="G163" s="1" t="s">
        <v>1032</v>
      </c>
      <c r="H163" s="1"/>
      <c r="I163" s="1"/>
      <c r="J163" s="1"/>
      <c r="K163" s="1"/>
      <c r="L163" t="s">
        <v>857</v>
      </c>
      <c r="M163" t="s">
        <v>8</v>
      </c>
      <c r="N163" t="s">
        <v>320</v>
      </c>
      <c r="U163" s="12">
        <v>120226.443461741</v>
      </c>
      <c r="V163" s="12">
        <v>0.68366924346998204</v>
      </c>
    </row>
    <row r="164" spans="1:22" x14ac:dyDescent="0.45">
      <c r="A164" t="s">
        <v>1148</v>
      </c>
      <c r="B164" t="s">
        <v>1030</v>
      </c>
      <c r="C164" t="s">
        <v>1031</v>
      </c>
      <c r="G164" s="1" t="s">
        <v>1033</v>
      </c>
      <c r="H164" s="1"/>
      <c r="I164" s="1"/>
      <c r="J164" s="1"/>
      <c r="K164" s="1"/>
      <c r="L164" t="s">
        <v>857</v>
      </c>
      <c r="M164" t="s">
        <v>8</v>
      </c>
      <c r="N164" t="s">
        <v>320</v>
      </c>
      <c r="U164" s="12">
        <v>120226.443461741</v>
      </c>
      <c r="V164" s="12">
        <v>0.68366924346998204</v>
      </c>
    </row>
    <row r="165" spans="1:22" x14ac:dyDescent="0.45">
      <c r="A165" t="s">
        <v>1149</v>
      </c>
      <c r="B165" t="s">
        <v>377</v>
      </c>
      <c r="C165" t="s">
        <v>703</v>
      </c>
      <c r="G165" t="s">
        <v>822</v>
      </c>
      <c r="K165" s="1"/>
      <c r="L165" t="s">
        <v>857</v>
      </c>
      <c r="M165" t="s">
        <v>8</v>
      </c>
      <c r="N165" t="s">
        <v>320</v>
      </c>
      <c r="O165" t="s">
        <v>833</v>
      </c>
      <c r="U165" s="12">
        <v>4677.3514128719798</v>
      </c>
      <c r="V165" s="12">
        <v>2.65978199953909E-2</v>
      </c>
    </row>
    <row r="166" spans="1:22" x14ac:dyDescent="0.45">
      <c r="A166" t="s">
        <v>1660</v>
      </c>
      <c r="B166" t="s">
        <v>659</v>
      </c>
      <c r="C166" t="s">
        <v>1661</v>
      </c>
      <c r="G166" s="1" t="s">
        <v>1663</v>
      </c>
      <c r="H166" s="1"/>
      <c r="I166" s="1"/>
      <c r="J166" s="1"/>
      <c r="K166" s="1"/>
      <c r="L166" t="s">
        <v>1662</v>
      </c>
      <c r="M166" t="s">
        <v>11</v>
      </c>
      <c r="N166" t="s">
        <v>1028</v>
      </c>
      <c r="O166" t="s">
        <v>833</v>
      </c>
      <c r="P166" t="s">
        <v>310</v>
      </c>
      <c r="T166" t="s">
        <v>1423</v>
      </c>
      <c r="U166" s="12"/>
      <c r="V166" s="12"/>
    </row>
    <row r="167" spans="1:22" x14ac:dyDescent="0.45">
      <c r="A167" t="s">
        <v>9</v>
      </c>
      <c r="B167" t="s">
        <v>1082</v>
      </c>
      <c r="C167" t="s">
        <v>10</v>
      </c>
      <c r="G167" s="1" t="s">
        <v>199</v>
      </c>
      <c r="H167" s="1"/>
      <c r="I167" s="1"/>
      <c r="J167" s="1"/>
      <c r="K167" s="1"/>
      <c r="L167" t="s">
        <v>863</v>
      </c>
      <c r="M167" t="s">
        <v>11</v>
      </c>
      <c r="N167" t="s">
        <v>320</v>
      </c>
      <c r="O167" t="s">
        <v>833</v>
      </c>
      <c r="P167" t="s">
        <v>149</v>
      </c>
      <c r="U167" s="12">
        <v>28840.315031266</v>
      </c>
      <c r="V167" s="12">
        <v>0.16400082869569399</v>
      </c>
    </row>
    <row r="168" spans="1:22" x14ac:dyDescent="0.45">
      <c r="A168" t="s">
        <v>77</v>
      </c>
      <c r="B168" t="s">
        <v>1150</v>
      </c>
      <c r="C168" t="s">
        <v>10</v>
      </c>
      <c r="G168" s="1" t="s">
        <v>199</v>
      </c>
      <c r="H168" s="1"/>
      <c r="I168" s="1"/>
      <c r="J168" s="1"/>
      <c r="K168" s="1"/>
      <c r="L168" t="s">
        <v>863</v>
      </c>
      <c r="M168" t="s">
        <v>11</v>
      </c>
      <c r="N168" t="s">
        <v>320</v>
      </c>
      <c r="O168" t="s">
        <v>833</v>
      </c>
      <c r="P168" t="s">
        <v>148</v>
      </c>
      <c r="T168" t="s">
        <v>1196</v>
      </c>
      <c r="U168" s="12">
        <v>28840.315031266</v>
      </c>
      <c r="V168" s="12">
        <v>0.16400082869569399</v>
      </c>
    </row>
    <row r="169" spans="1:22" x14ac:dyDescent="0.45">
      <c r="A169" t="s">
        <v>1151</v>
      </c>
      <c r="B169" t="s">
        <v>400</v>
      </c>
      <c r="C169" t="s">
        <v>716</v>
      </c>
      <c r="G169" t="s">
        <v>823</v>
      </c>
      <c r="K169" s="1"/>
      <c r="L169" t="s">
        <v>884</v>
      </c>
      <c r="M169" t="s">
        <v>11</v>
      </c>
      <c r="N169" t="s">
        <v>320</v>
      </c>
      <c r="O169" t="s">
        <v>833</v>
      </c>
      <c r="P169" t="s">
        <v>150</v>
      </c>
      <c r="U169" s="12">
        <v>331131.12148258998</v>
      </c>
      <c r="V169" s="12">
        <v>1.88298145395451</v>
      </c>
    </row>
    <row r="170" spans="1:22" x14ac:dyDescent="0.45">
      <c r="A170" t="s">
        <v>78</v>
      </c>
      <c r="B170" t="s">
        <v>1152</v>
      </c>
      <c r="C170" t="s">
        <v>134</v>
      </c>
      <c r="D170" t="s">
        <v>161</v>
      </c>
      <c r="E170" t="s">
        <v>162</v>
      </c>
      <c r="F170" t="str">
        <f>"{'en.verb.past':'"&amp;D170&amp;"','en.verb.pp':'"&amp;E170&amp;"'}"</f>
        <v>{'en.verb.past':'wove','en.verb.pp':'woven'}</v>
      </c>
      <c r="G170" s="1" t="s">
        <v>222</v>
      </c>
      <c r="H170" s="1" t="s">
        <v>223</v>
      </c>
      <c r="I170" s="1" t="s">
        <v>224</v>
      </c>
      <c r="J170" s="1"/>
      <c r="K170" s="1" t="str">
        <f>"{'es.verb.past':'"&amp;H170&amp;"','es.verb.pp':'"&amp;I170&amp;"'}"</f>
        <v>{'es.verb.past':'tejió','es.verb.pp':'tejido'}</v>
      </c>
      <c r="L170" t="s">
        <v>882</v>
      </c>
      <c r="M170" t="s">
        <v>11</v>
      </c>
      <c r="N170" t="s">
        <v>320</v>
      </c>
      <c r="O170" t="s">
        <v>833</v>
      </c>
      <c r="P170" t="s">
        <v>148</v>
      </c>
      <c r="U170" s="12">
        <v>3388.44156139202</v>
      </c>
      <c r="V170" s="9">
        <v>1.9268417264262799E-2</v>
      </c>
    </row>
    <row r="171" spans="1:22" x14ac:dyDescent="0.45">
      <c r="A171" t="s">
        <v>1153</v>
      </c>
      <c r="B171" t="s">
        <v>366</v>
      </c>
      <c r="C171" t="s">
        <v>688</v>
      </c>
      <c r="G171" t="s">
        <v>824</v>
      </c>
      <c r="L171" t="s">
        <v>861</v>
      </c>
      <c r="M171" t="s">
        <v>11</v>
      </c>
      <c r="N171" t="s">
        <v>320</v>
      </c>
      <c r="O171" t="s">
        <v>833</v>
      </c>
      <c r="P171" t="s">
        <v>696</v>
      </c>
      <c r="U171" s="9">
        <v>162181.00973589299</v>
      </c>
      <c r="V171" s="12">
        <v>0.92224443341052198</v>
      </c>
    </row>
    <row r="172" spans="1:22" x14ac:dyDescent="0.45">
      <c r="A172" t="s">
        <v>1154</v>
      </c>
      <c r="B172" t="s">
        <v>425</v>
      </c>
      <c r="C172" t="s">
        <v>426</v>
      </c>
      <c r="G172" t="s">
        <v>825</v>
      </c>
      <c r="L172" t="s">
        <v>881</v>
      </c>
      <c r="M172" t="s">
        <v>8</v>
      </c>
      <c r="N172" t="s">
        <v>1028</v>
      </c>
      <c r="O172" t="s">
        <v>833</v>
      </c>
      <c r="U172" s="12">
        <v>7585.7757502918303</v>
      </c>
      <c r="V172" s="9">
        <v>4.31366130362602E-2</v>
      </c>
    </row>
    <row r="173" spans="1:22" x14ac:dyDescent="0.45">
      <c r="A173" s="6" t="s">
        <v>1676</v>
      </c>
      <c r="B173" t="s">
        <v>1677</v>
      </c>
      <c r="C173" t="s">
        <v>426</v>
      </c>
      <c r="G173" t="s">
        <v>826</v>
      </c>
      <c r="L173" t="s">
        <v>881</v>
      </c>
      <c r="M173" t="s">
        <v>8</v>
      </c>
      <c r="N173" t="s">
        <v>1028</v>
      </c>
      <c r="O173" t="s">
        <v>833</v>
      </c>
      <c r="T173" t="s">
        <v>651</v>
      </c>
      <c r="U173" s="12"/>
      <c r="V173" s="12"/>
    </row>
    <row r="174" spans="1:22" x14ac:dyDescent="0.45">
      <c r="A174" t="s">
        <v>1155</v>
      </c>
      <c r="B174" t="s">
        <v>652</v>
      </c>
      <c r="C174" t="s">
        <v>426</v>
      </c>
      <c r="G174" t="s">
        <v>826</v>
      </c>
      <c r="L174" t="s">
        <v>881</v>
      </c>
      <c r="M174" t="s">
        <v>8</v>
      </c>
      <c r="N174" t="s">
        <v>1028</v>
      </c>
      <c r="O174" t="s">
        <v>833</v>
      </c>
      <c r="U174" s="12">
        <v>7585.7757502918303</v>
      </c>
      <c r="V174" s="9">
        <v>4.31366130362602E-2</v>
      </c>
    </row>
    <row r="175" spans="1:22" x14ac:dyDescent="0.45">
      <c r="A175" s="6" t="s">
        <v>1718</v>
      </c>
      <c r="B175" t="s">
        <v>586</v>
      </c>
      <c r="C175" t="s">
        <v>1372</v>
      </c>
      <c r="G175" s="1" t="s">
        <v>1717</v>
      </c>
      <c r="L175" t="s">
        <v>965</v>
      </c>
      <c r="M175" t="s">
        <v>8</v>
      </c>
      <c r="N175" t="s">
        <v>150</v>
      </c>
      <c r="O175" t="s">
        <v>1690</v>
      </c>
    </row>
    <row r="176" spans="1:22" x14ac:dyDescent="0.45">
      <c r="A176" t="s">
        <v>1156</v>
      </c>
      <c r="B176" t="s">
        <v>468</v>
      </c>
      <c r="C176" t="s">
        <v>749</v>
      </c>
      <c r="G176" t="s">
        <v>827</v>
      </c>
      <c r="L176" t="s">
        <v>857</v>
      </c>
      <c r="M176" t="s">
        <v>8</v>
      </c>
      <c r="N176" t="s">
        <v>1028</v>
      </c>
      <c r="O176" t="s">
        <v>833</v>
      </c>
      <c r="U176" s="12">
        <v>1819.7008586099801</v>
      </c>
      <c r="V176" s="9">
        <v>1.0347752736638601E-2</v>
      </c>
    </row>
    <row r="177" spans="1:22" x14ac:dyDescent="0.45">
      <c r="A177" t="s">
        <v>7</v>
      </c>
      <c r="B177" t="s">
        <v>1157</v>
      </c>
      <c r="C177" t="s">
        <v>135</v>
      </c>
      <c r="G177" s="1" t="s">
        <v>213</v>
      </c>
      <c r="H177" s="1"/>
      <c r="I177" s="1"/>
      <c r="J177" s="1"/>
      <c r="K177" s="1"/>
      <c r="L177" t="s">
        <v>900</v>
      </c>
      <c r="M177" t="s">
        <v>8</v>
      </c>
      <c r="N177" t="s">
        <v>1028</v>
      </c>
      <c r="O177" t="s">
        <v>833</v>
      </c>
      <c r="U177" s="12">
        <v>912010.83935590903</v>
      </c>
      <c r="V177" s="12">
        <v>5.18616156833495</v>
      </c>
    </row>
  </sheetData>
  <autoFilter ref="A1:V166" xr:uid="{FAA59AC4-E453-40C3-9F3F-D16F990E0023}">
    <sortState xmlns:xlrd2="http://schemas.microsoft.com/office/spreadsheetml/2017/richdata2" ref="A2:V177">
      <sortCondition ref="C1:C1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84B3-A1D7-4965-A4F3-9B72F4B0622F}">
  <dimension ref="A1:E77"/>
  <sheetViews>
    <sheetView workbookViewId="0">
      <selection sqref="A1:E20"/>
    </sheetView>
  </sheetViews>
  <sheetFormatPr defaultRowHeight="14.25" x14ac:dyDescent="0.45"/>
  <cols>
    <col min="1" max="1" width="18.06640625" style="2" customWidth="1"/>
    <col min="2" max="2" width="31.6640625" style="2" customWidth="1"/>
    <col min="3" max="3" width="50.53125" style="2" customWidth="1"/>
    <col min="4" max="4" width="36.33203125" style="2" customWidth="1"/>
    <col min="5" max="5" width="29" style="2" customWidth="1"/>
    <col min="6" max="16384" width="9.06640625" style="2"/>
  </cols>
  <sheetData>
    <row r="1" spans="1:5" x14ac:dyDescent="0.45">
      <c r="A1" s="4" t="s">
        <v>1025</v>
      </c>
      <c r="B1" s="4" t="s">
        <v>1024</v>
      </c>
      <c r="C1" s="4" t="s">
        <v>1023</v>
      </c>
      <c r="D1" s="4" t="s">
        <v>1022</v>
      </c>
      <c r="E1" s="4" t="s">
        <v>1021</v>
      </c>
    </row>
    <row r="2" spans="1:5" ht="28.5" x14ac:dyDescent="0.45">
      <c r="A2" s="5" t="s">
        <v>1020</v>
      </c>
      <c r="B2" s="1" t="s">
        <v>1019</v>
      </c>
      <c r="C2" s="1" t="s">
        <v>1018</v>
      </c>
      <c r="D2" s="1" t="s">
        <v>948</v>
      </c>
      <c r="E2" s="1" t="s">
        <v>1017</v>
      </c>
    </row>
    <row r="3" spans="1:5" x14ac:dyDescent="0.45">
      <c r="A3" s="5" t="s">
        <v>1016</v>
      </c>
      <c r="B3" s="1" t="s">
        <v>1015</v>
      </c>
      <c r="C3" s="1" t="s">
        <v>1014</v>
      </c>
      <c r="D3" s="1" t="s">
        <v>1013</v>
      </c>
      <c r="E3" s="1" t="s">
        <v>1012</v>
      </c>
    </row>
    <row r="4" spans="1:5" x14ac:dyDescent="0.45">
      <c r="A4" s="5" t="s">
        <v>1011</v>
      </c>
      <c r="B4" s="1" t="s">
        <v>1010</v>
      </c>
      <c r="C4" s="1" t="s">
        <v>1009</v>
      </c>
      <c r="D4" s="1" t="s">
        <v>953</v>
      </c>
      <c r="E4" s="1" t="s">
        <v>1008</v>
      </c>
    </row>
    <row r="5" spans="1:5" x14ac:dyDescent="0.45">
      <c r="A5" s="5" t="s">
        <v>1007</v>
      </c>
      <c r="B5" s="1" t="s">
        <v>1006</v>
      </c>
      <c r="C5" s="1" t="s">
        <v>1027</v>
      </c>
      <c r="D5" s="1" t="s">
        <v>953</v>
      </c>
      <c r="E5" s="1" t="s">
        <v>1026</v>
      </c>
    </row>
    <row r="6" spans="1:5" x14ac:dyDescent="0.45">
      <c r="A6" s="5" t="s">
        <v>1005</v>
      </c>
      <c r="B6" s="1" t="s">
        <v>1004</v>
      </c>
      <c r="C6" s="1" t="s">
        <v>1003</v>
      </c>
      <c r="D6" s="1" t="s">
        <v>962</v>
      </c>
      <c r="E6" s="1" t="s">
        <v>1002</v>
      </c>
    </row>
    <row r="7" spans="1:5" ht="28.5" x14ac:dyDescent="0.45">
      <c r="A7" s="5" t="s">
        <v>1001</v>
      </c>
      <c r="B7" s="1" t="s">
        <v>1000</v>
      </c>
      <c r="C7" s="1" t="s">
        <v>999</v>
      </c>
      <c r="D7" s="1" t="s">
        <v>967</v>
      </c>
      <c r="E7" s="1" t="s">
        <v>998</v>
      </c>
    </row>
    <row r="8" spans="1:5" x14ac:dyDescent="0.45">
      <c r="A8" s="5" t="s">
        <v>997</v>
      </c>
      <c r="B8" s="1" t="s">
        <v>996</v>
      </c>
      <c r="C8" s="1" t="s">
        <v>995</v>
      </c>
      <c r="D8" s="1" t="s">
        <v>962</v>
      </c>
      <c r="E8" s="1" t="s">
        <v>686</v>
      </c>
    </row>
    <row r="9" spans="1:5" x14ac:dyDescent="0.45">
      <c r="A9" s="5" t="s">
        <v>994</v>
      </c>
      <c r="B9" s="1" t="s">
        <v>993</v>
      </c>
      <c r="C9" s="1" t="s">
        <v>992</v>
      </c>
      <c r="D9" s="1" t="s">
        <v>991</v>
      </c>
      <c r="E9" s="1" t="s">
        <v>990</v>
      </c>
    </row>
    <row r="10" spans="1:5" x14ac:dyDescent="0.45">
      <c r="A10" s="5" t="s">
        <v>989</v>
      </c>
      <c r="B10" s="1" t="s">
        <v>988</v>
      </c>
      <c r="C10" s="1" t="s">
        <v>987</v>
      </c>
      <c r="D10" s="1" t="s">
        <v>986</v>
      </c>
      <c r="E10" s="1" t="s">
        <v>985</v>
      </c>
    </row>
    <row r="11" spans="1:5" x14ac:dyDescent="0.45">
      <c r="A11" s="5" t="s">
        <v>984</v>
      </c>
      <c r="B11" s="1" t="s">
        <v>983</v>
      </c>
      <c r="C11" s="1" t="s">
        <v>982</v>
      </c>
      <c r="D11" s="1" t="s">
        <v>981</v>
      </c>
      <c r="E11" s="1" t="s">
        <v>980</v>
      </c>
    </row>
    <row r="12" spans="1:5" x14ac:dyDescent="0.45">
      <c r="A12" s="5" t="s">
        <v>979</v>
      </c>
      <c r="B12" s="1" t="s">
        <v>978</v>
      </c>
      <c r="C12" s="1" t="s">
        <v>977</v>
      </c>
      <c r="D12" s="1" t="s">
        <v>976</v>
      </c>
      <c r="E12" s="1" t="s">
        <v>975</v>
      </c>
    </row>
    <row r="13" spans="1:5" ht="28.5" x14ac:dyDescent="0.45">
      <c r="A13" s="5" t="s">
        <v>974</v>
      </c>
      <c r="B13" s="1" t="s">
        <v>973</v>
      </c>
      <c r="C13" s="1" t="s">
        <v>972</v>
      </c>
      <c r="D13" s="1" t="s">
        <v>971</v>
      </c>
      <c r="E13" s="1" t="s">
        <v>970</v>
      </c>
    </row>
    <row r="14" spans="1:5" ht="28.5" x14ac:dyDescent="0.45">
      <c r="A14" s="5" t="s">
        <v>849</v>
      </c>
      <c r="B14" s="1" t="s">
        <v>969</v>
      </c>
      <c r="C14" s="1" t="s">
        <v>968</v>
      </c>
      <c r="D14" s="1" t="s">
        <v>967</v>
      </c>
      <c r="E14" s="1" t="s">
        <v>966</v>
      </c>
    </row>
    <row r="15" spans="1:5" ht="28.5" x14ac:dyDescent="0.45">
      <c r="A15" s="5" t="s">
        <v>965</v>
      </c>
      <c r="B15" s="1" t="s">
        <v>964</v>
      </c>
      <c r="C15" s="1" t="s">
        <v>963</v>
      </c>
      <c r="D15" s="1" t="s">
        <v>962</v>
      </c>
      <c r="E15" s="1" t="s">
        <v>961</v>
      </c>
    </row>
    <row r="16" spans="1:5" x14ac:dyDescent="0.45">
      <c r="A16" s="5" t="s">
        <v>960</v>
      </c>
      <c r="B16" s="1" t="s">
        <v>959</v>
      </c>
      <c r="C16" s="1" t="s">
        <v>958</v>
      </c>
      <c r="D16" s="1" t="s">
        <v>953</v>
      </c>
      <c r="E16" s="1" t="s">
        <v>957</v>
      </c>
    </row>
    <row r="17" spans="1:5" x14ac:dyDescent="0.45">
      <c r="A17" s="5" t="s">
        <v>956</v>
      </c>
      <c r="B17" s="1" t="s">
        <v>955</v>
      </c>
      <c r="C17" s="1" t="s">
        <v>954</v>
      </c>
      <c r="D17" s="1" t="s">
        <v>953</v>
      </c>
      <c r="E17" s="1" t="s">
        <v>952</v>
      </c>
    </row>
    <row r="18" spans="1:5" x14ac:dyDescent="0.45">
      <c r="A18" s="5" t="s">
        <v>951</v>
      </c>
      <c r="B18" s="1" t="s">
        <v>950</v>
      </c>
      <c r="C18" s="1" t="s">
        <v>949</v>
      </c>
      <c r="D18" s="1" t="s">
        <v>948</v>
      </c>
      <c r="E18" s="1" t="s">
        <v>947</v>
      </c>
    </row>
    <row r="19" spans="1:5" x14ac:dyDescent="0.45">
      <c r="A19" s="5" t="s">
        <v>946</v>
      </c>
      <c r="B19" s="1" t="s">
        <v>945</v>
      </c>
      <c r="C19" s="1" t="s">
        <v>944</v>
      </c>
      <c r="D19" s="1" t="s">
        <v>943</v>
      </c>
      <c r="E19" s="1" t="s">
        <v>942</v>
      </c>
    </row>
    <row r="20" spans="1:5" x14ac:dyDescent="0.45">
      <c r="A20" s="5" t="s">
        <v>941</v>
      </c>
      <c r="B20" s="1" t="s">
        <v>940</v>
      </c>
      <c r="C20" s="1" t="s">
        <v>939</v>
      </c>
      <c r="D20" s="1" t="s">
        <v>938</v>
      </c>
      <c r="E20" s="1" t="s">
        <v>937</v>
      </c>
    </row>
    <row r="21" spans="1:5" x14ac:dyDescent="0.45">
      <c r="A21" s="3"/>
      <c r="B21" s="3"/>
      <c r="C21" s="3"/>
      <c r="D21" s="3"/>
      <c r="E21" s="3"/>
    </row>
    <row r="22" spans="1:5" x14ac:dyDescent="0.45">
      <c r="A22" s="3"/>
      <c r="B22" s="3"/>
      <c r="C22" s="3"/>
      <c r="D22" s="3"/>
      <c r="E22" s="3"/>
    </row>
    <row r="23" spans="1:5" x14ac:dyDescent="0.45">
      <c r="A23" s="3"/>
      <c r="B23" s="3"/>
      <c r="C23" s="3"/>
      <c r="D23" s="3"/>
      <c r="E23" s="3"/>
    </row>
    <row r="24" spans="1:5" x14ac:dyDescent="0.45">
      <c r="A24" s="3"/>
      <c r="B24" s="3"/>
      <c r="C24" s="3"/>
      <c r="D24" s="3"/>
      <c r="E24" s="3"/>
    </row>
    <row r="25" spans="1:5" x14ac:dyDescent="0.45">
      <c r="A25" s="3"/>
      <c r="B25" s="3"/>
      <c r="C25" s="3"/>
      <c r="D25" s="3"/>
      <c r="E25" s="3"/>
    </row>
    <row r="26" spans="1:5" x14ac:dyDescent="0.45">
      <c r="A26" s="3"/>
      <c r="B26" s="3"/>
      <c r="C26" s="3"/>
      <c r="D26" s="3"/>
      <c r="E26" s="3"/>
    </row>
    <row r="27" spans="1:5" x14ac:dyDescent="0.45">
      <c r="A27" s="3"/>
      <c r="B27" s="3"/>
      <c r="C27" s="3"/>
      <c r="D27" s="3"/>
      <c r="E27" s="3"/>
    </row>
    <row r="28" spans="1:5" x14ac:dyDescent="0.45">
      <c r="A28" s="3"/>
      <c r="B28" s="3"/>
      <c r="C28" s="3"/>
      <c r="D28" s="3"/>
      <c r="E28" s="3"/>
    </row>
    <row r="29" spans="1:5" x14ac:dyDescent="0.45">
      <c r="A29" s="3"/>
      <c r="B29" s="3"/>
      <c r="C29" s="3"/>
      <c r="D29" s="3"/>
      <c r="E29" s="3"/>
    </row>
    <row r="30" spans="1:5" x14ac:dyDescent="0.45">
      <c r="A30" s="3"/>
      <c r="B30" s="3"/>
      <c r="C30" s="3"/>
      <c r="D30" s="3"/>
      <c r="E30" s="3"/>
    </row>
    <row r="31" spans="1:5" x14ac:dyDescent="0.45">
      <c r="A31" s="3"/>
      <c r="B31" s="3"/>
      <c r="C31" s="3"/>
      <c r="D31" s="3"/>
      <c r="E31" s="3"/>
    </row>
    <row r="32" spans="1:5" x14ac:dyDescent="0.45">
      <c r="A32" s="3"/>
      <c r="B32" s="3"/>
      <c r="C32" s="3"/>
      <c r="D32" s="3"/>
      <c r="E32" s="3"/>
    </row>
    <row r="33" spans="1:5" x14ac:dyDescent="0.45">
      <c r="A33" s="3"/>
      <c r="B33" s="3"/>
      <c r="C33" s="3"/>
      <c r="D33" s="3"/>
      <c r="E33" s="3"/>
    </row>
    <row r="34" spans="1:5" x14ac:dyDescent="0.45">
      <c r="A34" s="3"/>
      <c r="B34" s="3"/>
      <c r="C34" s="3"/>
      <c r="D34" s="3"/>
      <c r="E34" s="3"/>
    </row>
    <row r="35" spans="1:5" x14ac:dyDescent="0.45">
      <c r="A35" s="3"/>
      <c r="B35" s="3"/>
      <c r="C35" s="3"/>
      <c r="D35" s="3"/>
      <c r="E35" s="3"/>
    </row>
    <row r="36" spans="1:5" x14ac:dyDescent="0.45">
      <c r="A36" s="3"/>
      <c r="B36" s="3"/>
      <c r="C36" s="3"/>
      <c r="D36" s="3"/>
      <c r="E36" s="3"/>
    </row>
    <row r="37" spans="1:5" x14ac:dyDescent="0.45">
      <c r="A37" s="3"/>
      <c r="B37" s="3"/>
      <c r="C37" s="3"/>
      <c r="D37" s="3"/>
      <c r="E37" s="3"/>
    </row>
    <row r="38" spans="1:5" x14ac:dyDescent="0.45">
      <c r="A38" s="3"/>
      <c r="B38" s="3"/>
      <c r="C38" s="3"/>
      <c r="D38" s="3"/>
      <c r="E38" s="3"/>
    </row>
    <row r="39" spans="1:5" x14ac:dyDescent="0.45">
      <c r="A39" s="3"/>
      <c r="B39" s="3"/>
      <c r="C39" s="3"/>
      <c r="D39" s="3"/>
      <c r="E39" s="3"/>
    </row>
    <row r="40" spans="1:5" x14ac:dyDescent="0.45">
      <c r="A40" s="3"/>
      <c r="B40" s="3"/>
      <c r="C40" s="3"/>
      <c r="D40" s="3"/>
      <c r="E40" s="3"/>
    </row>
    <row r="41" spans="1:5" x14ac:dyDescent="0.45">
      <c r="A41" s="3"/>
      <c r="B41" s="3"/>
      <c r="C41" s="3"/>
      <c r="D41" s="3"/>
      <c r="E41" s="3"/>
    </row>
    <row r="42" spans="1:5" x14ac:dyDescent="0.45">
      <c r="A42" s="3"/>
      <c r="B42" s="3"/>
      <c r="C42" s="3"/>
      <c r="D42" s="3"/>
      <c r="E42" s="3"/>
    </row>
    <row r="43" spans="1:5" x14ac:dyDescent="0.45">
      <c r="A43" s="3"/>
      <c r="B43" s="3"/>
      <c r="C43" s="3"/>
      <c r="D43" s="3"/>
      <c r="E43" s="3"/>
    </row>
    <row r="44" spans="1:5" x14ac:dyDescent="0.45">
      <c r="A44" s="3"/>
      <c r="B44" s="3"/>
      <c r="C44" s="3"/>
      <c r="D44" s="3"/>
      <c r="E44" s="3"/>
    </row>
    <row r="45" spans="1:5" x14ac:dyDescent="0.45">
      <c r="A45" s="3"/>
      <c r="B45" s="3"/>
      <c r="C45" s="3"/>
      <c r="D45" s="3"/>
      <c r="E45" s="3"/>
    </row>
    <row r="46" spans="1:5" x14ac:dyDescent="0.45">
      <c r="A46" s="3"/>
      <c r="B46" s="3"/>
      <c r="C46" s="3"/>
      <c r="D46" s="3"/>
      <c r="E46" s="3"/>
    </row>
    <row r="47" spans="1:5" x14ac:dyDescent="0.45">
      <c r="A47" s="3"/>
      <c r="B47" s="3"/>
      <c r="C47" s="3"/>
      <c r="D47" s="3"/>
      <c r="E47" s="3"/>
    </row>
    <row r="48" spans="1:5" x14ac:dyDescent="0.45">
      <c r="A48" s="3"/>
      <c r="B48" s="3"/>
      <c r="C48" s="3"/>
      <c r="D48" s="3"/>
      <c r="E48" s="3"/>
    </row>
    <row r="49" spans="1:5" x14ac:dyDescent="0.45">
      <c r="A49" s="3"/>
      <c r="B49" s="3"/>
      <c r="C49" s="3"/>
      <c r="D49" s="3"/>
      <c r="E49" s="3"/>
    </row>
    <row r="50" spans="1:5" x14ac:dyDescent="0.45">
      <c r="A50" s="3"/>
      <c r="B50" s="3"/>
      <c r="C50" s="3"/>
      <c r="D50" s="3"/>
      <c r="E50" s="3"/>
    </row>
    <row r="51" spans="1:5" x14ac:dyDescent="0.45">
      <c r="A51" s="3"/>
      <c r="B51" s="3"/>
      <c r="C51" s="3"/>
      <c r="D51" s="3"/>
      <c r="E51" s="3"/>
    </row>
    <row r="52" spans="1:5" x14ac:dyDescent="0.45">
      <c r="A52" s="3"/>
      <c r="B52" s="3"/>
      <c r="C52" s="3"/>
      <c r="D52" s="3"/>
      <c r="E52" s="3"/>
    </row>
    <row r="53" spans="1:5" x14ac:dyDescent="0.45">
      <c r="A53" s="3"/>
      <c r="B53" s="3"/>
      <c r="C53" s="3"/>
      <c r="D53" s="3"/>
      <c r="E53" s="3"/>
    </row>
    <row r="54" spans="1:5" x14ac:dyDescent="0.45">
      <c r="A54" s="3"/>
      <c r="B54" s="3"/>
      <c r="C54" s="3"/>
      <c r="D54" s="3"/>
      <c r="E54" s="3"/>
    </row>
    <row r="55" spans="1:5" x14ac:dyDescent="0.45">
      <c r="A55" s="3"/>
      <c r="B55" s="3"/>
      <c r="C55" s="3"/>
      <c r="D55" s="3"/>
      <c r="E55" s="3"/>
    </row>
    <row r="56" spans="1:5" x14ac:dyDescent="0.45">
      <c r="A56" s="3"/>
      <c r="B56" s="3"/>
      <c r="C56" s="3"/>
      <c r="D56" s="3"/>
      <c r="E56" s="3"/>
    </row>
    <row r="57" spans="1:5" x14ac:dyDescent="0.45">
      <c r="A57" s="3"/>
      <c r="B57" s="3"/>
      <c r="C57" s="3"/>
      <c r="D57" s="3"/>
      <c r="E57" s="3"/>
    </row>
    <row r="58" spans="1:5" x14ac:dyDescent="0.45">
      <c r="A58" s="3"/>
      <c r="B58" s="3"/>
      <c r="C58" s="3"/>
      <c r="D58" s="3"/>
      <c r="E58" s="3"/>
    </row>
    <row r="59" spans="1:5" x14ac:dyDescent="0.45">
      <c r="A59" s="3"/>
      <c r="B59" s="3"/>
      <c r="C59" s="3"/>
      <c r="D59" s="3"/>
      <c r="E59" s="3"/>
    </row>
    <row r="60" spans="1:5" x14ac:dyDescent="0.45">
      <c r="A60" s="3"/>
      <c r="B60" s="3"/>
      <c r="C60" s="3"/>
      <c r="D60" s="3"/>
      <c r="E60" s="3"/>
    </row>
    <row r="61" spans="1:5" x14ac:dyDescent="0.45">
      <c r="A61" s="3"/>
      <c r="B61" s="3"/>
      <c r="C61" s="3"/>
      <c r="D61" s="3"/>
      <c r="E61" s="3"/>
    </row>
    <row r="62" spans="1:5" x14ac:dyDescent="0.45">
      <c r="A62" s="3"/>
      <c r="B62" s="3"/>
      <c r="C62" s="3"/>
      <c r="D62" s="3"/>
      <c r="E62" s="3"/>
    </row>
    <row r="63" spans="1:5" x14ac:dyDescent="0.45">
      <c r="A63" s="3"/>
      <c r="B63" s="3"/>
      <c r="C63" s="3"/>
      <c r="D63" s="3"/>
      <c r="E63" s="3"/>
    </row>
    <row r="64" spans="1:5" x14ac:dyDescent="0.45">
      <c r="A64" s="3"/>
      <c r="B64" s="3"/>
      <c r="C64" s="3"/>
      <c r="D64" s="3"/>
      <c r="E64" s="3"/>
    </row>
    <row r="65" spans="1:5" x14ac:dyDescent="0.45">
      <c r="A65" s="3"/>
      <c r="B65" s="3"/>
      <c r="C65" s="3"/>
      <c r="D65" s="3"/>
      <c r="E65" s="3"/>
    </row>
    <row r="66" spans="1:5" x14ac:dyDescent="0.45">
      <c r="A66" s="3"/>
      <c r="B66" s="3"/>
      <c r="C66" s="3"/>
      <c r="D66" s="3"/>
      <c r="E66" s="3"/>
    </row>
    <row r="67" spans="1:5" x14ac:dyDescent="0.45">
      <c r="A67" s="3"/>
      <c r="B67" s="3"/>
      <c r="C67" s="3"/>
      <c r="D67" s="3"/>
      <c r="E67" s="3"/>
    </row>
    <row r="68" spans="1:5" x14ac:dyDescent="0.45">
      <c r="A68" s="3"/>
      <c r="B68" s="3"/>
      <c r="C68" s="3"/>
      <c r="D68" s="3"/>
      <c r="E68" s="3"/>
    </row>
    <row r="69" spans="1:5" x14ac:dyDescent="0.45">
      <c r="A69" s="3"/>
      <c r="B69" s="3"/>
      <c r="C69" s="3"/>
      <c r="D69" s="3"/>
      <c r="E69" s="3"/>
    </row>
    <row r="70" spans="1:5" x14ac:dyDescent="0.45">
      <c r="A70" s="3"/>
      <c r="B70" s="3"/>
      <c r="C70" s="3"/>
      <c r="D70" s="3"/>
      <c r="E70" s="3"/>
    </row>
    <row r="71" spans="1:5" x14ac:dyDescent="0.45">
      <c r="A71" s="3"/>
      <c r="B71" s="3"/>
      <c r="C71" s="3"/>
      <c r="D71" s="3"/>
      <c r="E71" s="3"/>
    </row>
    <row r="72" spans="1:5" x14ac:dyDescent="0.45">
      <c r="A72" s="3"/>
      <c r="B72" s="3"/>
      <c r="C72" s="3"/>
      <c r="D72" s="3"/>
      <c r="E72" s="3"/>
    </row>
    <row r="73" spans="1:5" x14ac:dyDescent="0.45">
      <c r="A73" s="3"/>
      <c r="B73" s="3"/>
      <c r="C73" s="3"/>
      <c r="D73" s="3"/>
      <c r="E73" s="3"/>
    </row>
    <row r="74" spans="1:5" x14ac:dyDescent="0.45">
      <c r="A74" s="3"/>
      <c r="B74" s="3"/>
      <c r="C74" s="3"/>
      <c r="D74" s="3"/>
      <c r="E74" s="3"/>
    </row>
    <row r="75" spans="1:5" x14ac:dyDescent="0.45">
      <c r="A75" s="3"/>
      <c r="B75" s="3"/>
      <c r="C75" s="3"/>
      <c r="D75" s="3"/>
      <c r="E75" s="3"/>
    </row>
    <row r="76" spans="1:5" x14ac:dyDescent="0.45">
      <c r="A76" s="3"/>
      <c r="B76" s="3"/>
      <c r="C76" s="3"/>
      <c r="D76" s="3"/>
      <c r="E76" s="3"/>
    </row>
    <row r="77" spans="1:5" x14ac:dyDescent="0.45">
      <c r="A77" s="3"/>
      <c r="B77" s="3"/>
      <c r="C77" s="3"/>
      <c r="D77" s="3"/>
      <c r="E77" s="3"/>
    </row>
  </sheetData>
  <autoFilter ref="A1:E77" xr:uid="{F64461FB-5B60-4203-8120-AA331AA75471}">
    <sortState xmlns:xlrd2="http://schemas.microsoft.com/office/spreadsheetml/2017/richdata2" ref="A2:E77">
      <sortCondition ref="A1:A7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61FB-5B60-4203-8120-AA331AA75471}">
  <dimension ref="A1:O238"/>
  <sheetViews>
    <sheetView topLeftCell="A165" workbookViewId="0">
      <selection activeCell="B165" sqref="B165"/>
    </sheetView>
  </sheetViews>
  <sheetFormatPr defaultRowHeight="14.25" x14ac:dyDescent="0.45"/>
  <cols>
    <col min="2" max="2" width="14.6640625" customWidth="1"/>
    <col min="3" max="3" width="23.3984375" customWidth="1"/>
    <col min="6" max="6" width="16.06640625" customWidth="1"/>
  </cols>
  <sheetData>
    <row r="1" spans="1:15" x14ac:dyDescent="0.45">
      <c r="A1" t="s">
        <v>1254</v>
      </c>
      <c r="B1" t="s">
        <v>0</v>
      </c>
      <c r="C1" t="s">
        <v>1</v>
      </c>
      <c r="D1" t="s">
        <v>321</v>
      </c>
      <c r="E1" t="s">
        <v>322</v>
      </c>
      <c r="F1" t="s">
        <v>176</v>
      </c>
      <c r="G1" t="s">
        <v>323</v>
      </c>
      <c r="H1" t="s">
        <v>324</v>
      </c>
      <c r="I1" t="s">
        <v>325</v>
      </c>
      <c r="J1" t="s">
        <v>2</v>
      </c>
      <c r="K1" t="s">
        <v>3</v>
      </c>
      <c r="L1" t="s">
        <v>4</v>
      </c>
      <c r="M1" t="s">
        <v>5</v>
      </c>
      <c r="N1" t="s">
        <v>316</v>
      </c>
      <c r="O1" t="s">
        <v>6</v>
      </c>
    </row>
    <row r="2" spans="1:15" x14ac:dyDescent="0.45">
      <c r="B2" t="s">
        <v>354</v>
      </c>
      <c r="C2" t="s">
        <v>678</v>
      </c>
      <c r="D2" t="s">
        <v>683</v>
      </c>
      <c r="E2" t="s">
        <v>683</v>
      </c>
      <c r="F2" s="7" t="s">
        <v>1431</v>
      </c>
      <c r="K2" t="s">
        <v>8</v>
      </c>
    </row>
    <row r="3" spans="1:15" x14ac:dyDescent="0.45">
      <c r="B3" t="s">
        <v>355</v>
      </c>
      <c r="C3" t="s">
        <v>679</v>
      </c>
      <c r="D3" t="s">
        <v>682</v>
      </c>
      <c r="E3" t="s">
        <v>679</v>
      </c>
      <c r="F3" s="7" t="s">
        <v>1432</v>
      </c>
      <c r="K3" t="s">
        <v>8</v>
      </c>
    </row>
    <row r="4" spans="1:15" x14ac:dyDescent="0.45">
      <c r="B4" t="s">
        <v>356</v>
      </c>
      <c r="C4" t="s">
        <v>680</v>
      </c>
      <c r="F4" s="7" t="s">
        <v>1433</v>
      </c>
      <c r="K4" t="s">
        <v>11</v>
      </c>
      <c r="L4" t="s">
        <v>320</v>
      </c>
      <c r="M4" t="s">
        <v>320</v>
      </c>
    </row>
    <row r="5" spans="1:15" x14ac:dyDescent="0.45">
      <c r="B5" t="s">
        <v>358</v>
      </c>
      <c r="C5" t="s">
        <v>359</v>
      </c>
      <c r="D5" t="s">
        <v>719</v>
      </c>
      <c r="E5" t="s">
        <v>720</v>
      </c>
      <c r="F5" s="7" t="s">
        <v>1434</v>
      </c>
      <c r="K5" t="s">
        <v>8</v>
      </c>
      <c r="L5" t="s">
        <v>320</v>
      </c>
    </row>
    <row r="6" spans="1:15" x14ac:dyDescent="0.45">
      <c r="B6" t="s">
        <v>360</v>
      </c>
      <c r="C6" t="s">
        <v>361</v>
      </c>
      <c r="D6" t="s">
        <v>684</v>
      </c>
      <c r="E6" t="s">
        <v>685</v>
      </c>
      <c r="F6" s="7" t="s">
        <v>1435</v>
      </c>
      <c r="K6" t="s">
        <v>8</v>
      </c>
      <c r="L6" t="s">
        <v>320</v>
      </c>
    </row>
    <row r="7" spans="1:15" x14ac:dyDescent="0.45">
      <c r="B7" t="s">
        <v>363</v>
      </c>
      <c r="C7" t="s">
        <v>364</v>
      </c>
      <c r="F7" s="7" t="s">
        <v>1436</v>
      </c>
      <c r="K7" t="s">
        <v>8</v>
      </c>
      <c r="L7" t="s">
        <v>320</v>
      </c>
    </row>
    <row r="8" spans="1:15" x14ac:dyDescent="0.45">
      <c r="B8" t="s">
        <v>365</v>
      </c>
      <c r="C8" t="s">
        <v>687</v>
      </c>
      <c r="F8" s="7" t="s">
        <v>1437</v>
      </c>
      <c r="K8" t="s">
        <v>8</v>
      </c>
      <c r="L8" t="s">
        <v>320</v>
      </c>
    </row>
    <row r="9" spans="1:15" x14ac:dyDescent="0.45">
      <c r="B9" t="s">
        <v>367</v>
      </c>
      <c r="C9" t="s">
        <v>689</v>
      </c>
      <c r="F9" s="7" t="s">
        <v>1438</v>
      </c>
      <c r="K9" t="s">
        <v>8</v>
      </c>
    </row>
    <row r="10" spans="1:15" x14ac:dyDescent="0.45">
      <c r="B10" t="s">
        <v>367</v>
      </c>
      <c r="C10" t="s">
        <v>690</v>
      </c>
      <c r="F10" s="6" t="s">
        <v>1646</v>
      </c>
      <c r="K10" t="s">
        <v>8</v>
      </c>
    </row>
    <row r="11" spans="1:15" x14ac:dyDescent="0.45">
      <c r="B11" t="s">
        <v>368</v>
      </c>
      <c r="C11" t="s">
        <v>691</v>
      </c>
      <c r="F11" s="6" t="s">
        <v>1439</v>
      </c>
      <c r="K11" t="s">
        <v>8</v>
      </c>
      <c r="L11" t="s">
        <v>320</v>
      </c>
    </row>
    <row r="12" spans="1:15" x14ac:dyDescent="0.45">
      <c r="B12" t="s">
        <v>369</v>
      </c>
      <c r="C12" t="s">
        <v>370</v>
      </c>
      <c r="F12" s="6" t="s">
        <v>1647</v>
      </c>
      <c r="K12" t="s">
        <v>8</v>
      </c>
    </row>
    <row r="13" spans="1:15" x14ac:dyDescent="0.45">
      <c r="B13" t="s">
        <v>374</v>
      </c>
      <c r="C13" t="s">
        <v>699</v>
      </c>
      <c r="F13" s="7" t="s">
        <v>1440</v>
      </c>
      <c r="K13" t="s">
        <v>11</v>
      </c>
      <c r="L13" t="s">
        <v>320</v>
      </c>
      <c r="M13" t="s">
        <v>675</v>
      </c>
    </row>
    <row r="14" spans="1:15" x14ac:dyDescent="0.45">
      <c r="B14" t="s">
        <v>375</v>
      </c>
      <c r="C14" t="s">
        <v>700</v>
      </c>
      <c r="F14" s="7" t="s">
        <v>1441</v>
      </c>
      <c r="K14" t="s">
        <v>11</v>
      </c>
      <c r="L14" t="s">
        <v>320</v>
      </c>
    </row>
    <row r="15" spans="1:15" x14ac:dyDescent="0.45">
      <c r="B15" t="s">
        <v>379</v>
      </c>
      <c r="C15" t="s">
        <v>704</v>
      </c>
      <c r="F15" s="7" t="s">
        <v>1442</v>
      </c>
      <c r="K15" t="s">
        <v>11</v>
      </c>
      <c r="L15" t="s">
        <v>320</v>
      </c>
    </row>
    <row r="16" spans="1:15" x14ac:dyDescent="0.45">
      <c r="B16" t="s">
        <v>382</v>
      </c>
      <c r="C16" t="s">
        <v>383</v>
      </c>
      <c r="F16" s="7" t="s">
        <v>1443</v>
      </c>
      <c r="K16" t="s">
        <v>8</v>
      </c>
    </row>
    <row r="17" spans="2:13" x14ac:dyDescent="0.45">
      <c r="B17" t="s">
        <v>384</v>
      </c>
      <c r="C17" t="s">
        <v>385</v>
      </c>
      <c r="F17" s="7" t="s">
        <v>1444</v>
      </c>
      <c r="K17" t="s">
        <v>8</v>
      </c>
      <c r="L17" t="s">
        <v>320</v>
      </c>
    </row>
    <row r="18" spans="2:13" x14ac:dyDescent="0.45">
      <c r="B18" t="s">
        <v>386</v>
      </c>
      <c r="C18" t="s">
        <v>387</v>
      </c>
      <c r="F18" s="7" t="s">
        <v>1445</v>
      </c>
      <c r="K18" t="s">
        <v>8</v>
      </c>
      <c r="L18" t="s">
        <v>709</v>
      </c>
    </row>
    <row r="19" spans="2:13" x14ac:dyDescent="0.45">
      <c r="B19" t="s">
        <v>389</v>
      </c>
      <c r="C19" t="s">
        <v>390</v>
      </c>
      <c r="F19" s="7" t="s">
        <v>1446</v>
      </c>
      <c r="K19" t="s">
        <v>11</v>
      </c>
      <c r="L19" t="s">
        <v>320</v>
      </c>
      <c r="M19" t="s">
        <v>710</v>
      </c>
    </row>
    <row r="20" spans="2:13" x14ac:dyDescent="0.45">
      <c r="B20" t="s">
        <v>391</v>
      </c>
      <c r="C20" t="s">
        <v>392</v>
      </c>
      <c r="F20" s="7" t="s">
        <v>1447</v>
      </c>
      <c r="K20" t="s">
        <v>11</v>
      </c>
      <c r="L20" t="s">
        <v>320</v>
      </c>
      <c r="M20" t="s">
        <v>348</v>
      </c>
    </row>
    <row r="21" spans="2:13" x14ac:dyDescent="0.45">
      <c r="B21" t="s">
        <v>394</v>
      </c>
      <c r="C21" t="s">
        <v>711</v>
      </c>
      <c r="D21" s="1"/>
      <c r="E21" s="1"/>
      <c r="F21" s="7" t="s">
        <v>1448</v>
      </c>
    </row>
    <row r="22" spans="2:13" x14ac:dyDescent="0.45">
      <c r="B22" t="s">
        <v>398</v>
      </c>
      <c r="C22" t="s">
        <v>399</v>
      </c>
      <c r="F22" t="s">
        <v>1648</v>
      </c>
      <c r="K22" t="s">
        <v>8</v>
      </c>
    </row>
    <row r="23" spans="2:13" x14ac:dyDescent="0.45">
      <c r="B23" t="s">
        <v>403</v>
      </c>
      <c r="C23" t="s">
        <v>1255</v>
      </c>
      <c r="F23" s="7" t="s">
        <v>1449</v>
      </c>
      <c r="K23" t="s">
        <v>11</v>
      </c>
      <c r="L23" t="s">
        <v>320</v>
      </c>
    </row>
    <row r="24" spans="2:13" x14ac:dyDescent="0.45">
      <c r="B24" t="s">
        <v>404</v>
      </c>
      <c r="C24" t="s">
        <v>405</v>
      </c>
      <c r="F24" s="7" t="s">
        <v>1450</v>
      </c>
      <c r="K24" t="s">
        <v>11</v>
      </c>
      <c r="L24" t="s">
        <v>320</v>
      </c>
    </row>
    <row r="25" spans="2:13" x14ac:dyDescent="0.45">
      <c r="B25" t="s">
        <v>406</v>
      </c>
      <c r="C25" t="s">
        <v>407</v>
      </c>
      <c r="F25" s="7" t="s">
        <v>1451</v>
      </c>
      <c r="K25" t="s">
        <v>11</v>
      </c>
      <c r="L25" t="s">
        <v>320</v>
      </c>
    </row>
    <row r="26" spans="2:13" x14ac:dyDescent="0.45">
      <c r="B26" t="s">
        <v>408</v>
      </c>
      <c r="C26" t="s">
        <v>409</v>
      </c>
      <c r="F26" s="7" t="s">
        <v>1452</v>
      </c>
      <c r="K26" t="s">
        <v>8</v>
      </c>
      <c r="L26" t="s">
        <v>320</v>
      </c>
    </row>
    <row r="27" spans="2:13" x14ac:dyDescent="0.45">
      <c r="B27" t="s">
        <v>410</v>
      </c>
      <c r="C27" t="s">
        <v>411</v>
      </c>
      <c r="F27" s="7" t="s">
        <v>1453</v>
      </c>
      <c r="K27" t="s">
        <v>8</v>
      </c>
      <c r="L27" t="s">
        <v>320</v>
      </c>
    </row>
    <row r="28" spans="2:13" x14ac:dyDescent="0.45">
      <c r="B28" t="s">
        <v>412</v>
      </c>
      <c r="C28" t="s">
        <v>413</v>
      </c>
      <c r="F28" s="7" t="s">
        <v>1454</v>
      </c>
      <c r="K28" t="s">
        <v>11</v>
      </c>
      <c r="L28" t="s">
        <v>320</v>
      </c>
    </row>
    <row r="29" spans="2:13" x14ac:dyDescent="0.45">
      <c r="B29" t="s">
        <v>414</v>
      </c>
      <c r="C29" t="s">
        <v>1256</v>
      </c>
      <c r="F29" s="7" t="s">
        <v>1455</v>
      </c>
      <c r="K29" t="s">
        <v>8</v>
      </c>
      <c r="L29" t="s">
        <v>320</v>
      </c>
    </row>
    <row r="30" spans="2:13" x14ac:dyDescent="0.45">
      <c r="B30" t="s">
        <v>419</v>
      </c>
      <c r="C30" t="s">
        <v>1257</v>
      </c>
      <c r="F30" s="7" t="s">
        <v>1456</v>
      </c>
      <c r="K30" t="s">
        <v>8</v>
      </c>
    </row>
    <row r="31" spans="2:13" x14ac:dyDescent="0.45">
      <c r="B31" t="s">
        <v>420</v>
      </c>
      <c r="C31" t="s">
        <v>1258</v>
      </c>
      <c r="F31" s="7" t="s">
        <v>1457</v>
      </c>
      <c r="K31" t="s">
        <v>11</v>
      </c>
    </row>
    <row r="32" spans="2:13" x14ac:dyDescent="0.45">
      <c r="B32" t="s">
        <v>422</v>
      </c>
      <c r="C32" t="s">
        <v>423</v>
      </c>
      <c r="F32" s="7" t="s">
        <v>1458</v>
      </c>
      <c r="K32" t="s">
        <v>8</v>
      </c>
      <c r="L32" t="s">
        <v>320</v>
      </c>
    </row>
    <row r="33" spans="2:11" x14ac:dyDescent="0.45">
      <c r="B33" t="s">
        <v>424</v>
      </c>
      <c r="C33" t="s">
        <v>745</v>
      </c>
      <c r="D33" s="1"/>
      <c r="E33" s="1"/>
      <c r="F33" s="7"/>
    </row>
    <row r="34" spans="2:11" x14ac:dyDescent="0.45">
      <c r="B34" t="s">
        <v>427</v>
      </c>
      <c r="C34" t="s">
        <v>1259</v>
      </c>
      <c r="F34" s="7"/>
      <c r="K34" t="s">
        <v>11</v>
      </c>
    </row>
    <row r="35" spans="2:11" x14ac:dyDescent="0.45">
      <c r="B35" t="s">
        <v>428</v>
      </c>
      <c r="C35" t="s">
        <v>1260</v>
      </c>
      <c r="F35" s="7" t="s">
        <v>1459</v>
      </c>
    </row>
    <row r="36" spans="2:11" x14ac:dyDescent="0.45">
      <c r="B36" t="s">
        <v>430</v>
      </c>
      <c r="C36" t="s">
        <v>1261</v>
      </c>
      <c r="F36" s="7" t="s">
        <v>1460</v>
      </c>
    </row>
    <row r="37" spans="2:11" x14ac:dyDescent="0.45">
      <c r="B37" t="s">
        <v>431</v>
      </c>
      <c r="C37" t="s">
        <v>1262</v>
      </c>
      <c r="F37" s="7" t="s">
        <v>1461</v>
      </c>
      <c r="K37" t="s">
        <v>8</v>
      </c>
    </row>
    <row r="38" spans="2:11" x14ac:dyDescent="0.45">
      <c r="B38" t="s">
        <v>432</v>
      </c>
      <c r="C38" t="s">
        <v>124</v>
      </c>
      <c r="F38" s="7" t="s">
        <v>1462</v>
      </c>
    </row>
    <row r="39" spans="2:11" x14ac:dyDescent="0.45">
      <c r="B39" t="s">
        <v>433</v>
      </c>
      <c r="C39" t="s">
        <v>1263</v>
      </c>
      <c r="F39" s="7" t="s">
        <v>1463</v>
      </c>
    </row>
    <row r="40" spans="2:11" x14ac:dyDescent="0.45">
      <c r="B40" t="s">
        <v>435</v>
      </c>
      <c r="C40" t="s">
        <v>1264</v>
      </c>
      <c r="F40" s="7" t="s">
        <v>1464</v>
      </c>
      <c r="K40" t="s">
        <v>11</v>
      </c>
    </row>
    <row r="41" spans="2:11" x14ac:dyDescent="0.45">
      <c r="B41" t="s">
        <v>436</v>
      </c>
      <c r="C41" t="s">
        <v>1265</v>
      </c>
      <c r="F41" s="7" t="s">
        <v>1465</v>
      </c>
    </row>
    <row r="42" spans="2:11" x14ac:dyDescent="0.45">
      <c r="B42" t="s">
        <v>437</v>
      </c>
      <c r="C42" t="s">
        <v>438</v>
      </c>
      <c r="F42" s="7" t="s">
        <v>1466</v>
      </c>
      <c r="K42" t="s">
        <v>11</v>
      </c>
    </row>
    <row r="43" spans="2:11" x14ac:dyDescent="0.45">
      <c r="B43" t="s">
        <v>440</v>
      </c>
      <c r="C43" t="s">
        <v>1266</v>
      </c>
      <c r="D43" s="1"/>
      <c r="E43" s="1"/>
      <c r="F43" s="7" t="s">
        <v>1467</v>
      </c>
    </row>
    <row r="44" spans="2:11" x14ac:dyDescent="0.45">
      <c r="B44" t="s">
        <v>442</v>
      </c>
      <c r="C44" t="s">
        <v>1267</v>
      </c>
      <c r="F44" s="7" t="s">
        <v>1468</v>
      </c>
      <c r="K44" t="s">
        <v>11</v>
      </c>
    </row>
    <row r="45" spans="2:11" x14ac:dyDescent="0.45">
      <c r="B45" t="s">
        <v>443</v>
      </c>
      <c r="C45" t="s">
        <v>1268</v>
      </c>
      <c r="F45" s="7" t="s">
        <v>1469</v>
      </c>
      <c r="K45" t="s">
        <v>8</v>
      </c>
    </row>
    <row r="46" spans="2:11" x14ac:dyDescent="0.45">
      <c r="B46" t="s">
        <v>444</v>
      </c>
      <c r="C46" t="s">
        <v>1269</v>
      </c>
      <c r="F46" s="7" t="s">
        <v>1470</v>
      </c>
    </row>
    <row r="47" spans="2:11" x14ac:dyDescent="0.45">
      <c r="B47" t="s">
        <v>445</v>
      </c>
      <c r="C47" t="s">
        <v>1270</v>
      </c>
      <c r="F47" s="7" t="s">
        <v>1471</v>
      </c>
    </row>
    <row r="48" spans="2:11" x14ac:dyDescent="0.45">
      <c r="B48" t="s">
        <v>446</v>
      </c>
      <c r="C48" t="s">
        <v>1271</v>
      </c>
      <c r="F48" s="7" t="s">
        <v>1472</v>
      </c>
    </row>
    <row r="49" spans="2:11" x14ac:dyDescent="0.45">
      <c r="B49" t="s">
        <v>447</v>
      </c>
      <c r="C49" t="s">
        <v>1272</v>
      </c>
      <c r="F49" s="7" t="s">
        <v>1473</v>
      </c>
    </row>
    <row r="50" spans="2:11" x14ac:dyDescent="0.45">
      <c r="B50" t="s">
        <v>448</v>
      </c>
      <c r="C50" t="s">
        <v>449</v>
      </c>
      <c r="F50" s="7" t="s">
        <v>1474</v>
      </c>
      <c r="K50" t="s">
        <v>8</v>
      </c>
    </row>
    <row r="51" spans="2:11" x14ac:dyDescent="0.45">
      <c r="B51" t="s">
        <v>451</v>
      </c>
      <c r="C51" t="s">
        <v>1273</v>
      </c>
      <c r="F51" s="7"/>
    </row>
    <row r="52" spans="2:11" x14ac:dyDescent="0.45">
      <c r="B52" t="s">
        <v>452</v>
      </c>
      <c r="C52" t="s">
        <v>1274</v>
      </c>
      <c r="F52" s="7" t="s">
        <v>1475</v>
      </c>
    </row>
    <row r="53" spans="2:11" x14ac:dyDescent="0.45">
      <c r="B53" t="s">
        <v>453</v>
      </c>
      <c r="C53" t="s">
        <v>1275</v>
      </c>
      <c r="F53" s="7" t="s">
        <v>1476</v>
      </c>
    </row>
    <row r="54" spans="2:11" x14ac:dyDescent="0.45">
      <c r="B54" t="s">
        <v>455</v>
      </c>
      <c r="C54" t="s">
        <v>456</v>
      </c>
      <c r="D54" s="1"/>
      <c r="E54" s="1"/>
      <c r="F54" s="7" t="s">
        <v>1477</v>
      </c>
    </row>
    <row r="55" spans="2:11" x14ac:dyDescent="0.45">
      <c r="B55" t="s">
        <v>459</v>
      </c>
      <c r="C55" t="s">
        <v>460</v>
      </c>
      <c r="F55" s="7" t="s">
        <v>1478</v>
      </c>
      <c r="K55" t="s">
        <v>8</v>
      </c>
    </row>
    <row r="56" spans="2:11" x14ac:dyDescent="0.45">
      <c r="B56" t="s">
        <v>461</v>
      </c>
      <c r="C56" t="s">
        <v>1276</v>
      </c>
      <c r="F56" s="7" t="s">
        <v>1479</v>
      </c>
    </row>
    <row r="57" spans="2:11" x14ac:dyDescent="0.45">
      <c r="B57" t="s">
        <v>462</v>
      </c>
      <c r="C57" t="s">
        <v>1277</v>
      </c>
      <c r="F57" s="7" t="s">
        <v>1480</v>
      </c>
    </row>
    <row r="58" spans="2:11" x14ac:dyDescent="0.45">
      <c r="B58" t="s">
        <v>463</v>
      </c>
      <c r="C58" t="s">
        <v>704</v>
      </c>
      <c r="F58" s="7" t="s">
        <v>1442</v>
      </c>
    </row>
    <row r="59" spans="2:11" x14ac:dyDescent="0.45">
      <c r="B59" t="s">
        <v>464</v>
      </c>
      <c r="C59" t="s">
        <v>1278</v>
      </c>
      <c r="F59" s="7" t="s">
        <v>1481</v>
      </c>
      <c r="K59" t="s">
        <v>8</v>
      </c>
    </row>
    <row r="60" spans="2:11" x14ac:dyDescent="0.45">
      <c r="B60" t="s">
        <v>465</v>
      </c>
      <c r="C60" t="s">
        <v>1279</v>
      </c>
      <c r="F60" s="7" t="s">
        <v>1482</v>
      </c>
      <c r="K60" t="s">
        <v>11</v>
      </c>
    </row>
    <row r="61" spans="2:11" x14ac:dyDescent="0.45">
      <c r="B61" t="s">
        <v>466</v>
      </c>
      <c r="C61" t="s">
        <v>467</v>
      </c>
      <c r="F61" s="7" t="s">
        <v>1483</v>
      </c>
      <c r="K61" t="s">
        <v>8</v>
      </c>
    </row>
    <row r="62" spans="2:11" x14ac:dyDescent="0.45">
      <c r="B62" t="s">
        <v>469</v>
      </c>
      <c r="C62" t="s">
        <v>1280</v>
      </c>
      <c r="F62" s="7" t="s">
        <v>1484</v>
      </c>
    </row>
    <row r="63" spans="2:11" x14ac:dyDescent="0.45">
      <c r="B63" t="s">
        <v>470</v>
      </c>
      <c r="C63" t="s">
        <v>1281</v>
      </c>
      <c r="F63" s="7" t="s">
        <v>1485</v>
      </c>
    </row>
    <row r="64" spans="2:11" x14ac:dyDescent="0.45">
      <c r="B64" t="s">
        <v>471</v>
      </c>
      <c r="C64" t="s">
        <v>1282</v>
      </c>
      <c r="F64" s="7" t="s">
        <v>1486</v>
      </c>
    </row>
    <row r="65" spans="2:12" x14ac:dyDescent="0.45">
      <c r="B65" t="s">
        <v>472</v>
      </c>
      <c r="C65" t="s">
        <v>1283</v>
      </c>
      <c r="F65" s="7" t="s">
        <v>1487</v>
      </c>
      <c r="K65" t="s">
        <v>8</v>
      </c>
      <c r="L65" t="s">
        <v>320</v>
      </c>
    </row>
    <row r="66" spans="2:12" x14ac:dyDescent="0.45">
      <c r="B66" t="s">
        <v>465</v>
      </c>
      <c r="C66" t="s">
        <v>1279</v>
      </c>
      <c r="F66" s="7" t="s">
        <v>1482</v>
      </c>
      <c r="K66" t="s">
        <v>11</v>
      </c>
    </row>
    <row r="67" spans="2:12" x14ac:dyDescent="0.45">
      <c r="B67" t="s">
        <v>473</v>
      </c>
      <c r="C67" t="s">
        <v>1284</v>
      </c>
      <c r="F67" s="7" t="s">
        <v>1488</v>
      </c>
    </row>
    <row r="68" spans="2:12" x14ac:dyDescent="0.45">
      <c r="B68" t="s">
        <v>476</v>
      </c>
      <c r="C68" t="s">
        <v>1285</v>
      </c>
      <c r="F68" s="7" t="s">
        <v>1489</v>
      </c>
    </row>
    <row r="69" spans="2:12" x14ac:dyDescent="0.45">
      <c r="B69" t="s">
        <v>477</v>
      </c>
      <c r="C69" t="s">
        <v>1286</v>
      </c>
      <c r="F69" s="7"/>
    </row>
    <row r="70" spans="2:12" x14ac:dyDescent="0.45">
      <c r="B70" t="s">
        <v>478</v>
      </c>
      <c r="C70" t="s">
        <v>1287</v>
      </c>
      <c r="F70" s="7" t="s">
        <v>1490</v>
      </c>
    </row>
    <row r="71" spans="2:12" x14ac:dyDescent="0.45">
      <c r="B71" t="s">
        <v>479</v>
      </c>
      <c r="C71" t="s">
        <v>1288</v>
      </c>
      <c r="F71" s="7" t="s">
        <v>1491</v>
      </c>
    </row>
    <row r="72" spans="2:12" x14ac:dyDescent="0.45">
      <c r="B72" t="s">
        <v>480</v>
      </c>
      <c r="C72" t="s">
        <v>1289</v>
      </c>
      <c r="F72" s="7" t="s">
        <v>1492</v>
      </c>
    </row>
    <row r="73" spans="2:12" x14ac:dyDescent="0.45">
      <c r="B73" t="s">
        <v>481</v>
      </c>
      <c r="C73" t="s">
        <v>482</v>
      </c>
      <c r="F73" s="7" t="s">
        <v>1493</v>
      </c>
      <c r="K73" t="s">
        <v>8</v>
      </c>
    </row>
    <row r="74" spans="2:12" x14ac:dyDescent="0.45">
      <c r="B74" t="s">
        <v>483</v>
      </c>
      <c r="C74" t="s">
        <v>1290</v>
      </c>
      <c r="F74" s="7" t="s">
        <v>1494</v>
      </c>
    </row>
    <row r="75" spans="2:12" x14ac:dyDescent="0.45">
      <c r="B75" t="s">
        <v>484</v>
      </c>
      <c r="C75" t="s">
        <v>1291</v>
      </c>
      <c r="F75" s="7" t="s">
        <v>1495</v>
      </c>
    </row>
    <row r="76" spans="2:12" x14ac:dyDescent="0.45">
      <c r="B76" t="s">
        <v>485</v>
      </c>
      <c r="C76" t="s">
        <v>1292</v>
      </c>
      <c r="F76" s="7" t="s">
        <v>1496</v>
      </c>
    </row>
    <row r="77" spans="2:12" x14ac:dyDescent="0.45">
      <c r="B77" t="s">
        <v>487</v>
      </c>
      <c r="C77" t="s">
        <v>1293</v>
      </c>
      <c r="F77" s="7" t="s">
        <v>1497</v>
      </c>
      <c r="K77" t="s">
        <v>11</v>
      </c>
    </row>
    <row r="78" spans="2:12" x14ac:dyDescent="0.45">
      <c r="B78" t="s">
        <v>488</v>
      </c>
      <c r="C78" t="s">
        <v>112</v>
      </c>
      <c r="F78" s="7" t="s">
        <v>1498</v>
      </c>
      <c r="K78" t="s">
        <v>11</v>
      </c>
    </row>
    <row r="79" spans="2:12" x14ac:dyDescent="0.45">
      <c r="B79" t="s">
        <v>490</v>
      </c>
      <c r="C79" t="s">
        <v>740</v>
      </c>
      <c r="F79" s="7"/>
      <c r="K79" t="s">
        <v>8</v>
      </c>
    </row>
    <row r="80" spans="2:12" x14ac:dyDescent="0.45">
      <c r="B80" t="s">
        <v>491</v>
      </c>
      <c r="C80" t="s">
        <v>1294</v>
      </c>
      <c r="F80" s="7" t="s">
        <v>1499</v>
      </c>
      <c r="K80" t="s">
        <v>8</v>
      </c>
    </row>
    <row r="81" spans="2:13" x14ac:dyDescent="0.45">
      <c r="B81" t="s">
        <v>492</v>
      </c>
      <c r="C81" t="s">
        <v>1295</v>
      </c>
      <c r="F81" s="7" t="s">
        <v>1500</v>
      </c>
    </row>
    <row r="82" spans="2:13" x14ac:dyDescent="0.45">
      <c r="B82" t="s">
        <v>493</v>
      </c>
      <c r="C82" t="s">
        <v>1296</v>
      </c>
      <c r="F82" s="7" t="s">
        <v>1501</v>
      </c>
      <c r="K82" t="s">
        <v>8</v>
      </c>
      <c r="L82" t="s">
        <v>150</v>
      </c>
    </row>
    <row r="83" spans="2:13" x14ac:dyDescent="0.45">
      <c r="B83" t="s">
        <v>494</v>
      </c>
      <c r="C83" t="s">
        <v>1297</v>
      </c>
      <c r="F83" s="7" t="s">
        <v>1502</v>
      </c>
      <c r="K83" t="s">
        <v>11</v>
      </c>
      <c r="M83" t="s">
        <v>674</v>
      </c>
    </row>
    <row r="84" spans="2:13" x14ac:dyDescent="0.45">
      <c r="B84" t="s">
        <v>495</v>
      </c>
      <c r="C84" t="s">
        <v>1298</v>
      </c>
      <c r="F84" s="7" t="s">
        <v>1503</v>
      </c>
    </row>
    <row r="85" spans="2:13" x14ac:dyDescent="0.45">
      <c r="B85" t="s">
        <v>496</v>
      </c>
      <c r="C85" t="s">
        <v>1299</v>
      </c>
      <c r="F85" s="7" t="s">
        <v>1504</v>
      </c>
      <c r="K85" t="s">
        <v>8</v>
      </c>
    </row>
    <row r="86" spans="2:13" x14ac:dyDescent="0.45">
      <c r="B86" t="s">
        <v>497</v>
      </c>
      <c r="C86" t="s">
        <v>498</v>
      </c>
      <c r="F86" s="7" t="s">
        <v>1505</v>
      </c>
    </row>
    <row r="87" spans="2:13" x14ac:dyDescent="0.45">
      <c r="B87" t="s">
        <v>499</v>
      </c>
      <c r="C87" t="s">
        <v>1300</v>
      </c>
      <c r="F87" s="7" t="s">
        <v>1506</v>
      </c>
      <c r="K87" t="s">
        <v>8</v>
      </c>
    </row>
    <row r="88" spans="2:13" x14ac:dyDescent="0.45">
      <c r="B88" t="s">
        <v>500</v>
      </c>
      <c r="C88" t="s">
        <v>1301</v>
      </c>
      <c r="F88" s="7" t="s">
        <v>1507</v>
      </c>
    </row>
    <row r="89" spans="2:13" x14ac:dyDescent="0.45">
      <c r="B89" t="s">
        <v>501</v>
      </c>
      <c r="C89" t="s">
        <v>1302</v>
      </c>
      <c r="F89" s="7" t="s">
        <v>1508</v>
      </c>
      <c r="K89" t="s">
        <v>8</v>
      </c>
    </row>
    <row r="90" spans="2:13" x14ac:dyDescent="0.45">
      <c r="B90" t="s">
        <v>502</v>
      </c>
      <c r="C90" t="s">
        <v>1303</v>
      </c>
      <c r="F90" s="7" t="s">
        <v>1509</v>
      </c>
    </row>
    <row r="91" spans="2:13" x14ac:dyDescent="0.45">
      <c r="B91" t="s">
        <v>503</v>
      </c>
      <c r="C91" t="s">
        <v>1304</v>
      </c>
      <c r="F91" s="7" t="s">
        <v>1510</v>
      </c>
    </row>
    <row r="92" spans="2:13" x14ac:dyDescent="0.45">
      <c r="B92" t="s">
        <v>504</v>
      </c>
      <c r="C92" t="s">
        <v>1305</v>
      </c>
      <c r="F92" s="7" t="s">
        <v>1511</v>
      </c>
      <c r="K92" t="s">
        <v>11</v>
      </c>
      <c r="M92" t="s">
        <v>674</v>
      </c>
    </row>
    <row r="93" spans="2:13" x14ac:dyDescent="0.45">
      <c r="B93" t="s">
        <v>505</v>
      </c>
      <c r="C93" t="s">
        <v>1306</v>
      </c>
      <c r="F93" s="7" t="s">
        <v>1512</v>
      </c>
    </row>
    <row r="94" spans="2:13" x14ac:dyDescent="0.45">
      <c r="B94" t="s">
        <v>506</v>
      </c>
      <c r="C94" t="s">
        <v>1307</v>
      </c>
      <c r="F94" s="7"/>
      <c r="K94" t="s">
        <v>11</v>
      </c>
    </row>
    <row r="95" spans="2:13" x14ac:dyDescent="0.45">
      <c r="B95" t="s">
        <v>507</v>
      </c>
      <c r="C95" t="s">
        <v>1308</v>
      </c>
      <c r="F95" s="7" t="s">
        <v>1513</v>
      </c>
    </row>
    <row r="96" spans="2:13" x14ac:dyDescent="0.45">
      <c r="B96" t="s">
        <v>508</v>
      </c>
      <c r="C96" t="s">
        <v>1309</v>
      </c>
      <c r="F96" s="7" t="s">
        <v>1514</v>
      </c>
      <c r="K96" t="s">
        <v>8</v>
      </c>
    </row>
    <row r="97" spans="2:13" x14ac:dyDescent="0.45">
      <c r="B97" t="s">
        <v>509</v>
      </c>
      <c r="C97" t="s">
        <v>1310</v>
      </c>
      <c r="F97" s="7" t="s">
        <v>1515</v>
      </c>
    </row>
    <row r="98" spans="2:13" x14ac:dyDescent="0.45">
      <c r="B98" t="s">
        <v>510</v>
      </c>
      <c r="C98" t="s">
        <v>1311</v>
      </c>
      <c r="F98" s="7" t="s">
        <v>1516</v>
      </c>
      <c r="K98" t="s">
        <v>8</v>
      </c>
    </row>
    <row r="99" spans="2:13" x14ac:dyDescent="0.45">
      <c r="B99" t="s">
        <v>511</v>
      </c>
      <c r="C99" t="s">
        <v>1312</v>
      </c>
      <c r="F99" s="7" t="s">
        <v>1517</v>
      </c>
    </row>
    <row r="100" spans="2:13" x14ac:dyDescent="0.45">
      <c r="B100" t="s">
        <v>512</v>
      </c>
      <c r="C100" t="s">
        <v>1313</v>
      </c>
      <c r="F100" s="7" t="s">
        <v>1518</v>
      </c>
      <c r="K100" t="s">
        <v>8</v>
      </c>
    </row>
    <row r="101" spans="2:13" x14ac:dyDescent="0.45">
      <c r="B101" t="s">
        <v>513</v>
      </c>
      <c r="C101" t="s">
        <v>1314</v>
      </c>
      <c r="F101" s="7" t="s">
        <v>1519</v>
      </c>
    </row>
    <row r="102" spans="2:13" x14ac:dyDescent="0.45">
      <c r="B102" t="s">
        <v>514</v>
      </c>
      <c r="C102" t="s">
        <v>1315</v>
      </c>
      <c r="F102" s="7" t="s">
        <v>1520</v>
      </c>
      <c r="K102" t="s">
        <v>8</v>
      </c>
    </row>
    <row r="103" spans="2:13" x14ac:dyDescent="0.45">
      <c r="B103" t="s">
        <v>515</v>
      </c>
      <c r="C103" t="s">
        <v>1316</v>
      </c>
      <c r="F103" s="7" t="s">
        <v>1521</v>
      </c>
      <c r="K103" t="s">
        <v>11</v>
      </c>
      <c r="M103" t="s">
        <v>674</v>
      </c>
    </row>
    <row r="104" spans="2:13" x14ac:dyDescent="0.45">
      <c r="B104" t="s">
        <v>516</v>
      </c>
      <c r="C104" t="s">
        <v>1317</v>
      </c>
      <c r="F104" s="7" t="s">
        <v>1522</v>
      </c>
      <c r="K104" t="s">
        <v>11</v>
      </c>
      <c r="M104" t="s">
        <v>676</v>
      </c>
    </row>
    <row r="105" spans="2:13" x14ac:dyDescent="0.45">
      <c r="B105" t="s">
        <v>517</v>
      </c>
      <c r="C105" t="s">
        <v>1318</v>
      </c>
      <c r="F105" s="7" t="s">
        <v>1523</v>
      </c>
    </row>
    <row r="106" spans="2:13" x14ac:dyDescent="0.45">
      <c r="B106" t="s">
        <v>518</v>
      </c>
      <c r="C106" t="s">
        <v>1319</v>
      </c>
      <c r="F106" s="7" t="s">
        <v>1524</v>
      </c>
      <c r="K106" t="s">
        <v>8</v>
      </c>
    </row>
    <row r="107" spans="2:13" x14ac:dyDescent="0.45">
      <c r="B107" t="s">
        <v>520</v>
      </c>
      <c r="C107" t="s">
        <v>1320</v>
      </c>
      <c r="F107" s="7" t="s">
        <v>1525</v>
      </c>
    </row>
    <row r="108" spans="2:13" x14ac:dyDescent="0.45">
      <c r="B108" t="s">
        <v>521</v>
      </c>
      <c r="C108" t="s">
        <v>1321</v>
      </c>
      <c r="F108" s="7" t="s">
        <v>1526</v>
      </c>
    </row>
    <row r="109" spans="2:13" x14ac:dyDescent="0.45">
      <c r="B109" t="s">
        <v>522</v>
      </c>
      <c r="C109" t="s">
        <v>1322</v>
      </c>
      <c r="F109" s="7" t="s">
        <v>1527</v>
      </c>
    </row>
    <row r="110" spans="2:13" x14ac:dyDescent="0.45">
      <c r="B110" t="s">
        <v>523</v>
      </c>
      <c r="C110" t="s">
        <v>1323</v>
      </c>
      <c r="F110" s="7" t="s">
        <v>1528</v>
      </c>
      <c r="K110" t="s">
        <v>8</v>
      </c>
    </row>
    <row r="111" spans="2:13" x14ac:dyDescent="0.45">
      <c r="B111" t="s">
        <v>524</v>
      </c>
      <c r="C111" t="s">
        <v>1324</v>
      </c>
      <c r="F111" s="7" t="s">
        <v>1529</v>
      </c>
    </row>
    <row r="112" spans="2:13" x14ac:dyDescent="0.45">
      <c r="B112" t="s">
        <v>525</v>
      </c>
      <c r="C112" t="s">
        <v>1325</v>
      </c>
      <c r="F112" s="7" t="s">
        <v>1530</v>
      </c>
    </row>
    <row r="113" spans="2:13" x14ac:dyDescent="0.45">
      <c r="B113" t="s">
        <v>527</v>
      </c>
      <c r="C113" t="s">
        <v>1326</v>
      </c>
      <c r="F113" s="7" t="s">
        <v>1531</v>
      </c>
      <c r="K113" t="s">
        <v>11</v>
      </c>
      <c r="M113" t="s">
        <v>674</v>
      </c>
    </row>
    <row r="114" spans="2:13" x14ac:dyDescent="0.45">
      <c r="B114" t="s">
        <v>528</v>
      </c>
      <c r="C114" t="s">
        <v>1327</v>
      </c>
      <c r="F114" s="7" t="s">
        <v>1532</v>
      </c>
    </row>
    <row r="115" spans="2:13" x14ac:dyDescent="0.45">
      <c r="B115" t="s">
        <v>529</v>
      </c>
      <c r="C115" t="s">
        <v>530</v>
      </c>
      <c r="F115" s="7" t="s">
        <v>1533</v>
      </c>
      <c r="K115" t="s">
        <v>8</v>
      </c>
    </row>
    <row r="116" spans="2:13" x14ac:dyDescent="0.45">
      <c r="B116" t="s">
        <v>531</v>
      </c>
      <c r="C116" t="s">
        <v>1328</v>
      </c>
      <c r="F116" s="7" t="s">
        <v>1534</v>
      </c>
    </row>
    <row r="117" spans="2:13" x14ac:dyDescent="0.45">
      <c r="B117" t="s">
        <v>532</v>
      </c>
      <c r="C117" t="s">
        <v>1329</v>
      </c>
      <c r="F117" s="7" t="s">
        <v>1535</v>
      </c>
      <c r="K117" t="s">
        <v>8</v>
      </c>
    </row>
    <row r="118" spans="2:13" x14ac:dyDescent="0.45">
      <c r="B118" t="s">
        <v>533</v>
      </c>
      <c r="C118" t="s">
        <v>1330</v>
      </c>
      <c r="F118" s="7" t="s">
        <v>1536</v>
      </c>
    </row>
    <row r="119" spans="2:13" x14ac:dyDescent="0.45">
      <c r="B119" t="s">
        <v>534</v>
      </c>
      <c r="C119" t="s">
        <v>1331</v>
      </c>
      <c r="F119" s="7" t="s">
        <v>1537</v>
      </c>
      <c r="K119" t="s">
        <v>8</v>
      </c>
    </row>
    <row r="120" spans="2:13" x14ac:dyDescent="0.45">
      <c r="B120" t="s">
        <v>535</v>
      </c>
      <c r="C120" t="s">
        <v>1332</v>
      </c>
      <c r="F120" s="7" t="s">
        <v>1538</v>
      </c>
    </row>
    <row r="121" spans="2:13" x14ac:dyDescent="0.45">
      <c r="B121" t="s">
        <v>536</v>
      </c>
      <c r="C121" t="s">
        <v>1333</v>
      </c>
      <c r="F121" s="7" t="s">
        <v>1539</v>
      </c>
    </row>
    <row r="122" spans="2:13" x14ac:dyDescent="0.45">
      <c r="B122" t="s">
        <v>538</v>
      </c>
      <c r="C122" t="s">
        <v>1334</v>
      </c>
      <c r="F122" s="7" t="s">
        <v>1540</v>
      </c>
    </row>
    <row r="123" spans="2:13" x14ac:dyDescent="0.45">
      <c r="B123" t="s">
        <v>539</v>
      </c>
      <c r="C123" t="s">
        <v>1335</v>
      </c>
      <c r="F123" s="7" t="s">
        <v>1541</v>
      </c>
      <c r="K123" t="s">
        <v>8</v>
      </c>
    </row>
    <row r="124" spans="2:13" x14ac:dyDescent="0.45">
      <c r="B124" t="s">
        <v>540</v>
      </c>
      <c r="C124" t="s">
        <v>1336</v>
      </c>
      <c r="F124" s="7" t="s">
        <v>1542</v>
      </c>
      <c r="K124" t="s">
        <v>8</v>
      </c>
    </row>
    <row r="125" spans="2:13" x14ac:dyDescent="0.45">
      <c r="B125" t="s">
        <v>541</v>
      </c>
      <c r="C125" t="s">
        <v>1337</v>
      </c>
      <c r="F125" s="7" t="s">
        <v>1543</v>
      </c>
    </row>
    <row r="126" spans="2:13" x14ac:dyDescent="0.45">
      <c r="B126" t="s">
        <v>543</v>
      </c>
      <c r="C126" t="s">
        <v>1338</v>
      </c>
      <c r="F126" s="7" t="s">
        <v>1544</v>
      </c>
    </row>
    <row r="127" spans="2:13" x14ac:dyDescent="0.45">
      <c r="B127" t="s">
        <v>544</v>
      </c>
      <c r="C127" t="s">
        <v>1339</v>
      </c>
      <c r="F127" s="7" t="s">
        <v>1545</v>
      </c>
    </row>
    <row r="128" spans="2:13" x14ac:dyDescent="0.45">
      <c r="B128" t="s">
        <v>545</v>
      </c>
      <c r="C128" t="s">
        <v>1340</v>
      </c>
      <c r="F128" s="7" t="s">
        <v>1546</v>
      </c>
    </row>
    <row r="129" spans="2:13" x14ac:dyDescent="0.45">
      <c r="B129" t="s">
        <v>546</v>
      </c>
      <c r="C129" t="s">
        <v>1341</v>
      </c>
      <c r="F129" s="7" t="s">
        <v>1547</v>
      </c>
    </row>
    <row r="130" spans="2:13" x14ac:dyDescent="0.45">
      <c r="B130" t="s">
        <v>547</v>
      </c>
      <c r="C130" t="s">
        <v>1342</v>
      </c>
      <c r="F130" s="7" t="s">
        <v>1548</v>
      </c>
      <c r="M130" t="s">
        <v>677</v>
      </c>
    </row>
    <row r="131" spans="2:13" x14ac:dyDescent="0.45">
      <c r="B131" t="s">
        <v>548</v>
      </c>
      <c r="C131" t="s">
        <v>1343</v>
      </c>
      <c r="F131" s="7" t="s">
        <v>1549</v>
      </c>
    </row>
    <row r="132" spans="2:13" x14ac:dyDescent="0.45">
      <c r="B132" t="s">
        <v>549</v>
      </c>
      <c r="C132" t="s">
        <v>1344</v>
      </c>
      <c r="F132" s="7" t="s">
        <v>1550</v>
      </c>
      <c r="K132" t="s">
        <v>8</v>
      </c>
    </row>
    <row r="133" spans="2:13" x14ac:dyDescent="0.45">
      <c r="B133" t="s">
        <v>550</v>
      </c>
      <c r="C133" t="s">
        <v>1345</v>
      </c>
      <c r="F133" s="7" t="s">
        <v>1551</v>
      </c>
    </row>
    <row r="134" spans="2:13" x14ac:dyDescent="0.45">
      <c r="B134" t="s">
        <v>551</v>
      </c>
      <c r="C134" t="s">
        <v>1346</v>
      </c>
      <c r="F134" s="7" t="s">
        <v>1552</v>
      </c>
      <c r="K134" t="s">
        <v>8</v>
      </c>
    </row>
    <row r="135" spans="2:13" x14ac:dyDescent="0.45">
      <c r="B135" t="s">
        <v>552</v>
      </c>
      <c r="C135" t="s">
        <v>1347</v>
      </c>
      <c r="F135" s="7" t="s">
        <v>1553</v>
      </c>
    </row>
    <row r="136" spans="2:13" x14ac:dyDescent="0.45">
      <c r="B136" t="s">
        <v>554</v>
      </c>
      <c r="C136" t="s">
        <v>1348</v>
      </c>
      <c r="F136" s="7" t="s">
        <v>1554</v>
      </c>
      <c r="K136" t="s">
        <v>8</v>
      </c>
    </row>
    <row r="137" spans="2:13" x14ac:dyDescent="0.45">
      <c r="B137" t="s">
        <v>555</v>
      </c>
      <c r="C137" t="s">
        <v>1349</v>
      </c>
      <c r="F137" s="7" t="s">
        <v>1555</v>
      </c>
      <c r="K137" t="s">
        <v>8</v>
      </c>
    </row>
    <row r="138" spans="2:13" x14ac:dyDescent="0.45">
      <c r="B138" t="s">
        <v>556</v>
      </c>
      <c r="C138" t="s">
        <v>1350</v>
      </c>
      <c r="F138" s="7" t="s">
        <v>1556</v>
      </c>
    </row>
    <row r="139" spans="2:13" x14ac:dyDescent="0.45">
      <c r="B139" t="s">
        <v>557</v>
      </c>
      <c r="C139" t="s">
        <v>558</v>
      </c>
      <c r="F139" s="7" t="s">
        <v>1557</v>
      </c>
      <c r="K139" t="s">
        <v>11</v>
      </c>
    </row>
    <row r="140" spans="2:13" x14ac:dyDescent="0.45">
      <c r="B140" t="s">
        <v>559</v>
      </c>
      <c r="C140" t="s">
        <v>558</v>
      </c>
      <c r="F140" s="7" t="s">
        <v>1557</v>
      </c>
      <c r="K140" t="s">
        <v>11</v>
      </c>
    </row>
    <row r="141" spans="2:13" x14ac:dyDescent="0.45">
      <c r="B141" t="s">
        <v>560</v>
      </c>
      <c r="C141" t="s">
        <v>1351</v>
      </c>
      <c r="F141" s="7" t="s">
        <v>1558</v>
      </c>
      <c r="K141" t="s">
        <v>8</v>
      </c>
    </row>
    <row r="142" spans="2:13" x14ac:dyDescent="0.45">
      <c r="B142" t="s">
        <v>561</v>
      </c>
      <c r="C142" t="s">
        <v>1352</v>
      </c>
      <c r="F142" s="7" t="s">
        <v>1559</v>
      </c>
      <c r="K142" t="s">
        <v>8</v>
      </c>
    </row>
    <row r="143" spans="2:13" x14ac:dyDescent="0.45">
      <c r="B143" t="s">
        <v>562</v>
      </c>
      <c r="C143" t="s">
        <v>1353</v>
      </c>
      <c r="F143" s="7" t="s">
        <v>1560</v>
      </c>
    </row>
    <row r="144" spans="2:13" x14ac:dyDescent="0.45">
      <c r="B144" t="s">
        <v>563</v>
      </c>
      <c r="C144" t="s">
        <v>1354</v>
      </c>
      <c r="F144" s="7" t="s">
        <v>1561</v>
      </c>
    </row>
    <row r="145" spans="2:13" x14ac:dyDescent="0.45">
      <c r="B145" t="s">
        <v>564</v>
      </c>
      <c r="C145" t="s">
        <v>407</v>
      </c>
      <c r="F145" s="7" t="s">
        <v>1451</v>
      </c>
      <c r="K145" t="s">
        <v>11</v>
      </c>
    </row>
    <row r="146" spans="2:13" x14ac:dyDescent="0.45">
      <c r="B146" t="s">
        <v>565</v>
      </c>
      <c r="C146" t="s">
        <v>1355</v>
      </c>
      <c r="F146" s="7" t="s">
        <v>1562</v>
      </c>
      <c r="K146" t="s">
        <v>11</v>
      </c>
      <c r="M146" t="s">
        <v>674</v>
      </c>
    </row>
    <row r="147" spans="2:13" x14ac:dyDescent="0.45">
      <c r="B147" t="s">
        <v>566</v>
      </c>
      <c r="C147" t="s">
        <v>1356</v>
      </c>
      <c r="F147" s="7" t="s">
        <v>1563</v>
      </c>
      <c r="K147" t="s">
        <v>8</v>
      </c>
    </row>
    <row r="148" spans="2:13" x14ac:dyDescent="0.45">
      <c r="B148" t="s">
        <v>567</v>
      </c>
      <c r="C148" t="s">
        <v>1357</v>
      </c>
      <c r="F148" s="7" t="s">
        <v>1564</v>
      </c>
      <c r="K148" t="s">
        <v>8</v>
      </c>
    </row>
    <row r="149" spans="2:13" x14ac:dyDescent="0.45">
      <c r="B149" t="s">
        <v>568</v>
      </c>
      <c r="C149" t="s">
        <v>1358</v>
      </c>
      <c r="F149" s="7" t="s">
        <v>1565</v>
      </c>
    </row>
    <row r="150" spans="2:13" x14ac:dyDescent="0.45">
      <c r="B150" t="s">
        <v>569</v>
      </c>
      <c r="C150" t="s">
        <v>1359</v>
      </c>
      <c r="F150" s="7" t="s">
        <v>1566</v>
      </c>
      <c r="K150" t="s">
        <v>8</v>
      </c>
    </row>
    <row r="151" spans="2:13" x14ac:dyDescent="0.45">
      <c r="B151" t="s">
        <v>570</v>
      </c>
      <c r="C151" t="s">
        <v>1360</v>
      </c>
      <c r="F151" s="7" t="s">
        <v>1567</v>
      </c>
      <c r="K151" t="s">
        <v>11</v>
      </c>
    </row>
    <row r="152" spans="2:13" x14ac:dyDescent="0.45">
      <c r="B152" t="s">
        <v>571</v>
      </c>
      <c r="C152" t="s">
        <v>1274</v>
      </c>
      <c r="F152" s="7" t="s">
        <v>1475</v>
      </c>
    </row>
    <row r="153" spans="2:13" x14ac:dyDescent="0.45">
      <c r="B153" t="s">
        <v>572</v>
      </c>
      <c r="C153" t="s">
        <v>1361</v>
      </c>
      <c r="F153" s="7" t="s">
        <v>1568</v>
      </c>
    </row>
    <row r="154" spans="2:13" x14ac:dyDescent="0.45">
      <c r="B154" t="s">
        <v>573</v>
      </c>
      <c r="C154" t="s">
        <v>1362</v>
      </c>
      <c r="F154" s="7" t="s">
        <v>1569</v>
      </c>
    </row>
    <row r="155" spans="2:13" x14ac:dyDescent="0.45">
      <c r="B155" t="s">
        <v>574</v>
      </c>
      <c r="C155" t="s">
        <v>1363</v>
      </c>
      <c r="F155" s="7" t="s">
        <v>1570</v>
      </c>
      <c r="K155" t="s">
        <v>8</v>
      </c>
    </row>
    <row r="156" spans="2:13" x14ac:dyDescent="0.45">
      <c r="B156" t="s">
        <v>575</v>
      </c>
      <c r="C156" t="s">
        <v>1364</v>
      </c>
      <c r="F156" s="7" t="s">
        <v>1571</v>
      </c>
      <c r="K156" t="s">
        <v>11</v>
      </c>
    </row>
    <row r="157" spans="2:13" x14ac:dyDescent="0.45">
      <c r="B157" t="s">
        <v>576</v>
      </c>
      <c r="C157" t="s">
        <v>1365</v>
      </c>
      <c r="F157" s="7" t="s">
        <v>1572</v>
      </c>
    </row>
    <row r="158" spans="2:13" x14ac:dyDescent="0.45">
      <c r="B158" t="s">
        <v>577</v>
      </c>
      <c r="C158" t="s">
        <v>1366</v>
      </c>
      <c r="F158" s="7" t="s">
        <v>1573</v>
      </c>
    </row>
    <row r="159" spans="2:13" x14ac:dyDescent="0.45">
      <c r="B159" t="s">
        <v>578</v>
      </c>
      <c r="C159" t="s">
        <v>1367</v>
      </c>
      <c r="F159" s="7" t="s">
        <v>1574</v>
      </c>
    </row>
    <row r="160" spans="2:13" x14ac:dyDescent="0.45">
      <c r="B160" t="s">
        <v>579</v>
      </c>
      <c r="C160" t="s">
        <v>1368</v>
      </c>
      <c r="F160" s="7" t="s">
        <v>1575</v>
      </c>
    </row>
    <row r="161" spans="1:11" x14ac:dyDescent="0.45">
      <c r="B161" t="s">
        <v>580</v>
      </c>
      <c r="C161" t="s">
        <v>581</v>
      </c>
      <c r="F161" s="7" t="s">
        <v>1576</v>
      </c>
      <c r="K161" t="s">
        <v>8</v>
      </c>
    </row>
    <row r="162" spans="1:11" x14ac:dyDescent="0.45">
      <c r="B162" t="s">
        <v>582</v>
      </c>
      <c r="C162" t="s">
        <v>1369</v>
      </c>
      <c r="F162" s="7" t="s">
        <v>1577</v>
      </c>
      <c r="K162" t="s">
        <v>11</v>
      </c>
    </row>
    <row r="163" spans="1:11" x14ac:dyDescent="0.45">
      <c r="B163" t="s">
        <v>583</v>
      </c>
      <c r="C163" t="s">
        <v>1369</v>
      </c>
      <c r="F163" s="7" t="s">
        <v>1577</v>
      </c>
      <c r="K163" t="s">
        <v>11</v>
      </c>
    </row>
    <row r="164" spans="1:11" x14ac:dyDescent="0.45">
      <c r="B164" t="s">
        <v>584</v>
      </c>
      <c r="C164" t="s">
        <v>1370</v>
      </c>
      <c r="F164" s="7" t="s">
        <v>1578</v>
      </c>
      <c r="K164" t="s">
        <v>11</v>
      </c>
    </row>
    <row r="165" spans="1:11" x14ac:dyDescent="0.45">
      <c r="B165" t="s">
        <v>585</v>
      </c>
      <c r="C165" t="s">
        <v>1371</v>
      </c>
      <c r="F165" s="7" t="s">
        <v>1579</v>
      </c>
      <c r="K165" t="s">
        <v>8</v>
      </c>
    </row>
    <row r="166" spans="1:11" x14ac:dyDescent="0.45">
      <c r="B166" t="s">
        <v>586</v>
      </c>
      <c r="C166" t="s">
        <v>1372</v>
      </c>
      <c r="F166" s="7" t="s">
        <v>1580</v>
      </c>
      <c r="K166" t="s">
        <v>8</v>
      </c>
    </row>
    <row r="167" spans="1:11" x14ac:dyDescent="0.45">
      <c r="B167" t="s">
        <v>587</v>
      </c>
      <c r="C167" t="s">
        <v>1373</v>
      </c>
      <c r="F167" s="7" t="s">
        <v>1581</v>
      </c>
    </row>
    <row r="168" spans="1:11" x14ac:dyDescent="0.45">
      <c r="B168" t="s">
        <v>588</v>
      </c>
      <c r="C168" t="s">
        <v>589</v>
      </c>
      <c r="F168" s="7" t="s">
        <v>1582</v>
      </c>
    </row>
    <row r="169" spans="1:11" x14ac:dyDescent="0.45">
      <c r="B169" t="s">
        <v>590</v>
      </c>
      <c r="C169" t="s">
        <v>1374</v>
      </c>
      <c r="F169" s="7" t="s">
        <v>1583</v>
      </c>
      <c r="K169" t="s">
        <v>11</v>
      </c>
    </row>
    <row r="170" spans="1:11" x14ac:dyDescent="0.45">
      <c r="B170" t="s">
        <v>591</v>
      </c>
      <c r="C170" t="s">
        <v>1375</v>
      </c>
      <c r="F170" s="7" t="s">
        <v>1584</v>
      </c>
      <c r="K170" t="s">
        <v>8</v>
      </c>
    </row>
    <row r="171" spans="1:11" x14ac:dyDescent="0.45">
      <c r="B171" t="s">
        <v>592</v>
      </c>
      <c r="C171" t="s">
        <v>1376</v>
      </c>
      <c r="F171" s="7" t="s">
        <v>1585</v>
      </c>
      <c r="K171" t="s">
        <v>11</v>
      </c>
    </row>
    <row r="172" spans="1:11" x14ac:dyDescent="0.45">
      <c r="B172" t="s">
        <v>593</v>
      </c>
      <c r="C172" t="s">
        <v>1377</v>
      </c>
      <c r="F172" s="7" t="s">
        <v>1586</v>
      </c>
    </row>
    <row r="173" spans="1:11" x14ac:dyDescent="0.45">
      <c r="B173" t="s">
        <v>594</v>
      </c>
      <c r="C173" t="s">
        <v>1378</v>
      </c>
      <c r="F173" s="7" t="s">
        <v>1587</v>
      </c>
    </row>
    <row r="174" spans="1:11" x14ac:dyDescent="0.45">
      <c r="B174" t="s">
        <v>595</v>
      </c>
      <c r="C174" t="s">
        <v>596</v>
      </c>
      <c r="F174" s="7" t="s">
        <v>1588</v>
      </c>
    </row>
    <row r="175" spans="1:11" x14ac:dyDescent="0.45">
      <c r="A175" t="s">
        <v>1649</v>
      </c>
      <c r="B175" t="s">
        <v>597</v>
      </c>
      <c r="C175" t="s">
        <v>1305</v>
      </c>
      <c r="F175" s="7" t="s">
        <v>1511</v>
      </c>
      <c r="K175" t="s">
        <v>11</v>
      </c>
    </row>
    <row r="176" spans="1:11" x14ac:dyDescent="0.45">
      <c r="B176" t="s">
        <v>598</v>
      </c>
      <c r="C176" t="s">
        <v>599</v>
      </c>
      <c r="F176" s="7" t="s">
        <v>1589</v>
      </c>
      <c r="K176" t="s">
        <v>8</v>
      </c>
    </row>
    <row r="177" spans="1:13" x14ac:dyDescent="0.45">
      <c r="B177" t="s">
        <v>600</v>
      </c>
      <c r="C177" t="s">
        <v>1308</v>
      </c>
      <c r="F177" s="7" t="s">
        <v>1513</v>
      </c>
    </row>
    <row r="178" spans="1:13" x14ac:dyDescent="0.45">
      <c r="B178" t="s">
        <v>601</v>
      </c>
      <c r="C178" t="s">
        <v>1379</v>
      </c>
      <c r="F178" s="7" t="s">
        <v>1590</v>
      </c>
    </row>
    <row r="179" spans="1:13" x14ac:dyDescent="0.45">
      <c r="A179" t="s">
        <v>1649</v>
      </c>
      <c r="B179" t="s">
        <v>601</v>
      </c>
      <c r="C179" t="s">
        <v>1380</v>
      </c>
      <c r="F179" s="7" t="s">
        <v>1591</v>
      </c>
      <c r="K179" t="s">
        <v>8</v>
      </c>
    </row>
    <row r="180" spans="1:13" x14ac:dyDescent="0.45">
      <c r="A180" t="s">
        <v>1649</v>
      </c>
      <c r="B180" t="s">
        <v>602</v>
      </c>
      <c r="C180" t="s">
        <v>1381</v>
      </c>
      <c r="F180" s="7" t="s">
        <v>1592</v>
      </c>
      <c r="K180" t="s">
        <v>11</v>
      </c>
    </row>
    <row r="181" spans="1:13" x14ac:dyDescent="0.45">
      <c r="A181" t="s">
        <v>1649</v>
      </c>
      <c r="B181" t="s">
        <v>603</v>
      </c>
      <c r="C181" t="s">
        <v>1382</v>
      </c>
      <c r="F181" s="7" t="s">
        <v>1593</v>
      </c>
      <c r="K181" t="s">
        <v>8</v>
      </c>
    </row>
    <row r="182" spans="1:13" x14ac:dyDescent="0.45">
      <c r="A182" t="s">
        <v>1649</v>
      </c>
      <c r="B182" t="s">
        <v>604</v>
      </c>
      <c r="C182" t="s">
        <v>1383</v>
      </c>
      <c r="F182" s="7" t="s">
        <v>1594</v>
      </c>
      <c r="K182" t="s">
        <v>8</v>
      </c>
    </row>
    <row r="183" spans="1:13" x14ac:dyDescent="0.45">
      <c r="B183" t="s">
        <v>605</v>
      </c>
      <c r="C183" t="s">
        <v>1384</v>
      </c>
      <c r="F183" s="7" t="s">
        <v>1595</v>
      </c>
      <c r="K183" t="s">
        <v>8</v>
      </c>
    </row>
    <row r="184" spans="1:13" x14ac:dyDescent="0.45">
      <c r="B184" t="s">
        <v>607</v>
      </c>
      <c r="C184" t="s">
        <v>608</v>
      </c>
      <c r="F184" s="7" t="s">
        <v>1596</v>
      </c>
    </row>
    <row r="185" spans="1:13" x14ac:dyDescent="0.45">
      <c r="B185" t="s">
        <v>609</v>
      </c>
      <c r="C185" t="s">
        <v>1385</v>
      </c>
      <c r="F185" s="7" t="s">
        <v>1597</v>
      </c>
    </row>
    <row r="186" spans="1:13" x14ac:dyDescent="0.45">
      <c r="B186" t="s">
        <v>610</v>
      </c>
      <c r="C186" t="s">
        <v>1386</v>
      </c>
      <c r="F186" s="7" t="s">
        <v>1598</v>
      </c>
    </row>
    <row r="187" spans="1:13" x14ac:dyDescent="0.45">
      <c r="B187" t="s">
        <v>611</v>
      </c>
      <c r="C187" t="s">
        <v>1387</v>
      </c>
      <c r="F187" s="7" t="s">
        <v>1599</v>
      </c>
      <c r="K187" t="s">
        <v>8</v>
      </c>
    </row>
    <row r="188" spans="1:13" x14ac:dyDescent="0.45">
      <c r="A188" t="s">
        <v>1649</v>
      </c>
      <c r="B188" t="s">
        <v>612</v>
      </c>
      <c r="C188" t="s">
        <v>1388</v>
      </c>
      <c r="F188" s="7" t="s">
        <v>1600</v>
      </c>
      <c r="K188" t="s">
        <v>11</v>
      </c>
    </row>
    <row r="189" spans="1:13" x14ac:dyDescent="0.45">
      <c r="B189" t="s">
        <v>613</v>
      </c>
      <c r="C189" t="s">
        <v>754</v>
      </c>
      <c r="F189" s="7" t="s">
        <v>1601</v>
      </c>
      <c r="K189" t="s">
        <v>8</v>
      </c>
      <c r="L189" t="s">
        <v>709</v>
      </c>
    </row>
    <row r="190" spans="1:13" x14ac:dyDescent="0.45">
      <c r="B190" t="s">
        <v>615</v>
      </c>
      <c r="C190" t="s">
        <v>1389</v>
      </c>
      <c r="F190" s="7" t="s">
        <v>1602</v>
      </c>
      <c r="K190" t="s">
        <v>11</v>
      </c>
      <c r="M190" t="s">
        <v>674</v>
      </c>
    </row>
    <row r="191" spans="1:13" x14ac:dyDescent="0.45">
      <c r="B191" t="s">
        <v>616</v>
      </c>
      <c r="C191" t="s">
        <v>1390</v>
      </c>
      <c r="F191" s="7" t="s">
        <v>1603</v>
      </c>
      <c r="K191" t="s">
        <v>8</v>
      </c>
    </row>
    <row r="192" spans="1:13" x14ac:dyDescent="0.45">
      <c r="B192" t="s">
        <v>617</v>
      </c>
      <c r="C192" t="s">
        <v>1391</v>
      </c>
      <c r="F192" s="7" t="s">
        <v>1604</v>
      </c>
      <c r="K192" t="s">
        <v>8</v>
      </c>
    </row>
    <row r="193" spans="1:11" x14ac:dyDescent="0.45">
      <c r="B193" t="s">
        <v>620</v>
      </c>
      <c r="C193" t="s">
        <v>1392</v>
      </c>
      <c r="F193" s="7" t="s">
        <v>1605</v>
      </c>
      <c r="K193" t="s">
        <v>8</v>
      </c>
    </row>
    <row r="194" spans="1:11" x14ac:dyDescent="0.45">
      <c r="B194" t="s">
        <v>621</v>
      </c>
      <c r="C194" t="s">
        <v>1393</v>
      </c>
      <c r="F194" s="7" t="s">
        <v>1606</v>
      </c>
      <c r="K194" t="s">
        <v>11</v>
      </c>
    </row>
    <row r="195" spans="1:11" x14ac:dyDescent="0.45">
      <c r="B195" t="s">
        <v>623</v>
      </c>
      <c r="C195" t="s">
        <v>1394</v>
      </c>
      <c r="F195" s="7" t="s">
        <v>1607</v>
      </c>
      <c r="K195" t="s">
        <v>8</v>
      </c>
    </row>
    <row r="196" spans="1:11" x14ac:dyDescent="0.45">
      <c r="B196" t="s">
        <v>624</v>
      </c>
      <c r="C196" t="s">
        <v>1395</v>
      </c>
      <c r="F196" s="7" t="s">
        <v>1608</v>
      </c>
      <c r="K196" t="s">
        <v>11</v>
      </c>
    </row>
    <row r="197" spans="1:11" x14ac:dyDescent="0.45">
      <c r="B197" t="s">
        <v>625</v>
      </c>
      <c r="C197" t="s">
        <v>1396</v>
      </c>
      <c r="F197" s="7" t="s">
        <v>1609</v>
      </c>
      <c r="K197" t="s">
        <v>8</v>
      </c>
    </row>
    <row r="198" spans="1:11" x14ac:dyDescent="0.45">
      <c r="B198" t="s">
        <v>626</v>
      </c>
      <c r="C198" t="s">
        <v>695</v>
      </c>
      <c r="F198" s="7" t="s">
        <v>769</v>
      </c>
      <c r="K198" t="s">
        <v>11</v>
      </c>
    </row>
    <row r="199" spans="1:11" x14ac:dyDescent="0.45">
      <c r="B199" t="s">
        <v>627</v>
      </c>
      <c r="C199" t="s">
        <v>1397</v>
      </c>
      <c r="F199" s="7" t="s">
        <v>1610</v>
      </c>
      <c r="K199" t="s">
        <v>8</v>
      </c>
    </row>
    <row r="200" spans="1:11" x14ac:dyDescent="0.45">
      <c r="B200" t="s">
        <v>628</v>
      </c>
      <c r="C200" t="s">
        <v>1398</v>
      </c>
      <c r="F200" s="7" t="s">
        <v>1611</v>
      </c>
    </row>
    <row r="201" spans="1:11" x14ac:dyDescent="0.45">
      <c r="B201" t="s">
        <v>629</v>
      </c>
      <c r="C201" t="s">
        <v>1399</v>
      </c>
      <c r="F201" s="7" t="s">
        <v>1612</v>
      </c>
    </row>
    <row r="202" spans="1:11" x14ac:dyDescent="0.45">
      <c r="A202" t="s">
        <v>1649</v>
      </c>
      <c r="B202" t="s">
        <v>630</v>
      </c>
      <c r="C202" t="s">
        <v>98</v>
      </c>
      <c r="F202" t="s">
        <v>286</v>
      </c>
      <c r="K202" t="s">
        <v>11</v>
      </c>
    </row>
    <row r="203" spans="1:11" x14ac:dyDescent="0.45">
      <c r="B203" t="s">
        <v>631</v>
      </c>
      <c r="C203" t="s">
        <v>1400</v>
      </c>
      <c r="F203" s="7" t="s">
        <v>1613</v>
      </c>
    </row>
    <row r="204" spans="1:11" x14ac:dyDescent="0.45">
      <c r="B204" t="s">
        <v>632</v>
      </c>
      <c r="C204" t="s">
        <v>1401</v>
      </c>
      <c r="F204" s="7" t="s">
        <v>1614</v>
      </c>
    </row>
    <row r="205" spans="1:11" x14ac:dyDescent="0.45">
      <c r="B205" t="s">
        <v>633</v>
      </c>
      <c r="C205" t="s">
        <v>1402</v>
      </c>
      <c r="F205" s="7" t="s">
        <v>1615</v>
      </c>
    </row>
    <row r="206" spans="1:11" x14ac:dyDescent="0.45">
      <c r="B206" t="s">
        <v>634</v>
      </c>
      <c r="C206" t="s">
        <v>1403</v>
      </c>
      <c r="F206" s="7" t="s">
        <v>1616</v>
      </c>
    </row>
    <row r="207" spans="1:11" x14ac:dyDescent="0.45">
      <c r="B207" t="s">
        <v>635</v>
      </c>
      <c r="C207" t="s">
        <v>1265</v>
      </c>
      <c r="F207" s="7" t="s">
        <v>1465</v>
      </c>
      <c r="K207" t="s">
        <v>11</v>
      </c>
    </row>
    <row r="208" spans="1:11" x14ac:dyDescent="0.45">
      <c r="B208" t="s">
        <v>636</v>
      </c>
      <c r="C208" t="s">
        <v>1404</v>
      </c>
      <c r="F208" s="7" t="s">
        <v>1617</v>
      </c>
      <c r="K208" t="s">
        <v>8</v>
      </c>
    </row>
    <row r="209" spans="1:11" x14ac:dyDescent="0.45">
      <c r="A209" t="s">
        <v>1649</v>
      </c>
      <c r="B209" t="s">
        <v>637</v>
      </c>
      <c r="C209" t="s">
        <v>1405</v>
      </c>
      <c r="F209" s="7" t="s">
        <v>1618</v>
      </c>
      <c r="K209" t="s">
        <v>11</v>
      </c>
    </row>
    <row r="210" spans="1:11" x14ac:dyDescent="0.45">
      <c r="B210" t="s">
        <v>638</v>
      </c>
      <c r="C210" t="s">
        <v>1406</v>
      </c>
      <c r="F210" s="7" t="s">
        <v>1619</v>
      </c>
    </row>
    <row r="211" spans="1:11" x14ac:dyDescent="0.45">
      <c r="B211" t="s">
        <v>639</v>
      </c>
      <c r="C211" t="s">
        <v>1407</v>
      </c>
      <c r="F211" s="7" t="s">
        <v>1620</v>
      </c>
    </row>
    <row r="212" spans="1:11" x14ac:dyDescent="0.45">
      <c r="B212" t="s">
        <v>640</v>
      </c>
      <c r="C212" t="s">
        <v>1408</v>
      </c>
      <c r="F212" s="7" t="s">
        <v>1621</v>
      </c>
    </row>
    <row r="213" spans="1:11" x14ac:dyDescent="0.45">
      <c r="B213" t="s">
        <v>641</v>
      </c>
      <c r="C213" t="s">
        <v>1409</v>
      </c>
      <c r="F213" s="7" t="s">
        <v>1622</v>
      </c>
    </row>
    <row r="214" spans="1:11" x14ac:dyDescent="0.45">
      <c r="B214" t="s">
        <v>642</v>
      </c>
      <c r="C214" t="s">
        <v>1410</v>
      </c>
      <c r="F214" s="7" t="s">
        <v>1623</v>
      </c>
    </row>
    <row r="215" spans="1:11" x14ac:dyDescent="0.45">
      <c r="B215" t="s">
        <v>643</v>
      </c>
      <c r="C215" t="s">
        <v>1411</v>
      </c>
      <c r="F215" s="7" t="s">
        <v>1624</v>
      </c>
      <c r="K215" t="s">
        <v>11</v>
      </c>
    </row>
    <row r="216" spans="1:11" x14ac:dyDescent="0.45">
      <c r="B216" t="s">
        <v>644</v>
      </c>
      <c r="C216" t="s">
        <v>1412</v>
      </c>
      <c r="F216" s="7" t="s">
        <v>1625</v>
      </c>
    </row>
    <row r="217" spans="1:11" x14ac:dyDescent="0.45">
      <c r="B217" t="s">
        <v>440</v>
      </c>
      <c r="C217" t="s">
        <v>1413</v>
      </c>
      <c r="F217" s="7" t="s">
        <v>1626</v>
      </c>
    </row>
    <row r="218" spans="1:11" x14ac:dyDescent="0.45">
      <c r="B218" t="s">
        <v>645</v>
      </c>
      <c r="C218" t="s">
        <v>1209</v>
      </c>
      <c r="F218" s="7" t="s">
        <v>1627</v>
      </c>
    </row>
    <row r="219" spans="1:11" x14ac:dyDescent="0.45">
      <c r="B219" t="s">
        <v>646</v>
      </c>
      <c r="C219" t="s">
        <v>1414</v>
      </c>
      <c r="F219" s="7" t="s">
        <v>1628</v>
      </c>
      <c r="K219" t="s">
        <v>11</v>
      </c>
    </row>
    <row r="220" spans="1:11" x14ac:dyDescent="0.45">
      <c r="B220" t="s">
        <v>647</v>
      </c>
      <c r="C220" t="s">
        <v>1415</v>
      </c>
      <c r="F220" s="7" t="s">
        <v>1629</v>
      </c>
    </row>
    <row r="221" spans="1:11" x14ac:dyDescent="0.45">
      <c r="B221" t="s">
        <v>648</v>
      </c>
      <c r="C221" t="s">
        <v>1416</v>
      </c>
      <c r="F221" s="7" t="s">
        <v>1630</v>
      </c>
      <c r="K221" t="s">
        <v>8</v>
      </c>
    </row>
    <row r="222" spans="1:11" x14ac:dyDescent="0.45">
      <c r="B222" t="s">
        <v>649</v>
      </c>
      <c r="C222" t="s">
        <v>1417</v>
      </c>
      <c r="F222" s="7" t="s">
        <v>1631</v>
      </c>
    </row>
    <row r="223" spans="1:11" x14ac:dyDescent="0.45">
      <c r="B223" t="s">
        <v>650</v>
      </c>
      <c r="C223" t="s">
        <v>651</v>
      </c>
      <c r="F223" s="7" t="s">
        <v>1632</v>
      </c>
      <c r="K223" t="s">
        <v>8</v>
      </c>
    </row>
    <row r="224" spans="1:11" x14ac:dyDescent="0.45">
      <c r="B224" t="s">
        <v>654</v>
      </c>
      <c r="C224" t="s">
        <v>1418</v>
      </c>
      <c r="F224" s="7" t="s">
        <v>1633</v>
      </c>
    </row>
    <row r="225" spans="2:11" x14ac:dyDescent="0.45">
      <c r="B225" t="s">
        <v>655</v>
      </c>
      <c r="C225" t="s">
        <v>1419</v>
      </c>
      <c r="F225" s="7" t="s">
        <v>1634</v>
      </c>
    </row>
    <row r="226" spans="2:11" x14ac:dyDescent="0.45">
      <c r="B226" t="s">
        <v>656</v>
      </c>
      <c r="C226" t="s">
        <v>1420</v>
      </c>
      <c r="F226" s="7" t="s">
        <v>1635</v>
      </c>
    </row>
    <row r="227" spans="2:11" x14ac:dyDescent="0.45">
      <c r="B227" t="s">
        <v>657</v>
      </c>
      <c r="C227" t="s">
        <v>1421</v>
      </c>
      <c r="F227" s="7" t="s">
        <v>1636</v>
      </c>
    </row>
    <row r="228" spans="2:11" x14ac:dyDescent="0.45">
      <c r="B228" t="s">
        <v>658</v>
      </c>
      <c r="C228" t="s">
        <v>1422</v>
      </c>
      <c r="F228" s="7" t="s">
        <v>1637</v>
      </c>
      <c r="K228" t="s">
        <v>11</v>
      </c>
    </row>
    <row r="229" spans="2:11" x14ac:dyDescent="0.45">
      <c r="B229" t="s">
        <v>659</v>
      </c>
      <c r="C229" t="s">
        <v>1423</v>
      </c>
      <c r="F229" s="7" t="s">
        <v>1638</v>
      </c>
      <c r="K229" t="s">
        <v>11</v>
      </c>
    </row>
    <row r="230" spans="2:11" x14ac:dyDescent="0.45">
      <c r="B230" t="s">
        <v>660</v>
      </c>
      <c r="C230" t="s">
        <v>1424</v>
      </c>
      <c r="F230" s="7" t="s">
        <v>1639</v>
      </c>
    </row>
    <row r="231" spans="2:11" x14ac:dyDescent="0.45">
      <c r="B231" t="s">
        <v>661</v>
      </c>
      <c r="C231" t="s">
        <v>1425</v>
      </c>
      <c r="F231" s="7" t="s">
        <v>1640</v>
      </c>
      <c r="K231" t="s">
        <v>11</v>
      </c>
    </row>
    <row r="232" spans="2:11" x14ac:dyDescent="0.45">
      <c r="B232" t="s">
        <v>664</v>
      </c>
      <c r="C232" t="s">
        <v>1426</v>
      </c>
      <c r="F232" s="7" t="s">
        <v>1641</v>
      </c>
    </row>
    <row r="233" spans="2:11" x14ac:dyDescent="0.45">
      <c r="B233" t="s">
        <v>665</v>
      </c>
      <c r="C233" t="s">
        <v>1427</v>
      </c>
      <c r="F233" s="7" t="s">
        <v>1642</v>
      </c>
    </row>
    <row r="234" spans="2:11" x14ac:dyDescent="0.45">
      <c r="B234" t="s">
        <v>666</v>
      </c>
      <c r="C234" t="s">
        <v>1427</v>
      </c>
      <c r="F234" s="7" t="s">
        <v>1642</v>
      </c>
    </row>
    <row r="235" spans="2:11" x14ac:dyDescent="0.45">
      <c r="B235" t="s">
        <v>667</v>
      </c>
      <c r="C235" t="s">
        <v>1428</v>
      </c>
      <c r="F235" s="7" t="s">
        <v>1643</v>
      </c>
    </row>
    <row r="236" spans="2:11" x14ac:dyDescent="0.45">
      <c r="B236" t="s">
        <v>668</v>
      </c>
      <c r="C236" t="s">
        <v>1429</v>
      </c>
      <c r="F236" s="7" t="s">
        <v>1644</v>
      </c>
    </row>
    <row r="237" spans="2:11" x14ac:dyDescent="0.45">
      <c r="B237" t="s">
        <v>670</v>
      </c>
      <c r="C237" t="s">
        <v>1430</v>
      </c>
      <c r="F237" s="7" t="s">
        <v>1645</v>
      </c>
    </row>
    <row r="238" spans="2:11" x14ac:dyDescent="0.45">
      <c r="B238" t="s">
        <v>444</v>
      </c>
      <c r="C238" t="s">
        <v>1269</v>
      </c>
      <c r="F238" s="7" t="s">
        <v>1470</v>
      </c>
    </row>
  </sheetData>
  <autoFilter ref="A1:O238" xr:uid="{F64461FB-5B60-4203-8120-AA331AA754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semantics_verbs</vt:lpstr>
      <vt:lpstr>Categories</vt:lpstr>
      <vt:lpstr>Addl_verbs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Soeren Eberhardt</cp:lastModifiedBy>
  <dcterms:created xsi:type="dcterms:W3CDTF">2025-09-21T02:23:28Z</dcterms:created>
  <dcterms:modified xsi:type="dcterms:W3CDTF">2026-04-04T09:07:09Z</dcterms:modified>
</cp:coreProperties>
</file>