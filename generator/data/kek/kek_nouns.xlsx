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kek/"/>
    </mc:Choice>
  </mc:AlternateContent>
  <xr:revisionPtr revIDLastSave="2576" documentId="8_{8B7BC568-941E-4507-9247-B5764B484457}" xr6:coauthVersionLast="47" xr6:coauthVersionMax="47" xr10:uidLastSave="{84D3325E-C51C-4D07-8E1A-40AC1E2A02A0}"/>
  <bookViews>
    <workbookView xWindow="62220" yWindow="705" windowWidth="32460" windowHeight="19935" xr2:uid="{AE04B5AB-82D4-4E41-9025-CF4E517E5EE9}"/>
  </bookViews>
  <sheets>
    <sheet name="semantics_nouns" sheetId="1" r:id="rId1"/>
    <sheet name="to add" sheetId="2" r:id="rId2"/>
    <sheet name="Allowed_classes" sheetId="5" r:id="rId3"/>
    <sheet name="Classes_count" sheetId="4" r:id="rId4"/>
  </sheets>
  <definedNames>
    <definedName name="_xlnm._FilterDatabase" localSheetId="2" hidden="1">Allowed_classes!$A$1:$A$41</definedName>
    <definedName name="_xlnm._FilterDatabase" localSheetId="3" hidden="1">Classes_count!$A$1:$B$26</definedName>
    <definedName name="_xlnm._FilterDatabase" localSheetId="0" hidden="1">semantics_nouns!$A$1:$N$349</definedName>
    <definedName name="_xlnm._FilterDatabase" localSheetId="1" hidden="1">'to add'!$A$1:$K$13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2" i="4"/>
  <c r="B14" i="4"/>
  <c r="B15" i="4"/>
  <c r="B16" i="4"/>
  <c r="B17" i="4"/>
  <c r="B18" i="4"/>
  <c r="B19" i="4"/>
  <c r="B20" i="4"/>
  <c r="B23" i="4"/>
  <c r="B24" i="4"/>
  <c r="B25" i="4"/>
  <c r="B26" i="4"/>
  <c r="B2" i="4"/>
  <c r="B3" i="4"/>
  <c r="B4" i="4"/>
  <c r="B5" i="4"/>
  <c r="B6" i="4"/>
  <c r="B7" i="4"/>
  <c r="B8" i="4"/>
  <c r="B9" i="4"/>
  <c r="B10" i="4"/>
  <c r="B11" i="4"/>
  <c r="B12" i="4"/>
  <c r="B13" i="4"/>
  <c r="E10" i="2"/>
</calcChain>
</file>

<file path=xl/sharedStrings.xml><?xml version="1.0" encoding="utf-8"?>
<sst xmlns="http://schemas.openxmlformats.org/spreadsheetml/2006/main" count="3190" uniqueCount="1166">
  <si>
    <t>lemma_kek</t>
  </si>
  <si>
    <t>gloss_en</t>
  </si>
  <si>
    <t>class</t>
  </si>
  <si>
    <t>loan</t>
  </si>
  <si>
    <t>notes</t>
  </si>
  <si>
    <t>ixaqil</t>
  </si>
  <si>
    <t>wife</t>
  </si>
  <si>
    <t>kinship</t>
  </si>
  <si>
    <t>count</t>
  </si>
  <si>
    <t>as</t>
  </si>
  <si>
    <t>tongue</t>
  </si>
  <si>
    <t>body_part</t>
  </si>
  <si>
    <t>jaguar</t>
  </si>
  <si>
    <t>wa</t>
  </si>
  <si>
    <t>food</t>
  </si>
  <si>
    <t>substance</t>
  </si>
  <si>
    <t>mass</t>
  </si>
  <si>
    <t>Loanword; preconsonantal Set A even if vowel-initial.</t>
  </si>
  <si>
    <t>artal</t>
  </si>
  <si>
    <t>artifact</t>
  </si>
  <si>
    <t>b'alam</t>
  </si>
  <si>
    <t>ab'oon</t>
  </si>
  <si>
    <t>ix</t>
  </si>
  <si>
    <t>arm</t>
  </si>
  <si>
    <t>back</t>
  </si>
  <si>
    <t>belly</t>
  </si>
  <si>
    <t>ulul</t>
  </si>
  <si>
    <t>brain</t>
  </si>
  <si>
    <t>xik</t>
  </si>
  <si>
    <t>ear</t>
  </si>
  <si>
    <t>xnaq' u</t>
  </si>
  <si>
    <t>eye</t>
  </si>
  <si>
    <t>foot</t>
  </si>
  <si>
    <t>oq</t>
  </si>
  <si>
    <t>uq</t>
  </si>
  <si>
    <t>head</t>
  </si>
  <si>
    <t>hand</t>
  </si>
  <si>
    <t>a'</t>
  </si>
  <si>
    <t>leg</t>
  </si>
  <si>
    <t>kux</t>
  </si>
  <si>
    <t>neck</t>
  </si>
  <si>
    <t>nose</t>
  </si>
  <si>
    <t>u'uj</t>
  </si>
  <si>
    <t>stomach</t>
  </si>
  <si>
    <t>halaw</t>
  </si>
  <si>
    <t>paca</t>
  </si>
  <si>
    <t>max</t>
  </si>
  <si>
    <t>spider monkey</t>
  </si>
  <si>
    <t>kuk</t>
  </si>
  <si>
    <t>ch'o</t>
  </si>
  <si>
    <t>mouse</t>
  </si>
  <si>
    <t>saqb'in</t>
  </si>
  <si>
    <t>weasel</t>
  </si>
  <si>
    <t>brother</t>
  </si>
  <si>
    <t>brother-in-law</t>
  </si>
  <si>
    <t>b'alk</t>
  </si>
  <si>
    <t>b'atz'</t>
  </si>
  <si>
    <t>howler monkey</t>
  </si>
  <si>
    <t>b'eelom</t>
  </si>
  <si>
    <t>husband</t>
  </si>
  <si>
    <t>granddaughter</t>
  </si>
  <si>
    <t>grandfather</t>
  </si>
  <si>
    <t>grandmother</t>
  </si>
  <si>
    <t>grandson</t>
  </si>
  <si>
    <t>mama'</t>
  </si>
  <si>
    <t>ixa'an</t>
  </si>
  <si>
    <t>iiman</t>
  </si>
  <si>
    <t>sister</t>
  </si>
  <si>
    <t>father</t>
  </si>
  <si>
    <t>mother</t>
  </si>
  <si>
    <t>sister-in-law</t>
  </si>
  <si>
    <t>ixnam</t>
  </si>
  <si>
    <t>anab'</t>
  </si>
  <si>
    <t>na'</t>
  </si>
  <si>
    <t>son-in-law</t>
  </si>
  <si>
    <t>hi'</t>
  </si>
  <si>
    <t>k'orech</t>
  </si>
  <si>
    <t>tostada</t>
  </si>
  <si>
    <t>turkey soup</t>
  </si>
  <si>
    <t>kaq ik</t>
  </si>
  <si>
    <t>xtib'el kar</t>
  </si>
  <si>
    <t>fish</t>
  </si>
  <si>
    <t>tortilla</t>
  </si>
  <si>
    <t>xut'</t>
  </si>
  <si>
    <t>bean tamale</t>
  </si>
  <si>
    <t>kaxlan iswa</t>
  </si>
  <si>
    <t>cake</t>
  </si>
  <si>
    <t>poch</t>
  </si>
  <si>
    <t>corn tamele</t>
  </si>
  <si>
    <t>place</t>
  </si>
  <si>
    <t>chaqi ch'och'</t>
  </si>
  <si>
    <t>desert</t>
  </si>
  <si>
    <t>wa'leb'aal</t>
  </si>
  <si>
    <t>dining room</t>
  </si>
  <si>
    <t>altar</t>
  </si>
  <si>
    <t>fertilizer</t>
  </si>
  <si>
    <t>squirrel</t>
  </si>
  <si>
    <t>banana</t>
  </si>
  <si>
    <t>bread</t>
  </si>
  <si>
    <t>orange</t>
  </si>
  <si>
    <t>pineapple</t>
  </si>
  <si>
    <t>tul</t>
  </si>
  <si>
    <t>kaxlan wa</t>
  </si>
  <si>
    <t>chiin</t>
  </si>
  <si>
    <t>ch' op</t>
  </si>
  <si>
    <t>potato</t>
  </si>
  <si>
    <t>is</t>
  </si>
  <si>
    <t>cat</t>
  </si>
  <si>
    <t>cow</t>
  </si>
  <si>
    <t>dog</t>
  </si>
  <si>
    <t>goat</t>
  </si>
  <si>
    <t>horse</t>
  </si>
  <si>
    <t>ox</t>
  </si>
  <si>
    <t>pig</t>
  </si>
  <si>
    <t>sheep</t>
  </si>
  <si>
    <t>mes</t>
  </si>
  <si>
    <t>wakax</t>
  </si>
  <si>
    <t>donkey</t>
  </si>
  <si>
    <t>tz'i'</t>
  </si>
  <si>
    <t>b'uur</t>
  </si>
  <si>
    <t>yuk</t>
  </si>
  <si>
    <t>tzumuk</t>
  </si>
  <si>
    <t>b'oyx</t>
  </si>
  <si>
    <t>aaq</t>
  </si>
  <si>
    <t>tzukxul</t>
  </si>
  <si>
    <t>alligator</t>
  </si>
  <si>
    <t>ant</t>
  </si>
  <si>
    <t>ahin</t>
  </si>
  <si>
    <t>sank</t>
  </si>
  <si>
    <t>anteater</t>
  </si>
  <si>
    <t>armadillo</t>
  </si>
  <si>
    <t>bat</t>
  </si>
  <si>
    <t>bird</t>
  </si>
  <si>
    <t>seel xul</t>
  </si>
  <si>
    <t>tz'ik</t>
  </si>
  <si>
    <t>sotz'</t>
  </si>
  <si>
    <t>bush cat</t>
  </si>
  <si>
    <t>yak</t>
  </si>
  <si>
    <t>coyote</t>
  </si>
  <si>
    <t>yakl</t>
  </si>
  <si>
    <t>ch'erok</t>
  </si>
  <si>
    <t>crow</t>
  </si>
  <si>
    <t>kej</t>
  </si>
  <si>
    <t>deer</t>
  </si>
  <si>
    <t>dragonfly</t>
  </si>
  <si>
    <t>t'iw</t>
  </si>
  <si>
    <t>eagle</t>
  </si>
  <si>
    <t>amoch</t>
  </si>
  <si>
    <t>frog</t>
  </si>
  <si>
    <t>grasshopper</t>
  </si>
  <si>
    <t>chili'</t>
  </si>
  <si>
    <t>k'uch</t>
  </si>
  <si>
    <t>hawk</t>
  </si>
  <si>
    <t>ch'ub'</t>
  </si>
  <si>
    <t>honon</t>
  </si>
  <si>
    <t>honey bee</t>
  </si>
  <si>
    <t>hornet</t>
  </si>
  <si>
    <t>iwaan</t>
  </si>
  <si>
    <t>iguana</t>
  </si>
  <si>
    <t>turtle</t>
  </si>
  <si>
    <t>kok</t>
  </si>
  <si>
    <t>imul</t>
  </si>
  <si>
    <t>rabbit</t>
  </si>
  <si>
    <t>owl</t>
  </si>
  <si>
    <t>am</t>
  </si>
  <si>
    <t>animal_wild</t>
  </si>
  <si>
    <t>spider</t>
  </si>
  <si>
    <t>animal_domesticated</t>
  </si>
  <si>
    <t>gloss_es</t>
  </si>
  <si>
    <t>hormiga</t>
  </si>
  <si>
    <t>murciélago</t>
  </si>
  <si>
    <t>ave</t>
  </si>
  <si>
    <t>gato</t>
  </si>
  <si>
    <t>vaca</t>
  </si>
  <si>
    <t>cuervo</t>
  </si>
  <si>
    <t>venado</t>
  </si>
  <si>
    <t>perro</t>
  </si>
  <si>
    <t>burro</t>
  </si>
  <si>
    <t>caballito del diablo</t>
  </si>
  <si>
    <t>águila</t>
  </si>
  <si>
    <t>rana</t>
  </si>
  <si>
    <t>cabra</t>
  </si>
  <si>
    <t>saltamontes</t>
  </si>
  <si>
    <t>halcón</t>
  </si>
  <si>
    <t>abeja</t>
  </si>
  <si>
    <t>avispa</t>
  </si>
  <si>
    <t>caballo</t>
  </si>
  <si>
    <t>ratón</t>
  </si>
  <si>
    <t>búho</t>
  </si>
  <si>
    <t>buey</t>
  </si>
  <si>
    <t>tepezcuintle</t>
  </si>
  <si>
    <t>cerdo</t>
  </si>
  <si>
    <t>conejo</t>
  </si>
  <si>
    <t>oveja</t>
  </si>
  <si>
    <t>araña</t>
  </si>
  <si>
    <t>mico araña</t>
  </si>
  <si>
    <t>ardilla</t>
  </si>
  <si>
    <t>tortuga</t>
  </si>
  <si>
    <t>comadreja</t>
  </si>
  <si>
    <t>brazo</t>
  </si>
  <si>
    <t>espalda</t>
  </si>
  <si>
    <t>panza</t>
  </si>
  <si>
    <t>cerebro</t>
  </si>
  <si>
    <t>oreja</t>
  </si>
  <si>
    <t>ojo</t>
  </si>
  <si>
    <t>pie</t>
  </si>
  <si>
    <t>mano</t>
  </si>
  <si>
    <t>cabeza</t>
  </si>
  <si>
    <t>pierna</t>
  </si>
  <si>
    <t>cuello</t>
  </si>
  <si>
    <t>nariz</t>
  </si>
  <si>
    <t>estómago</t>
  </si>
  <si>
    <t>lengua</t>
  </si>
  <si>
    <t>plátano</t>
  </si>
  <si>
    <t>tamalito de frijol</t>
  </si>
  <si>
    <t>pan</t>
  </si>
  <si>
    <t>pastel</t>
  </si>
  <si>
    <t>tamalito de masa</t>
  </si>
  <si>
    <t>pescado</t>
  </si>
  <si>
    <t>naranja</t>
  </si>
  <si>
    <t>piña</t>
  </si>
  <si>
    <t>papa</t>
  </si>
  <si>
    <t>caldo de chompipe</t>
  </si>
  <si>
    <t>hermano</t>
  </si>
  <si>
    <t>cuñado</t>
  </si>
  <si>
    <t>padre</t>
  </si>
  <si>
    <t>nieta</t>
  </si>
  <si>
    <t>abuelo</t>
  </si>
  <si>
    <t>abuela</t>
  </si>
  <si>
    <t>nieto</t>
  </si>
  <si>
    <t>esposo</t>
  </si>
  <si>
    <t>madre</t>
  </si>
  <si>
    <t>hermana</t>
  </si>
  <si>
    <t>cuñada</t>
  </si>
  <si>
    <t>yerno</t>
  </si>
  <si>
    <t>esposa</t>
  </si>
  <si>
    <t>desierto</t>
  </si>
  <si>
    <t>comedor de casa</t>
  </si>
  <si>
    <t>fertilizante</t>
  </si>
  <si>
    <t>gender_es</t>
  </si>
  <si>
    <t>m</t>
  </si>
  <si>
    <t>f</t>
  </si>
  <si>
    <t>yuwa</t>
  </si>
  <si>
    <t>jolom</t>
  </si>
  <si>
    <t>sa'</t>
  </si>
  <si>
    <t>ru'uj aq'</t>
  </si>
  <si>
    <t>tel</t>
  </si>
  <si>
    <t>testicles</t>
  </si>
  <si>
    <t>domestic animal</t>
  </si>
  <si>
    <t>toad</t>
  </si>
  <si>
    <t>a worm with hair</t>
  </si>
  <si>
    <t>vagina</t>
  </si>
  <si>
    <t>chakaw</t>
  </si>
  <si>
    <t>wild boar</t>
  </si>
  <si>
    <t>parrot</t>
  </si>
  <si>
    <t>fishnet</t>
  </si>
  <si>
    <t>liver</t>
  </si>
  <si>
    <t>hix</t>
  </si>
  <si>
    <t>tiger</t>
  </si>
  <si>
    <t>ikan</t>
  </si>
  <si>
    <t>uncle</t>
  </si>
  <si>
    <t>aunt</t>
  </si>
  <si>
    <t>imam</t>
  </si>
  <si>
    <t>iswa</t>
  </si>
  <si>
    <t>sweet tamale</t>
  </si>
  <si>
    <t>jax</t>
  </si>
  <si>
    <t>sweetbreads</t>
  </si>
  <si>
    <t>ji</t>
  </si>
  <si>
    <t>oak</t>
  </si>
  <si>
    <t>spine</t>
  </si>
  <si>
    <t>junatal</t>
  </si>
  <si>
    <t>kakaw</t>
  </si>
  <si>
    <t>small scissors</t>
  </si>
  <si>
    <t>porcupine</t>
  </si>
  <si>
    <t>bean soup</t>
  </si>
  <si>
    <t>viper</t>
  </si>
  <si>
    <t>termite</t>
  </si>
  <si>
    <t>swamp</t>
  </si>
  <si>
    <t>eel</t>
  </si>
  <si>
    <t>keji xul</t>
  </si>
  <si>
    <t>boa constrictor</t>
  </si>
  <si>
    <t>fish hook</t>
  </si>
  <si>
    <t>a bamboo hut</t>
  </si>
  <si>
    <t>patal</t>
  </si>
  <si>
    <t>polem</t>
  </si>
  <si>
    <t>pelpel</t>
  </si>
  <si>
    <t>a type of frog (found in Chulac)</t>
  </si>
  <si>
    <t>pemech</t>
  </si>
  <si>
    <t>shellfish</t>
  </si>
  <si>
    <t>pompori</t>
  </si>
  <si>
    <t>a white butterfly</t>
  </si>
  <si>
    <t>puyuch</t>
  </si>
  <si>
    <t>quetzal bird</t>
  </si>
  <si>
    <t>lokoch</t>
  </si>
  <si>
    <t>stick used to aid in clearing weeds</t>
  </si>
  <si>
    <t>aj sak</t>
  </si>
  <si>
    <t>bamboo</t>
  </si>
  <si>
    <t>su oq</t>
  </si>
  <si>
    <t>leg calf</t>
  </si>
  <si>
    <t>taxanx</t>
  </si>
  <si>
    <t>tixil chajom</t>
  </si>
  <si>
    <t>tolich</t>
  </si>
  <si>
    <t>tzelek</t>
  </si>
  <si>
    <t>shin</t>
  </si>
  <si>
    <t>yucca</t>
  </si>
  <si>
    <t>old lady</t>
  </si>
  <si>
    <t>waist</t>
  </si>
  <si>
    <t>jaw</t>
  </si>
  <si>
    <t>leftovers</t>
  </si>
  <si>
    <t>xer</t>
  </si>
  <si>
    <t>xikin i</t>
  </si>
  <si>
    <t>yax</t>
  </si>
  <si>
    <t>yo ru</t>
  </si>
  <si>
    <t>rage</t>
  </si>
  <si>
    <t>aj ou</t>
  </si>
  <si>
    <t>raccoon</t>
  </si>
  <si>
    <t>yupus</t>
  </si>
  <si>
    <t>anus</t>
  </si>
  <si>
    <t>tulux</t>
  </si>
  <si>
    <t>konk</t>
  </si>
  <si>
    <t>a biting fly</t>
  </si>
  <si>
    <t>breastbone</t>
  </si>
  <si>
    <t>waron</t>
  </si>
  <si>
    <t>mulukut</t>
  </si>
  <si>
    <t>tadpole</t>
  </si>
  <si>
    <t>pata</t>
  </si>
  <si>
    <t>guanaba fruit</t>
  </si>
  <si>
    <t>utz</t>
  </si>
  <si>
    <t>catfish</t>
  </si>
  <si>
    <t>machak</t>
  </si>
  <si>
    <t>trout</t>
  </si>
  <si>
    <t>emotion</t>
  </si>
  <si>
    <t>tool</t>
  </si>
  <si>
    <t>plant</t>
  </si>
  <si>
    <t>human</t>
  </si>
  <si>
    <t>fruit</t>
  </si>
  <si>
    <t>worm</t>
  </si>
  <si>
    <t>tigre</t>
  </si>
  <si>
    <t>fly</t>
  </si>
  <si>
    <t>centipede</t>
  </si>
  <si>
    <t>butterfly</t>
  </si>
  <si>
    <t>parakeet</t>
  </si>
  <si>
    <t>magpie</t>
  </si>
  <si>
    <t>sparrow</t>
  </si>
  <si>
    <t>bear</t>
  </si>
  <si>
    <t>mosquito</t>
  </si>
  <si>
    <t>oso</t>
  </si>
  <si>
    <t>mariposa</t>
  </si>
  <si>
    <t>ciempiés</t>
  </si>
  <si>
    <t>anguila</t>
  </si>
  <si>
    <t>urraca</t>
  </si>
  <si>
    <t>perico</t>
  </si>
  <si>
    <t>loro</t>
  </si>
  <si>
    <t>puerco espín</t>
  </si>
  <si>
    <t>termita</t>
  </si>
  <si>
    <t>sapo</t>
  </si>
  <si>
    <t>trucha</t>
  </si>
  <si>
    <t>víbora</t>
  </si>
  <si>
    <t>lagarto</t>
  </si>
  <si>
    <t>tamandúa</t>
  </si>
  <si>
    <t>cusuco</t>
  </si>
  <si>
    <t>from Nahuatl</t>
  </si>
  <si>
    <t>bagre</t>
  </si>
  <si>
    <t>tigrillo</t>
  </si>
  <si>
    <t>mapache</t>
  </si>
  <si>
    <t>marisco</t>
  </si>
  <si>
    <t>gorrión</t>
  </si>
  <si>
    <t>renacuajo</t>
  </si>
  <si>
    <t>jabalí</t>
  </si>
  <si>
    <t>gusano</t>
  </si>
  <si>
    <t>mosca</t>
  </si>
  <si>
    <t>zaraguate</t>
  </si>
  <si>
    <t>quetzal</t>
  </si>
  <si>
    <t>calf</t>
  </si>
  <si>
    <t>jealousy</t>
  </si>
  <si>
    <t>xkalom</t>
  </si>
  <si>
    <t>cintura</t>
  </si>
  <si>
    <t>espinilla</t>
  </si>
  <si>
    <t>celos</t>
  </si>
  <si>
    <t>rabia</t>
  </si>
  <si>
    <t>sobras</t>
  </si>
  <si>
    <t>tamal dulce</t>
  </si>
  <si>
    <t>ano</t>
  </si>
  <si>
    <t>esternón</t>
  </si>
  <si>
    <t>mandíbula</t>
  </si>
  <si>
    <t>hígado</t>
  </si>
  <si>
    <t>tía</t>
  </si>
  <si>
    <t>bisabuelo</t>
  </si>
  <si>
    <t>bisabuela</t>
  </si>
  <si>
    <t>bisnieto</t>
  </si>
  <si>
    <t>tío</t>
  </si>
  <si>
    <t>pantano</t>
  </si>
  <si>
    <t>bambú</t>
  </si>
  <si>
    <t>roble</t>
  </si>
  <si>
    <t>yuca</t>
  </si>
  <si>
    <t>anzuelo</t>
  </si>
  <si>
    <t>red</t>
  </si>
  <si>
    <t>nephew</t>
  </si>
  <si>
    <t>sobrino</t>
  </si>
  <si>
    <t>niece</t>
  </si>
  <si>
    <t>sobrina</t>
  </si>
  <si>
    <t>great-grandmother</t>
  </si>
  <si>
    <t>great-grandson</t>
  </si>
  <si>
    <t>great-grandfather</t>
  </si>
  <si>
    <t>eyebrow</t>
  </si>
  <si>
    <t>ceja</t>
  </si>
  <si>
    <t>testículos</t>
  </si>
  <si>
    <t>plural</t>
  </si>
  <si>
    <t>pantorrilla</t>
  </si>
  <si>
    <t>columna vertebral</t>
  </si>
  <si>
    <t>ajom</t>
  </si>
  <si>
    <t>desire</t>
  </si>
  <si>
    <t>envy</t>
  </si>
  <si>
    <t>deseo</t>
  </si>
  <si>
    <t>envidia</t>
  </si>
  <si>
    <t>furia</t>
  </si>
  <si>
    <t>chocolate</t>
  </si>
  <si>
    <t>beef jerky</t>
  </si>
  <si>
    <t>lonely person</t>
  </si>
  <si>
    <t>young man</t>
  </si>
  <si>
    <t>mollejas</t>
  </si>
  <si>
    <t>sopa de frijoles</t>
  </si>
  <si>
    <t>carne seca</t>
  </si>
  <si>
    <t>persona solitaria</t>
  </si>
  <si>
    <t>muchacho</t>
  </si>
  <si>
    <t>vieja</t>
  </si>
  <si>
    <t>insect</t>
  </si>
  <si>
    <t>fruta de guanába</t>
  </si>
  <si>
    <t>stick</t>
  </si>
  <si>
    <t>palo</t>
  </si>
  <si>
    <t>scissors</t>
  </si>
  <si>
    <t>pequeñas</t>
  </si>
  <si>
    <t>martillo</t>
  </si>
  <si>
    <t>hammer</t>
  </si>
  <si>
    <t>saw</t>
  </si>
  <si>
    <t>sierra</t>
  </si>
  <si>
    <t>pinzas</t>
  </si>
  <si>
    <t>tweezers</t>
  </si>
  <si>
    <t>hut</t>
  </si>
  <si>
    <t>cabaña</t>
  </si>
  <si>
    <t>abandoned house</t>
  </si>
  <si>
    <t>casa abandonada</t>
  </si>
  <si>
    <t>building</t>
  </si>
  <si>
    <t>arinil</t>
  </si>
  <si>
    <t>countryman</t>
  </si>
  <si>
    <t>paisano</t>
  </si>
  <si>
    <t>beverage</t>
  </si>
  <si>
    <t>clothing</t>
  </si>
  <si>
    <t>corn</t>
  </si>
  <si>
    <t>person</t>
  </si>
  <si>
    <t>wood</t>
  </si>
  <si>
    <t>lotz</t>
  </si>
  <si>
    <t>agua ardiente</t>
  </si>
  <si>
    <t>a distilled alcoholic spirit</t>
  </si>
  <si>
    <t>milpa grande</t>
  </si>
  <si>
    <t>ear of corn</t>
  </si>
  <si>
    <t>tupus roq</t>
  </si>
  <si>
    <t>short person</t>
  </si>
  <si>
    <t>persona baja</t>
  </si>
  <si>
    <t>partridge</t>
  </si>
  <si>
    <t>perdiz</t>
  </si>
  <si>
    <t>tepiscuintle</t>
  </si>
  <si>
    <t>bicycle</t>
  </si>
  <si>
    <t>bicicleta</t>
  </si>
  <si>
    <t>vehicle</t>
  </si>
  <si>
    <t>token</t>
  </si>
  <si>
    <t>wild berries</t>
  </si>
  <si>
    <t>moras</t>
  </si>
  <si>
    <t>town-folk</t>
  </si>
  <si>
    <t>los del pueblo</t>
  </si>
  <si>
    <t>beam</t>
  </si>
  <si>
    <t>rafter</t>
  </si>
  <si>
    <t>wooden beam</t>
  </si>
  <si>
    <t>wooden rafter</t>
  </si>
  <si>
    <t>caballete</t>
  </si>
  <si>
    <t>viga</t>
  </si>
  <si>
    <t>ixam</t>
  </si>
  <si>
    <t>maíz</t>
  </si>
  <si>
    <t>ha' na'kaltesin</t>
  </si>
  <si>
    <t>alcohol</t>
  </si>
  <si>
    <t>alcohol (beverage)</t>
  </si>
  <si>
    <t>atol xuco</t>
  </si>
  <si>
    <t>a corn-based drink, thick and usually containing, salt, chili pepper, and black bean</t>
  </si>
  <si>
    <t>kape'</t>
  </si>
  <si>
    <t>coffee</t>
  </si>
  <si>
    <t>café</t>
  </si>
  <si>
    <t>coffee (beverage)</t>
  </si>
  <si>
    <t>moonshine</t>
  </si>
  <si>
    <t>guaro</t>
  </si>
  <si>
    <t>illegally produced spirit</t>
  </si>
  <si>
    <t>siwan ya'</t>
  </si>
  <si>
    <t>blouse (non-traditional)</t>
  </si>
  <si>
    <t>blouse</t>
  </si>
  <si>
    <t>blusa</t>
  </si>
  <si>
    <t>kaxpo'ot</t>
  </si>
  <si>
    <t>sweater</t>
  </si>
  <si>
    <t>suéter</t>
  </si>
  <si>
    <t>knitted garment</t>
  </si>
  <si>
    <t>k'ixt'ikr</t>
  </si>
  <si>
    <t>shirt</t>
  </si>
  <si>
    <t>camisa</t>
  </si>
  <si>
    <t>kamiis</t>
  </si>
  <si>
    <t>xb'atalal ja'aj</t>
  </si>
  <si>
    <t>scarf</t>
  </si>
  <si>
    <t>bufanda</t>
  </si>
  <si>
    <t>wex</t>
  </si>
  <si>
    <t>pants</t>
  </si>
  <si>
    <t>pantalones</t>
  </si>
  <si>
    <t>blouse (traditional)</t>
  </si>
  <si>
    <t>po'ot</t>
  </si>
  <si>
    <t>baseball cap</t>
  </si>
  <si>
    <t>gorra</t>
  </si>
  <si>
    <t>kachuuch'</t>
  </si>
  <si>
    <t>knit cap</t>
  </si>
  <si>
    <t>beanie</t>
  </si>
  <si>
    <t>gorro</t>
  </si>
  <si>
    <t>t'uy</t>
  </si>
  <si>
    <t>punit</t>
  </si>
  <si>
    <t>hat</t>
  </si>
  <si>
    <t>sombrero</t>
  </si>
  <si>
    <t>countability_kek</t>
  </si>
  <si>
    <t>countability_en</t>
  </si>
  <si>
    <t>countability_es</t>
  </si>
  <si>
    <t>axe</t>
  </si>
  <si>
    <t>maal</t>
  </si>
  <si>
    <t>hacha</t>
  </si>
  <si>
    <t>chakach</t>
  </si>
  <si>
    <t>basket</t>
  </si>
  <si>
    <t>canasta</t>
  </si>
  <si>
    <t>container</t>
  </si>
  <si>
    <t>beverage jug</t>
  </si>
  <si>
    <t>tecomate</t>
  </si>
  <si>
    <t>su</t>
  </si>
  <si>
    <t>bottle</t>
  </si>
  <si>
    <t>botella</t>
  </si>
  <si>
    <t>meet</t>
  </si>
  <si>
    <t>uutz'u'uj</t>
  </si>
  <si>
    <t>flower</t>
  </si>
  <si>
    <t>flor</t>
  </si>
  <si>
    <t>pach'aya'</t>
  </si>
  <si>
    <t>grass</t>
  </si>
  <si>
    <t>grama</t>
  </si>
  <si>
    <t>moss</t>
  </si>
  <si>
    <t>k'uxb'</t>
  </si>
  <si>
    <t>musgo</t>
  </si>
  <si>
    <t>mimosa pudica, touch-me-not, shameplant</t>
  </si>
  <si>
    <t>warak'ix</t>
  </si>
  <si>
    <t>sleepy plant</t>
  </si>
  <si>
    <t>dormilona</t>
  </si>
  <si>
    <t>che'</t>
  </si>
  <si>
    <t>tree</t>
  </si>
  <si>
    <t>árbol</t>
  </si>
  <si>
    <t>weeds</t>
  </si>
  <si>
    <t>hierbas</t>
  </si>
  <si>
    <t>pim</t>
  </si>
  <si>
    <t>k'ila pim</t>
  </si>
  <si>
    <t>vegetation</t>
  </si>
  <si>
    <t>vegetación</t>
  </si>
  <si>
    <t>chaj</t>
  </si>
  <si>
    <t>pine tree</t>
  </si>
  <si>
    <t>pino</t>
  </si>
  <si>
    <t>vegetable</t>
  </si>
  <si>
    <t>accountant</t>
  </si>
  <si>
    <t>contador</t>
  </si>
  <si>
    <t>aj ajlanel</t>
  </si>
  <si>
    <t>doctor</t>
  </si>
  <si>
    <t>aj b'anonel</t>
  </si>
  <si>
    <t>aj yiib'ahom ruch e'ej</t>
  </si>
  <si>
    <t>dentist</t>
  </si>
  <si>
    <t>dentista</t>
  </si>
  <si>
    <t>aj yiib'ahom ululch'iich'</t>
  </si>
  <si>
    <t>computer technician</t>
  </si>
  <si>
    <t>técnico de computadoras</t>
  </si>
  <si>
    <t>aj yiib'ahom xab'</t>
  </si>
  <si>
    <t>cobbler</t>
  </si>
  <si>
    <t>chef</t>
  </si>
  <si>
    <t>aj k'uub'ahom tzakahemq</t>
  </si>
  <si>
    <t>cook</t>
  </si>
  <si>
    <t>cocinero</t>
  </si>
  <si>
    <t>aj pech'ol che'</t>
  </si>
  <si>
    <t>carpenter</t>
  </si>
  <si>
    <t>aj iiqanel</t>
  </si>
  <si>
    <t>cargo loader</t>
  </si>
  <si>
    <t>camaronero</t>
  </si>
  <si>
    <t>aj ka'y tib'</t>
  </si>
  <si>
    <t>butcher</t>
  </si>
  <si>
    <t>carnicero</t>
  </si>
  <si>
    <t>aj b'esol ismal</t>
  </si>
  <si>
    <t>barber</t>
  </si>
  <si>
    <t>peluquero</t>
  </si>
  <si>
    <t>attorney</t>
  </si>
  <si>
    <t>abogado</t>
  </si>
  <si>
    <t>aj nawol chaq'rab'</t>
  </si>
  <si>
    <t>aj yoob'anel</t>
  </si>
  <si>
    <t>artist</t>
  </si>
  <si>
    <t>artista</t>
  </si>
  <si>
    <t>architect</t>
  </si>
  <si>
    <t>arquitecto</t>
  </si>
  <si>
    <t>aj yoob'ahom kab'l</t>
  </si>
  <si>
    <t>aj ch'e'ol so'sol ch'iich'</t>
  </si>
  <si>
    <t>pilot</t>
  </si>
  <si>
    <t>airline pilot</t>
  </si>
  <si>
    <t>piloto</t>
  </si>
  <si>
    <t>aj xokonel</t>
  </si>
  <si>
    <t>midwife</t>
  </si>
  <si>
    <t>partera</t>
  </si>
  <si>
    <t>aj q'axtesihom tzazkaemk</t>
  </si>
  <si>
    <t>waiter</t>
  </si>
  <si>
    <t>mesero</t>
  </si>
  <si>
    <t>restaurant server</t>
  </si>
  <si>
    <t>aj ilol tzukxul</t>
  </si>
  <si>
    <t>shepherd</t>
  </si>
  <si>
    <t>pastor</t>
  </si>
  <si>
    <t>aj b'atz'uhom b'olotz oq</t>
  </si>
  <si>
    <t>soccer player</t>
  </si>
  <si>
    <t>pelotero</t>
  </si>
  <si>
    <t>aj jalol tz'iib'</t>
  </si>
  <si>
    <t>translator</t>
  </si>
  <si>
    <t>traductor</t>
  </si>
  <si>
    <t>t'iu</t>
  </si>
  <si>
    <t>occupation</t>
  </si>
  <si>
    <t>gloss_es_f</t>
  </si>
  <si>
    <t>contadora</t>
  </si>
  <si>
    <t>doctora</t>
  </si>
  <si>
    <t>pastora</t>
  </si>
  <si>
    <t>traductora</t>
  </si>
  <si>
    <t>carpintero</t>
  </si>
  <si>
    <t>arquitecta</t>
  </si>
  <si>
    <t>abogada</t>
  </si>
  <si>
    <t>camaronera</t>
  </si>
  <si>
    <t>carpintera</t>
  </si>
  <si>
    <t>cocinera</t>
  </si>
  <si>
    <t>pelotera</t>
  </si>
  <si>
    <t>mesera</t>
  </si>
  <si>
    <t>peluquera</t>
  </si>
  <si>
    <t>carnicera</t>
  </si>
  <si>
    <t>zapatero</t>
  </si>
  <si>
    <t>zapatera</t>
  </si>
  <si>
    <t>ik'e</t>
  </si>
  <si>
    <t>agave plant</t>
  </si>
  <si>
    <t>maguey</t>
  </si>
  <si>
    <t>k'al</t>
  </si>
  <si>
    <t>cornfield</t>
  </si>
  <si>
    <t>big cornfield</t>
  </si>
  <si>
    <t>milpa</t>
  </si>
  <si>
    <t>event</t>
  </si>
  <si>
    <t>gloss_en_f</t>
  </si>
  <si>
    <t>waitress</t>
  </si>
  <si>
    <t>From: S. Steward, Q'eqchi' Grammar</t>
  </si>
  <si>
    <t>tap</t>
  </si>
  <si>
    <t>crab</t>
  </si>
  <si>
    <t>cangrejo</t>
  </si>
  <si>
    <t>ch'aat</t>
  </si>
  <si>
    <t>bed</t>
  </si>
  <si>
    <t>furniture</t>
  </si>
  <si>
    <t>cama</t>
  </si>
  <si>
    <t>k'anti'</t>
  </si>
  <si>
    <t>snake</t>
  </si>
  <si>
    <t>serpiente</t>
  </si>
  <si>
    <t>culebra</t>
  </si>
  <si>
    <t>rooster</t>
  </si>
  <si>
    <t>gallo</t>
  </si>
  <si>
    <t>caterpillar</t>
  </si>
  <si>
    <t>motzo'</t>
  </si>
  <si>
    <t>oruga</t>
  </si>
  <si>
    <t>ak'ach</t>
  </si>
  <si>
    <t>turkey</t>
  </si>
  <si>
    <t>pavo</t>
  </si>
  <si>
    <t>chompipe</t>
  </si>
  <si>
    <t>rat</t>
  </si>
  <si>
    <t>rata</t>
  </si>
  <si>
    <t>inup</t>
  </si>
  <si>
    <t>ceiba tree</t>
  </si>
  <si>
    <t>ceiba</t>
  </si>
  <si>
    <t>peepem</t>
  </si>
  <si>
    <t>aj tz'iib'anel</t>
  </si>
  <si>
    <t>court reporter</t>
  </si>
  <si>
    <t>escribano</t>
  </si>
  <si>
    <t>escribana</t>
  </si>
  <si>
    <t>foreigner</t>
  </si>
  <si>
    <t>extranjero</t>
  </si>
  <si>
    <t>extranjera</t>
  </si>
  <si>
    <t>mu'us</t>
  </si>
  <si>
    <t>refugee</t>
  </si>
  <si>
    <t>refugiado</t>
  </si>
  <si>
    <t>refugiada</t>
  </si>
  <si>
    <t>aj sik'ol kolb'a'ib'</t>
  </si>
  <si>
    <t>zebra</t>
  </si>
  <si>
    <t>b'onb'il tzimitz</t>
  </si>
  <si>
    <t>cebra</t>
  </si>
  <si>
    <t>immigrant</t>
  </si>
  <si>
    <t>immigrante</t>
  </si>
  <si>
    <t>aj q'axol ch'och'</t>
  </si>
  <si>
    <t>field hand</t>
  </si>
  <si>
    <t>peón de campo</t>
  </si>
  <si>
    <t>trabajadora del campo</t>
  </si>
  <si>
    <t>fisher</t>
  </si>
  <si>
    <t>pescador</t>
  </si>
  <si>
    <t>pescadora</t>
  </si>
  <si>
    <t>aj chapol kar</t>
  </si>
  <si>
    <t>aj raqol aatin</t>
  </si>
  <si>
    <t>judge</t>
  </si>
  <si>
    <t>juez</t>
  </si>
  <si>
    <t>jueza</t>
  </si>
  <si>
    <t>aj chupul xam</t>
  </si>
  <si>
    <t>bombero</t>
  </si>
  <si>
    <t>psicólogo</t>
  </si>
  <si>
    <t>trabajador social</t>
  </si>
  <si>
    <t>soldado</t>
  </si>
  <si>
    <t>bombera</t>
  </si>
  <si>
    <t>psicóloga</t>
  </si>
  <si>
    <t>trabajadora social</t>
  </si>
  <si>
    <t>firefighter</t>
  </si>
  <si>
    <t>psychologist</t>
  </si>
  <si>
    <t>social worker</t>
  </si>
  <si>
    <t>soldier</t>
  </si>
  <si>
    <t>logger</t>
  </si>
  <si>
    <t>leñador</t>
  </si>
  <si>
    <t>leñadora</t>
  </si>
  <si>
    <t>aj t'anol che'</t>
  </si>
  <si>
    <t>mechanic</t>
  </si>
  <si>
    <t>mecánico</t>
  </si>
  <si>
    <t>mecánica</t>
  </si>
  <si>
    <t>aj yiib'ahom ch'iich'</t>
  </si>
  <si>
    <t>police officer</t>
  </si>
  <si>
    <t>policía</t>
  </si>
  <si>
    <t>animal doméstico</t>
  </si>
  <si>
    <t>writer</t>
  </si>
  <si>
    <t>ch'amb'ul</t>
  </si>
  <si>
    <t>bobcat</t>
  </si>
  <si>
    <t>gato montés</t>
  </si>
  <si>
    <t>ch'o hix</t>
  </si>
  <si>
    <t>cucaracha</t>
  </si>
  <si>
    <t>paachach</t>
  </si>
  <si>
    <t>dolphin</t>
  </si>
  <si>
    <t>delfín</t>
  </si>
  <si>
    <t>q'olxul kar</t>
  </si>
  <si>
    <t>piglet</t>
  </si>
  <si>
    <t>cerdito</t>
  </si>
  <si>
    <t>kuy</t>
  </si>
  <si>
    <t>carne del cerdo</t>
  </si>
  <si>
    <t>pork</t>
  </si>
  <si>
    <t>xtib'el aaq</t>
  </si>
  <si>
    <t>Fish as food</t>
  </si>
  <si>
    <t>xtib'el kaxlan</t>
  </si>
  <si>
    <t>poultry</t>
  </si>
  <si>
    <t>pollo</t>
  </si>
  <si>
    <t>xtib'el ak'ach</t>
  </si>
  <si>
    <t>turkey meat</t>
  </si>
  <si>
    <t>k'ux</t>
  </si>
  <si>
    <t>mazorca</t>
  </si>
  <si>
    <t>aj k'aak'aalehom tenamit</t>
  </si>
  <si>
    <t>mol</t>
  </si>
  <si>
    <t>egg</t>
  </si>
  <si>
    <t>huevo</t>
  </si>
  <si>
    <t>ch'ool</t>
  </si>
  <si>
    <t>heart</t>
  </si>
  <si>
    <t>corazón</t>
  </si>
  <si>
    <t>si'</t>
  </si>
  <si>
    <t>firewood</t>
  </si>
  <si>
    <t>leña</t>
  </si>
  <si>
    <t>cockroach</t>
  </si>
  <si>
    <t>p_weight</t>
  </si>
  <si>
    <t>p_debug_percent</t>
  </si>
  <si>
    <t>técnica de computadoras</t>
  </si>
  <si>
    <t>alq'</t>
  </si>
  <si>
    <t>tz'uq'tz'un</t>
  </si>
  <si>
    <t>ib'oy</t>
  </si>
  <si>
    <t>ch'ok'oj</t>
  </si>
  <si>
    <t>b'oxcar</t>
  </si>
  <si>
    <t>k'anti kar</t>
  </si>
  <si>
    <t>cho' cho</t>
  </si>
  <si>
    <t>tonq'</t>
  </si>
  <si>
    <t>aj k'ix uch</t>
  </si>
  <si>
    <t>q'uq'</t>
  </si>
  <si>
    <t>tz'entz'eu</t>
  </si>
  <si>
    <t>tz'unun</t>
  </si>
  <si>
    <t>k'oopopo'</t>
  </si>
  <si>
    <t>ikb'olay</t>
  </si>
  <si>
    <t>k'amb'olay</t>
  </si>
  <si>
    <t>b'ajlak xul</t>
  </si>
  <si>
    <t>b'itz</t>
  </si>
  <si>
    <t>ab'aj</t>
  </si>
  <si>
    <t>ch'oolok</t>
  </si>
  <si>
    <t>xmatzab'</t>
  </si>
  <si>
    <t>ch'och'</t>
  </si>
  <si>
    <t>juruch'ej</t>
  </si>
  <si>
    <t>b'o</t>
  </si>
  <si>
    <t>xala'rit</t>
  </si>
  <si>
    <t>papa'ax</t>
  </si>
  <si>
    <t>kaq ch'ool</t>
  </si>
  <si>
    <t>k'ab'el</t>
  </si>
  <si>
    <t>xa'an</t>
  </si>
  <si>
    <t>amaq' tenamit</t>
  </si>
  <si>
    <t>k'ams</t>
  </si>
  <si>
    <t>ikan na'</t>
  </si>
  <si>
    <t>xikin mama'</t>
  </si>
  <si>
    <t>xikin xa'an</t>
  </si>
  <si>
    <t>ikaq'</t>
  </si>
  <si>
    <t>jii'</t>
  </si>
  <si>
    <t>aj k'uub'anel</t>
  </si>
  <si>
    <t>k'atk'al</t>
  </si>
  <si>
    <t>k'an ha</t>
  </si>
  <si>
    <t>simb'</t>
  </si>
  <si>
    <t>tz'in</t>
  </si>
  <si>
    <t>luchb'ak</t>
  </si>
  <si>
    <t>ch'antun</t>
  </si>
  <si>
    <t>t'ajleb'</t>
  </si>
  <si>
    <t>ka' lach</t>
  </si>
  <si>
    <t>b'aqlaq ch'iich'</t>
  </si>
  <si>
    <t>tz'amb'a</t>
  </si>
  <si>
    <t>aj chajinel ab'ix</t>
  </si>
  <si>
    <t>aaj</t>
  </si>
  <si>
    <t>alib'</t>
  </si>
  <si>
    <t>daughter-in-law</t>
  </si>
  <si>
    <t>nuera</t>
  </si>
  <si>
    <t>anipor</t>
  </si>
  <si>
    <t>uniform</t>
  </si>
  <si>
    <t>uniforme</t>
  </si>
  <si>
    <t>asij</t>
  </si>
  <si>
    <t>cigarette</t>
  </si>
  <si>
    <t>cigarillo</t>
  </si>
  <si>
    <t>mushroom</t>
  </si>
  <si>
    <t>hongo</t>
  </si>
  <si>
    <t>type of mushroom</t>
  </si>
  <si>
    <t>pine</t>
  </si>
  <si>
    <t>chuke</t>
  </si>
  <si>
    <t>morning dew</t>
  </si>
  <si>
    <t>rocío</t>
  </si>
  <si>
    <t>aj ch'uk</t>
  </si>
  <si>
    <t>beggar</t>
  </si>
  <si>
    <t>mendigo</t>
  </si>
  <si>
    <t>mendiga</t>
  </si>
  <si>
    <t xml:space="preserve">aj ch’uch </t>
  </si>
  <si>
    <t>jokester</t>
  </si>
  <si>
    <t>bromista</t>
  </si>
  <si>
    <t>lob'</t>
  </si>
  <si>
    <t>matq’ab'</t>
  </si>
  <si>
    <t>mertom'</t>
  </si>
  <si>
    <t>naq'</t>
  </si>
  <si>
    <t>xik'</t>
  </si>
  <si>
    <t>xukub'</t>
  </si>
  <si>
    <t>wing</t>
  </si>
  <si>
    <t>hook</t>
  </si>
  <si>
    <t>flute</t>
  </si>
  <si>
    <t>horn</t>
  </si>
  <si>
    <t>step</t>
  </si>
  <si>
    <t>wrinkle</t>
  </si>
  <si>
    <t>stream</t>
  </si>
  <si>
    <t>stream of water</t>
  </si>
  <si>
    <t>ring</t>
  </si>
  <si>
    <t>steward</t>
  </si>
  <si>
    <t>seed</t>
  </si>
  <si>
    <t>scarecrow</t>
  </si>
  <si>
    <t>anillo</t>
  </si>
  <si>
    <t>mayordomo</t>
  </si>
  <si>
    <t>semilla</t>
  </si>
  <si>
    <t>espantapájaros</t>
  </si>
  <si>
    <t>ala</t>
  </si>
  <si>
    <t>flauta</t>
  </si>
  <si>
    <t>instrument</t>
  </si>
  <si>
    <t>paso</t>
  </si>
  <si>
    <t>arruga</t>
  </si>
  <si>
    <t>onion</t>
  </si>
  <si>
    <t>cebolla</t>
  </si>
  <si>
    <t>k'ox</t>
  </si>
  <si>
    <t>shrimp</t>
  </si>
  <si>
    <t>arroyo</t>
  </si>
  <si>
    <t>aj numel</t>
  </si>
  <si>
    <t>transient</t>
  </si>
  <si>
    <t>vagabonda</t>
  </si>
  <si>
    <t>vagabondo</t>
  </si>
  <si>
    <t>poy</t>
  </si>
  <si>
    <t>pop</t>
  </si>
  <si>
    <t>poop</t>
  </si>
  <si>
    <t>imposter</t>
  </si>
  <si>
    <t>mat</t>
  </si>
  <si>
    <t>impostor</t>
  </si>
  <si>
    <t>esterilla</t>
  </si>
  <si>
    <t>a woven mat</t>
  </si>
  <si>
    <t>misik</t>
  </si>
  <si>
    <t>antenna</t>
  </si>
  <si>
    <t>antena</t>
  </si>
  <si>
    <t>insect antenna</t>
  </si>
  <si>
    <t>sum</t>
  </si>
  <si>
    <t>spouse</t>
  </si>
  <si>
    <t>spouse/companion</t>
  </si>
  <si>
    <t>joven</t>
  </si>
  <si>
    <t>xerek'</t>
  </si>
  <si>
    <t>xok</t>
  </si>
  <si>
    <t>xol</t>
  </si>
  <si>
    <t>gancho</t>
  </si>
  <si>
    <t>cuerno</t>
  </si>
  <si>
    <t>yoch</t>
  </si>
  <si>
    <t>yok</t>
  </si>
  <si>
    <t>yuq'yuq'</t>
  </si>
  <si>
    <t>ripe fruit</t>
  </si>
  <si>
    <t>fruta madura</t>
  </si>
  <si>
    <t>meqes</t>
  </si>
  <si>
    <t>idiot</t>
  </si>
  <si>
    <t>idiota</t>
  </si>
  <si>
    <t>k'ob</t>
  </si>
  <si>
    <t>xiab'</t>
  </si>
  <si>
    <t>comb</t>
  </si>
  <si>
    <t>peine</t>
  </si>
  <si>
    <t>ich</t>
  </si>
  <si>
    <t>vein</t>
  </si>
  <si>
    <t>blood vessel</t>
  </si>
  <si>
    <t>nerve</t>
  </si>
  <si>
    <t>nervio</t>
  </si>
  <si>
    <t>ichaj</t>
  </si>
  <si>
    <t>hay</t>
  </si>
  <si>
    <t>heno</t>
  </si>
  <si>
    <t>ixki’ij</t>
  </si>
  <si>
    <t>fingernail</t>
  </si>
  <si>
    <t>uña</t>
  </si>
  <si>
    <t>ixkilal</t>
  </si>
  <si>
    <t>womanizer</t>
  </si>
  <si>
    <t>mujeriego</t>
  </si>
  <si>
    <t>hux</t>
  </si>
  <si>
    <t>whetstone</t>
  </si>
  <si>
    <t>flat stone used for sharpening tools or knives</t>
  </si>
  <si>
    <t>afilador</t>
  </si>
  <si>
    <t>job'aq</t>
  </si>
  <si>
    <t>q'ol</t>
  </si>
  <si>
    <t>sap</t>
  </si>
  <si>
    <t>savia</t>
  </si>
  <si>
    <t>xaq</t>
  </si>
  <si>
    <t>leaf</t>
  </si>
  <si>
    <t>hoja</t>
  </si>
  <si>
    <t>plant_part</t>
  </si>
  <si>
    <t>xala’ha’</t>
  </si>
  <si>
    <t>crossing</t>
  </si>
  <si>
    <t>vado</t>
  </si>
  <si>
    <t>water crossing</t>
  </si>
  <si>
    <t xml:space="preserve">xanxib’ir </t>
  </si>
  <si>
    <t>ginger</t>
  </si>
  <si>
    <t>jengibre</t>
  </si>
  <si>
    <t>spice</t>
  </si>
  <si>
    <t>yach’</t>
  </si>
  <si>
    <t>band</t>
  </si>
  <si>
    <t>banda</t>
  </si>
  <si>
    <t>a band to tie with</t>
  </si>
  <si>
    <t>tzojtzoj</t>
  </si>
  <si>
    <t>rattle</t>
  </si>
  <si>
    <t>sonajero</t>
  </si>
  <si>
    <t>toy</t>
  </si>
  <si>
    <t>yachyo</t>
  </si>
  <si>
    <t>naked person</t>
  </si>
  <si>
    <t>persona desnuda</t>
  </si>
  <si>
    <t>misatalp</t>
  </si>
  <si>
    <t>muscle</t>
  </si>
  <si>
    <t>músculo</t>
  </si>
  <si>
    <t>b'aqlaq</t>
  </si>
  <si>
    <t>siwan</t>
  </si>
  <si>
    <t>cavern</t>
  </si>
  <si>
    <t>cavern in the ground</t>
  </si>
  <si>
    <t>cueva</t>
  </si>
  <si>
    <t>k'ap</t>
  </si>
  <si>
    <t>beehive</t>
  </si>
  <si>
    <t>colmena</t>
  </si>
  <si>
    <t>xalb'ek</t>
  </si>
  <si>
    <t>bag</t>
  </si>
  <si>
    <t>bolsa</t>
  </si>
  <si>
    <t>adolescent</t>
  </si>
  <si>
    <t>adult</t>
  </si>
  <si>
    <t>saaj poyanam</t>
  </si>
  <si>
    <t>saaj al</t>
  </si>
  <si>
    <t>saaj ixqa'al</t>
  </si>
  <si>
    <t>nimla poyanam</t>
  </si>
  <si>
    <t>adolescent boy</t>
  </si>
  <si>
    <t>adolescent girl</t>
  </si>
  <si>
    <t>niño adolescente</t>
  </si>
  <si>
    <t>niña adolescente</t>
  </si>
  <si>
    <t>adulto</t>
  </si>
  <si>
    <t>adulta</t>
  </si>
  <si>
    <t>adolescente</t>
  </si>
  <si>
    <t>o</t>
  </si>
  <si>
    <t>avocado</t>
  </si>
  <si>
    <t>aguacate</t>
  </si>
  <si>
    <t>k'uula'al</t>
  </si>
  <si>
    <t>baby</t>
  </si>
  <si>
    <t>bebé</t>
  </si>
  <si>
    <t>cotton</t>
  </si>
  <si>
    <t>algodón</t>
  </si>
  <si>
    <t>material</t>
  </si>
  <si>
    <t>tuxil noq’</t>
  </si>
  <si>
    <t>xtib'el wakax</t>
  </si>
  <si>
    <t>beef</t>
  </si>
  <si>
    <t>res</t>
  </si>
  <si>
    <t>jug</t>
  </si>
  <si>
    <t>tokan</t>
  </si>
  <si>
    <t>berry</t>
  </si>
  <si>
    <t>mora</t>
  </si>
  <si>
    <t>bookshelf</t>
  </si>
  <si>
    <t>k'uuleb'aal tasal hu</t>
  </si>
  <si>
    <t>librero</t>
  </si>
  <si>
    <t>boy</t>
  </si>
  <si>
    <t>niño</t>
  </si>
  <si>
    <t>broom</t>
  </si>
  <si>
    <t>escoba</t>
  </si>
  <si>
    <t>mesleb'</t>
  </si>
  <si>
    <t>carrot</t>
  </si>
  <si>
    <t>zanahoria</t>
  </si>
  <si>
    <t>q'anxe'</t>
  </si>
  <si>
    <t>knife</t>
  </si>
  <si>
    <t>carving knife</t>
  </si>
  <si>
    <t>setleb'</t>
  </si>
  <si>
    <t>cuchillo</t>
  </si>
  <si>
    <t>ochoch pek</t>
  </si>
  <si>
    <t>cave</t>
  </si>
  <si>
    <t>chair</t>
  </si>
  <si>
    <t>silla</t>
  </si>
  <si>
    <t>tem</t>
  </si>
  <si>
    <t>ch'ima</t>
  </si>
  <si>
    <t>chayote</t>
  </si>
  <si>
    <t>guisqul</t>
  </si>
  <si>
    <t>chilacayote</t>
  </si>
  <si>
    <t>q'oq'</t>
  </si>
  <si>
    <t>child</t>
  </si>
  <si>
    <t>niña</t>
  </si>
  <si>
    <t>kach'in</t>
  </si>
  <si>
    <t>chile</t>
  </si>
  <si>
    <t>ik</t>
  </si>
  <si>
    <t>chili pepper</t>
  </si>
  <si>
    <t>t'ikr</t>
  </si>
  <si>
    <t>clothes</t>
  </si>
  <si>
    <t>ropa</t>
  </si>
  <si>
    <t>corn cob</t>
  </si>
  <si>
    <t>olote</t>
  </si>
  <si>
    <t>q'em ha'</t>
  </si>
  <si>
    <t>corn drink</t>
  </si>
  <si>
    <t>agua de masa</t>
  </si>
  <si>
    <t>ixqa'al</t>
  </si>
  <si>
    <t>daughter</t>
  </si>
  <si>
    <t>hija</t>
  </si>
  <si>
    <t>meex</t>
  </si>
  <si>
    <t>desk</t>
  </si>
  <si>
    <t>escritorio</t>
  </si>
  <si>
    <t>aj ch'ajol sek'</t>
  </si>
  <si>
    <t>dishwasher</t>
  </si>
  <si>
    <t>lavaplatos</t>
  </si>
  <si>
    <t>person who washes dishes</t>
  </si>
  <si>
    <t>driver</t>
  </si>
  <si>
    <t>aj ch'e'ol b'eleb'aal ch'iich'</t>
  </si>
  <si>
    <t>pilota</t>
  </si>
  <si>
    <t>person who drives a vehicle as a job</t>
  </si>
  <si>
    <t>duck</t>
  </si>
  <si>
    <t>pato</t>
  </si>
  <si>
    <t>patux</t>
  </si>
  <si>
    <t>elderly man</t>
  </si>
  <si>
    <t>anciano</t>
  </si>
  <si>
    <t>cheekel winq</t>
  </si>
  <si>
    <t>cheekel ixq</t>
  </si>
  <si>
    <t>elderly woman</t>
  </si>
  <si>
    <t>anciana</t>
  </si>
  <si>
    <t>elbow</t>
  </si>
  <si>
    <t>codo</t>
  </si>
  <si>
    <t>rit uq'</t>
  </si>
  <si>
    <t>ru'uj uq'</t>
  </si>
  <si>
    <t>finger</t>
  </si>
  <si>
    <t>dedo</t>
  </si>
  <si>
    <t>pez</t>
  </si>
  <si>
    <t>kar</t>
  </si>
  <si>
    <t>raxyat</t>
  </si>
  <si>
    <t>putz'leb'</t>
  </si>
  <si>
    <t>food masher</t>
  </si>
  <si>
    <t>machacador</t>
  </si>
  <si>
    <t>ru li che'</t>
  </si>
  <si>
    <t>fruta</t>
  </si>
  <si>
    <t>mama'patux</t>
  </si>
  <si>
    <t>goose</t>
  </si>
  <si>
    <t>ganso</t>
  </si>
  <si>
    <t>k'aap</t>
  </si>
  <si>
    <t>green bean</t>
  </si>
  <si>
    <t>ejote</t>
  </si>
  <si>
    <t>q'oyaq'</t>
  </si>
  <si>
    <t>green onion</t>
  </si>
  <si>
    <t>cebollín</t>
  </si>
  <si>
    <t>infant</t>
  </si>
  <si>
    <t>house</t>
  </si>
  <si>
    <t>casa</t>
  </si>
  <si>
    <t>kab'l</t>
  </si>
  <si>
    <t>interpreter</t>
  </si>
  <si>
    <t>intérprete</t>
  </si>
  <si>
    <t>aj jalol aatinob'aal</t>
  </si>
  <si>
    <t>paqmaal</t>
  </si>
  <si>
    <t>toolok</t>
  </si>
  <si>
    <t>lizard</t>
  </si>
  <si>
    <t>lagartija</t>
  </si>
  <si>
    <t>large lizard</t>
  </si>
  <si>
    <t>small lizard</t>
  </si>
  <si>
    <t>lime</t>
  </si>
  <si>
    <t>lamunx</t>
  </si>
  <si>
    <t>lima</t>
  </si>
  <si>
    <t>kaqkoj</t>
  </si>
  <si>
    <t>lion</t>
  </si>
  <si>
    <t>léon</t>
  </si>
  <si>
    <t>winq</t>
  </si>
  <si>
    <t>man</t>
  </si>
  <si>
    <t>hombre</t>
  </si>
  <si>
    <t>adult male</t>
  </si>
  <si>
    <t>nurse</t>
  </si>
  <si>
    <t>enfermero</t>
  </si>
  <si>
    <t>enfermera</t>
  </si>
  <si>
    <t>aj tenq'ahom b'anonel</t>
  </si>
  <si>
    <t>seb'ooy</t>
  </si>
  <si>
    <t>pigeon</t>
  </si>
  <si>
    <t>paloma</t>
  </si>
  <si>
    <t>mukuy</t>
  </si>
  <si>
    <t>tzo'xul</t>
  </si>
  <si>
    <t>garabato</t>
  </si>
  <si>
    <t>scythe</t>
  </si>
  <si>
    <t>tool to clean weeds</t>
  </si>
  <si>
    <t>camarón</t>
  </si>
  <si>
    <t>table</t>
  </si>
  <si>
    <t>teacher</t>
  </si>
  <si>
    <t>aj k'utunel</t>
  </si>
  <si>
    <t>mesa</t>
  </si>
  <si>
    <t>professor</t>
  </si>
  <si>
    <t>professora</t>
  </si>
  <si>
    <t>saltul</t>
  </si>
  <si>
    <t>zapote</t>
  </si>
  <si>
    <t>ixq</t>
  </si>
  <si>
    <t>woman</t>
  </si>
  <si>
    <t>mujer</t>
  </si>
  <si>
    <t>kitchen</t>
  </si>
  <si>
    <t>cocina</t>
  </si>
  <si>
    <t>k'uub'leb'aal</t>
  </si>
  <si>
    <t>xeel</t>
  </si>
  <si>
    <t>miis</t>
  </si>
  <si>
    <t>loquat</t>
  </si>
  <si>
    <t>nispero</t>
  </si>
  <si>
    <t>machete</t>
  </si>
  <si>
    <t>ch'iich'</t>
  </si>
  <si>
    <t>ixim</t>
  </si>
  <si>
    <t>maize</t>
  </si>
  <si>
    <t>dew</t>
  </si>
  <si>
    <t>motorcycle</t>
  </si>
  <si>
    <t>tzimitz ch'iich'</t>
  </si>
  <si>
    <t>motocicleta</t>
  </si>
  <si>
    <t>silip</t>
  </si>
  <si>
    <t>saqi tul</t>
  </si>
  <si>
    <t>plantain</t>
  </si>
  <si>
    <t>salt</t>
  </si>
  <si>
    <t>atz'am</t>
  </si>
  <si>
    <t>sal</t>
  </si>
  <si>
    <t>skirt</t>
  </si>
  <si>
    <t>uuq</t>
  </si>
  <si>
    <t>corte</t>
  </si>
  <si>
    <t>q'um</t>
  </si>
  <si>
    <t>squash</t>
  </si>
  <si>
    <t>calabaza</t>
  </si>
  <si>
    <t>ob'en</t>
  </si>
  <si>
    <t>tamale</t>
  </si>
  <si>
    <t>tz'uuj</t>
  </si>
  <si>
    <t>tayuyo</t>
  </si>
  <si>
    <t>pix</t>
  </si>
  <si>
    <t>tomato</t>
  </si>
  <si>
    <t>tomate</t>
  </si>
  <si>
    <t>b'eeleb'aal ch'iich'</t>
  </si>
  <si>
    <t>vehículo</t>
  </si>
  <si>
    <t>vehicle, general term</t>
  </si>
  <si>
    <t>so'sol</t>
  </si>
  <si>
    <t>vulture</t>
  </si>
  <si>
    <t>zopilote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</si>
</sst>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/>
    <xf numFmtId="0" fontId="0" fillId="33" borderId="0" xfId="0" applyFill="1"/>
    <xf numFmtId="0" fontId="19" fillId="0" borderId="0" xfId="0" applyFont="1" applyAlignment="1">
      <alignment vertical="center" wrapText="1"/>
    </xf>
    <xf numFmtId="0" fontId="0" fillId="34" borderId="0" xfId="0" applyFill="1"/>
    <xf numFmtId="0" fontId="0" fillId="0" borderId="0" xfId="0" applyFill="1"/>
    <xf numFmtId="0" fontId="0" fillId="0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EA36-45B7-49F2-A87F-BEB029C70AB9}">
  <dimension ref="A1:N375"/>
  <sheetViews>
    <sheetView tabSelected="1" zoomScaleNormal="100" workbookViewId="0">
      <pane ySplit="1" topLeftCell="A310" activePane="bottomLeft" state="frozen"/>
      <selection pane="bottomLeft" activeCell="K357" sqref="K357"/>
    </sheetView>
  </sheetViews>
  <sheetFormatPr defaultRowHeight="14.25" x14ac:dyDescent="0.45"/>
  <cols>
    <col min="1" max="1" width="23.73046875" customWidth="1"/>
    <col min="2" max="2" width="16" customWidth="1"/>
    <col min="3" max="3" width="20.265625" customWidth="1"/>
    <col min="4" max="4" width="12.265625" customWidth="1"/>
    <col min="5" max="6" width="20.265625" customWidth="1"/>
    <col min="7" max="7" width="16.53125" customWidth="1"/>
    <col min="8" max="9" width="11.265625" customWidth="1"/>
    <col min="10" max="10" width="19.06640625" customWidth="1"/>
    <col min="12" max="12" width="39.6640625" customWidth="1"/>
  </cols>
  <sheetData>
    <row r="1" spans="1:14" x14ac:dyDescent="0.45">
      <c r="A1" t="s">
        <v>0</v>
      </c>
      <c r="B1" t="s">
        <v>520</v>
      </c>
      <c r="C1" t="s">
        <v>1</v>
      </c>
      <c r="D1" t="s">
        <v>646</v>
      </c>
      <c r="E1" t="s">
        <v>521</v>
      </c>
      <c r="F1" s="2" t="s">
        <v>168</v>
      </c>
      <c r="G1" s="2" t="s">
        <v>621</v>
      </c>
      <c r="H1" t="s">
        <v>239</v>
      </c>
      <c r="I1" t="s">
        <v>522</v>
      </c>
      <c r="J1" t="s">
        <v>2</v>
      </c>
      <c r="K1" t="s">
        <v>3</v>
      </c>
      <c r="L1" t="s">
        <v>4</v>
      </c>
      <c r="M1" t="s">
        <v>762</v>
      </c>
      <c r="N1" t="s">
        <v>763</v>
      </c>
    </row>
    <row r="2" spans="1:14" x14ac:dyDescent="0.45">
      <c r="A2" t="s">
        <v>284</v>
      </c>
      <c r="B2" t="s">
        <v>8</v>
      </c>
      <c r="C2" t="s">
        <v>440</v>
      </c>
      <c r="E2" t="s">
        <v>8</v>
      </c>
      <c r="F2" t="s">
        <v>441</v>
      </c>
      <c r="H2" t="s">
        <v>241</v>
      </c>
      <c r="I2" t="s">
        <v>8</v>
      </c>
      <c r="J2" t="s">
        <v>442</v>
      </c>
      <c r="K2" t="b">
        <v>0</v>
      </c>
      <c r="M2">
        <v>7025.3289897305103</v>
      </c>
      <c r="N2">
        <v>2.5914782740125402</v>
      </c>
    </row>
    <row r="3" spans="1:14" x14ac:dyDescent="0.45">
      <c r="A3" t="s">
        <v>564</v>
      </c>
      <c r="B3" t="s">
        <v>8</v>
      </c>
      <c r="C3" t="s">
        <v>562</v>
      </c>
      <c r="E3" t="s">
        <v>8</v>
      </c>
      <c r="F3" t="s">
        <v>563</v>
      </c>
      <c r="G3" t="s">
        <v>622</v>
      </c>
      <c r="H3" t="s">
        <v>240</v>
      </c>
      <c r="I3" t="s">
        <v>8</v>
      </c>
      <c r="J3" t="s">
        <v>620</v>
      </c>
      <c r="K3" t="b">
        <v>0</v>
      </c>
      <c r="M3">
        <v>443.26829234600899</v>
      </c>
      <c r="N3">
        <v>0.163511225004907</v>
      </c>
    </row>
    <row r="4" spans="1:14" x14ac:dyDescent="0.45">
      <c r="A4" t="s">
        <v>966</v>
      </c>
      <c r="B4" t="s">
        <v>8</v>
      </c>
      <c r="C4" t="s">
        <v>964</v>
      </c>
      <c r="E4" t="s">
        <v>8</v>
      </c>
      <c r="F4" t="s">
        <v>976</v>
      </c>
      <c r="H4" t="s">
        <v>240</v>
      </c>
      <c r="I4" t="s">
        <v>8</v>
      </c>
      <c r="J4" t="s">
        <v>334</v>
      </c>
      <c r="K4" t="b">
        <v>0</v>
      </c>
    </row>
    <row r="5" spans="1:14" x14ac:dyDescent="0.45">
      <c r="A5" t="s">
        <v>967</v>
      </c>
      <c r="B5" t="s">
        <v>8</v>
      </c>
      <c r="C5" t="s">
        <v>970</v>
      </c>
      <c r="E5" t="s">
        <v>8</v>
      </c>
      <c r="F5" t="s">
        <v>972</v>
      </c>
      <c r="H5" t="s">
        <v>240</v>
      </c>
      <c r="I5" t="s">
        <v>8</v>
      </c>
      <c r="J5" t="s">
        <v>334</v>
      </c>
      <c r="K5" t="b">
        <v>0</v>
      </c>
    </row>
    <row r="6" spans="1:14" x14ac:dyDescent="0.45">
      <c r="A6" t="s">
        <v>968</v>
      </c>
      <c r="B6" t="s">
        <v>8</v>
      </c>
      <c r="C6" t="s">
        <v>971</v>
      </c>
      <c r="E6" t="s">
        <v>8</v>
      </c>
      <c r="F6" t="s">
        <v>973</v>
      </c>
      <c r="H6" t="s">
        <v>241</v>
      </c>
      <c r="I6" t="s">
        <v>8</v>
      </c>
      <c r="J6" t="s">
        <v>334</v>
      </c>
      <c r="K6" t="b">
        <v>0</v>
      </c>
    </row>
    <row r="7" spans="1:14" x14ac:dyDescent="0.45">
      <c r="A7" t="s">
        <v>969</v>
      </c>
      <c r="B7" t="s">
        <v>8</v>
      </c>
      <c r="C7" t="s">
        <v>965</v>
      </c>
      <c r="E7" t="s">
        <v>8</v>
      </c>
      <c r="F7" t="s">
        <v>974</v>
      </c>
      <c r="G7" t="s">
        <v>975</v>
      </c>
      <c r="H7" t="s">
        <v>240</v>
      </c>
      <c r="I7" t="s">
        <v>8</v>
      </c>
      <c r="J7" t="s">
        <v>334</v>
      </c>
      <c r="K7" t="b">
        <v>0</v>
      </c>
    </row>
    <row r="8" spans="1:14" x14ac:dyDescent="0.45">
      <c r="A8" t="s">
        <v>638</v>
      </c>
      <c r="B8" t="s">
        <v>8</v>
      </c>
      <c r="C8" t="s">
        <v>639</v>
      </c>
      <c r="E8" t="s">
        <v>8</v>
      </c>
      <c r="F8" t="s">
        <v>640</v>
      </c>
      <c r="H8" t="s">
        <v>240</v>
      </c>
      <c r="I8" t="s">
        <v>8</v>
      </c>
      <c r="J8" t="s">
        <v>333</v>
      </c>
      <c r="K8" t="b">
        <v>0</v>
      </c>
      <c r="M8">
        <v>1819.7008586099801</v>
      </c>
      <c r="N8">
        <v>0.67124475553857699</v>
      </c>
    </row>
    <row r="9" spans="1:14" x14ac:dyDescent="0.45">
      <c r="A9" t="s">
        <v>451</v>
      </c>
      <c r="B9" t="s">
        <v>16</v>
      </c>
      <c r="C9" t="s">
        <v>452</v>
      </c>
      <c r="E9" t="s">
        <v>16</v>
      </c>
      <c r="F9" t="s">
        <v>452</v>
      </c>
      <c r="H9" t="s">
        <v>241</v>
      </c>
      <c r="I9" t="s">
        <v>16</v>
      </c>
      <c r="J9" t="s">
        <v>446</v>
      </c>
      <c r="K9" t="b">
        <v>0</v>
      </c>
      <c r="L9" t="s">
        <v>453</v>
      </c>
      <c r="M9">
        <v>4570.8818961487495</v>
      </c>
      <c r="N9">
        <v>1.68609059365931</v>
      </c>
    </row>
    <row r="10" spans="1:14" x14ac:dyDescent="0.45">
      <c r="A10" t="s">
        <v>478</v>
      </c>
      <c r="B10" t="s">
        <v>16</v>
      </c>
      <c r="C10" t="s">
        <v>479</v>
      </c>
      <c r="E10" t="s">
        <v>16</v>
      </c>
      <c r="F10" t="s">
        <v>479</v>
      </c>
      <c r="H10" t="s">
        <v>240</v>
      </c>
      <c r="I10" t="s">
        <v>16</v>
      </c>
      <c r="J10" t="s">
        <v>446</v>
      </c>
      <c r="K10" t="b">
        <v>0</v>
      </c>
      <c r="L10" t="s">
        <v>480</v>
      </c>
      <c r="M10">
        <v>1183.9499222293</v>
      </c>
      <c r="N10">
        <v>0.43673122005547099</v>
      </c>
    </row>
    <row r="11" spans="1:14" x14ac:dyDescent="0.45">
      <c r="A11" t="s">
        <v>127</v>
      </c>
      <c r="B11" t="s">
        <v>8</v>
      </c>
      <c r="C11" t="s">
        <v>125</v>
      </c>
      <c r="E11" t="s">
        <v>8</v>
      </c>
      <c r="F11" s="1" t="s">
        <v>358</v>
      </c>
      <c r="G11" s="1"/>
      <c r="H11" t="s">
        <v>240</v>
      </c>
      <c r="I11" t="s">
        <v>8</v>
      </c>
      <c r="J11" t="s">
        <v>165</v>
      </c>
      <c r="K11" t="b">
        <v>0</v>
      </c>
      <c r="M11">
        <v>179.19807223753301</v>
      </c>
      <c r="N11">
        <v>6.6101945065822704E-2</v>
      </c>
    </row>
    <row r="12" spans="1:14" x14ac:dyDescent="0.45">
      <c r="A12" t="s">
        <v>18</v>
      </c>
      <c r="B12" t="s">
        <v>8</v>
      </c>
      <c r="C12" t="s">
        <v>94</v>
      </c>
      <c r="E12" t="s">
        <v>8</v>
      </c>
      <c r="F12" s="1" t="s">
        <v>94</v>
      </c>
      <c r="G12" s="1"/>
      <c r="H12" t="s">
        <v>240</v>
      </c>
      <c r="I12" t="s">
        <v>8</v>
      </c>
      <c r="J12" t="s">
        <v>19</v>
      </c>
      <c r="K12" t="b">
        <v>1</v>
      </c>
      <c r="M12">
        <v>493.55247413948001</v>
      </c>
      <c r="N12">
        <v>0.18205987444677099</v>
      </c>
    </row>
    <row r="13" spans="1:14" x14ac:dyDescent="0.45">
      <c r="A13" t="s">
        <v>128</v>
      </c>
      <c r="B13" t="s">
        <v>8</v>
      </c>
      <c r="C13" t="s">
        <v>126</v>
      </c>
      <c r="E13" t="s">
        <v>8</v>
      </c>
      <c r="F13" s="1" t="s">
        <v>169</v>
      </c>
      <c r="G13" s="1"/>
      <c r="H13" t="s">
        <v>241</v>
      </c>
      <c r="I13" t="s">
        <v>8</v>
      </c>
      <c r="J13" t="s">
        <v>426</v>
      </c>
      <c r="K13" t="b">
        <v>0</v>
      </c>
      <c r="M13">
        <v>374.39783898238102</v>
      </c>
      <c r="N13">
        <v>0.13810653806794901</v>
      </c>
    </row>
    <row r="14" spans="1:14" x14ac:dyDescent="0.45">
      <c r="A14" t="s">
        <v>766</v>
      </c>
      <c r="B14" t="s">
        <v>8</v>
      </c>
      <c r="C14" t="s">
        <v>129</v>
      </c>
      <c r="E14" t="s">
        <v>8</v>
      </c>
      <c r="F14" s="1" t="s">
        <v>359</v>
      </c>
      <c r="G14" s="1"/>
      <c r="H14" t="s">
        <v>241</v>
      </c>
      <c r="I14" t="s">
        <v>8</v>
      </c>
      <c r="J14" t="s">
        <v>165</v>
      </c>
      <c r="K14" t="b">
        <v>0</v>
      </c>
      <c r="M14">
        <v>33.113112148258999</v>
      </c>
      <c r="N14">
        <v>1.22146465799099E-2</v>
      </c>
    </row>
    <row r="15" spans="1:14" x14ac:dyDescent="0.45">
      <c r="A15" s="6" t="s">
        <v>880</v>
      </c>
      <c r="B15" t="s">
        <v>8</v>
      </c>
      <c r="C15" t="s">
        <v>881</v>
      </c>
      <c r="E15" t="s">
        <v>8</v>
      </c>
      <c r="F15" s="1" t="s">
        <v>882</v>
      </c>
      <c r="G15" s="1"/>
      <c r="H15" t="s">
        <v>241</v>
      </c>
      <c r="I15" t="s">
        <v>8</v>
      </c>
      <c r="J15" t="s">
        <v>11</v>
      </c>
      <c r="K15" t="b">
        <v>0</v>
      </c>
      <c r="L15" t="s">
        <v>883</v>
      </c>
    </row>
    <row r="16" spans="1:14" x14ac:dyDescent="0.45">
      <c r="A16" t="s">
        <v>316</v>
      </c>
      <c r="B16" t="s">
        <v>8</v>
      </c>
      <c r="C16" t="s">
        <v>317</v>
      </c>
      <c r="E16" t="s">
        <v>8</v>
      </c>
      <c r="F16" t="s">
        <v>382</v>
      </c>
      <c r="H16" t="s">
        <v>240</v>
      </c>
      <c r="I16" t="s">
        <v>8</v>
      </c>
      <c r="J16" t="s">
        <v>11</v>
      </c>
      <c r="K16" t="b">
        <v>0</v>
      </c>
      <c r="M16">
        <v>357.54716045062099</v>
      </c>
      <c r="N16">
        <v>0.13189071993597901</v>
      </c>
    </row>
    <row r="17" spans="1:14" x14ac:dyDescent="0.45">
      <c r="A17" t="s">
        <v>598</v>
      </c>
      <c r="B17" t="s">
        <v>8</v>
      </c>
      <c r="C17" t="s">
        <v>596</v>
      </c>
      <c r="E17" t="s">
        <v>8</v>
      </c>
      <c r="F17" t="s">
        <v>597</v>
      </c>
      <c r="G17" t="s">
        <v>627</v>
      </c>
      <c r="H17" t="s">
        <v>240</v>
      </c>
      <c r="I17" t="s">
        <v>8</v>
      </c>
      <c r="J17" t="s">
        <v>620</v>
      </c>
      <c r="K17" t="b">
        <v>0</v>
      </c>
      <c r="M17">
        <v>524.80746024977202</v>
      </c>
      <c r="N17">
        <v>0.19358910212817701</v>
      </c>
    </row>
    <row r="18" spans="1:14" x14ac:dyDescent="0.45">
      <c r="A18" t="s">
        <v>246</v>
      </c>
      <c r="B18" t="s">
        <v>8</v>
      </c>
      <c r="C18" t="s">
        <v>23</v>
      </c>
      <c r="E18" t="s">
        <v>8</v>
      </c>
      <c r="F18" s="1" t="s">
        <v>199</v>
      </c>
      <c r="G18" s="1"/>
      <c r="H18" t="s">
        <v>240</v>
      </c>
      <c r="I18" t="s">
        <v>8</v>
      </c>
      <c r="J18" t="s">
        <v>11</v>
      </c>
      <c r="K18" t="b">
        <v>0</v>
      </c>
      <c r="M18">
        <v>1423.4208838643401</v>
      </c>
      <c r="N18">
        <v>0.52506641335976401</v>
      </c>
    </row>
    <row r="19" spans="1:14" x14ac:dyDescent="0.45">
      <c r="A19" t="s">
        <v>767</v>
      </c>
      <c r="B19" t="s">
        <v>8</v>
      </c>
      <c r="C19" t="s">
        <v>130</v>
      </c>
      <c r="E19" t="s">
        <v>8</v>
      </c>
      <c r="F19" s="1" t="s">
        <v>360</v>
      </c>
      <c r="G19" s="1"/>
      <c r="H19" t="s">
        <v>240</v>
      </c>
      <c r="I19" t="s">
        <v>8</v>
      </c>
      <c r="J19" t="s">
        <v>165</v>
      </c>
      <c r="K19" t="b">
        <v>0</v>
      </c>
      <c r="L19" t="s">
        <v>361</v>
      </c>
      <c r="M19">
        <v>63.0957344480193</v>
      </c>
      <c r="N19">
        <v>2.3274529241822599E-2</v>
      </c>
    </row>
    <row r="20" spans="1:14" x14ac:dyDescent="0.45">
      <c r="A20" t="s">
        <v>133</v>
      </c>
      <c r="B20" t="s">
        <v>8</v>
      </c>
      <c r="C20" t="s">
        <v>130</v>
      </c>
      <c r="E20" t="s">
        <v>8</v>
      </c>
      <c r="F20" s="1" t="s">
        <v>360</v>
      </c>
      <c r="G20" s="1"/>
      <c r="H20" t="s">
        <v>240</v>
      </c>
      <c r="I20" t="s">
        <v>8</v>
      </c>
      <c r="J20" t="s">
        <v>165</v>
      </c>
      <c r="K20" t="b">
        <v>0</v>
      </c>
      <c r="L20" t="s">
        <v>361</v>
      </c>
      <c r="M20">
        <v>63.0957344480193</v>
      </c>
      <c r="N20">
        <v>2.3274529241822599E-2</v>
      </c>
    </row>
    <row r="21" spans="1:14" x14ac:dyDescent="0.45">
      <c r="A21" t="s">
        <v>593</v>
      </c>
      <c r="B21" t="s">
        <v>8</v>
      </c>
      <c r="C21" t="s">
        <v>594</v>
      </c>
      <c r="E21" t="s">
        <v>8</v>
      </c>
      <c r="F21" t="s">
        <v>595</v>
      </c>
      <c r="H21" t="s">
        <v>240</v>
      </c>
      <c r="I21" t="s">
        <v>8</v>
      </c>
      <c r="J21" t="s">
        <v>620</v>
      </c>
      <c r="K21" t="b">
        <v>0</v>
      </c>
      <c r="M21">
        <v>1584.8931924611099</v>
      </c>
      <c r="N21">
        <v>0.58462974202307105</v>
      </c>
    </row>
    <row r="22" spans="1:14" x14ac:dyDescent="0.45">
      <c r="A22" t="s">
        <v>728</v>
      </c>
      <c r="B22" t="s">
        <v>16</v>
      </c>
      <c r="C22" t="s">
        <v>481</v>
      </c>
      <c r="E22" t="s">
        <v>16</v>
      </c>
      <c r="F22" t="s">
        <v>481</v>
      </c>
      <c r="H22" t="s">
        <v>240</v>
      </c>
      <c r="I22" t="s">
        <v>16</v>
      </c>
      <c r="J22" t="s">
        <v>446</v>
      </c>
      <c r="K22" t="b">
        <v>0</v>
      </c>
      <c r="L22" t="s">
        <v>482</v>
      </c>
      <c r="M22">
        <v>21.5443469003188</v>
      </c>
      <c r="N22">
        <v>7.94720176116725E-3</v>
      </c>
    </row>
    <row r="23" spans="1:14" x14ac:dyDescent="0.45">
      <c r="A23" t="s">
        <v>592</v>
      </c>
      <c r="B23" t="s">
        <v>8</v>
      </c>
      <c r="C23" t="s">
        <v>590</v>
      </c>
      <c r="E23" t="s">
        <v>8</v>
      </c>
      <c r="F23" t="s">
        <v>591</v>
      </c>
      <c r="G23" t="s">
        <v>628</v>
      </c>
      <c r="H23" t="s">
        <v>240</v>
      </c>
      <c r="I23" t="s">
        <v>8</v>
      </c>
      <c r="J23" t="s">
        <v>620</v>
      </c>
      <c r="K23" t="b">
        <v>0</v>
      </c>
      <c r="M23">
        <v>1513.5612484362</v>
      </c>
      <c r="N23">
        <v>0.55831706919965696</v>
      </c>
    </row>
    <row r="24" spans="1:14" x14ac:dyDescent="0.45">
      <c r="A24" t="s">
        <v>795</v>
      </c>
      <c r="B24" t="s">
        <v>8</v>
      </c>
      <c r="C24" t="s">
        <v>261</v>
      </c>
      <c r="E24" t="s">
        <v>8</v>
      </c>
      <c r="F24" t="s">
        <v>386</v>
      </c>
      <c r="H24" t="s">
        <v>241</v>
      </c>
      <c r="I24" t="s">
        <v>8</v>
      </c>
      <c r="J24" t="s">
        <v>7</v>
      </c>
      <c r="K24" t="b">
        <v>0</v>
      </c>
      <c r="M24">
        <v>794.32823472428095</v>
      </c>
      <c r="N24">
        <v>0.29300896310076902</v>
      </c>
    </row>
    <row r="25" spans="1:14" x14ac:dyDescent="0.45">
      <c r="A25" t="s">
        <v>977</v>
      </c>
      <c r="B25" t="s">
        <v>8</v>
      </c>
      <c r="C25" t="s">
        <v>978</v>
      </c>
      <c r="E25" t="s">
        <v>8</v>
      </c>
      <c r="F25" t="s">
        <v>979</v>
      </c>
      <c r="H25" t="s">
        <v>240</v>
      </c>
      <c r="I25" t="s">
        <v>8</v>
      </c>
      <c r="J25" t="s">
        <v>335</v>
      </c>
      <c r="K25" t="b">
        <v>0</v>
      </c>
    </row>
    <row r="26" spans="1:14" x14ac:dyDescent="0.45">
      <c r="A26" t="s">
        <v>524</v>
      </c>
      <c r="B26" t="s">
        <v>8</v>
      </c>
      <c r="C26" t="s">
        <v>523</v>
      </c>
      <c r="E26" t="s">
        <v>8</v>
      </c>
      <c r="F26" t="s">
        <v>525</v>
      </c>
      <c r="H26" t="s">
        <v>241</v>
      </c>
      <c r="I26" t="s">
        <v>8</v>
      </c>
      <c r="J26" t="s">
        <v>332</v>
      </c>
      <c r="K26" t="b">
        <v>0</v>
      </c>
      <c r="M26">
        <v>336.25338629516199</v>
      </c>
      <c r="N26">
        <v>0.124035948554273</v>
      </c>
    </row>
    <row r="27" spans="1:14" x14ac:dyDescent="0.45">
      <c r="A27" t="s">
        <v>980</v>
      </c>
      <c r="B27" t="s">
        <v>8</v>
      </c>
      <c r="C27" t="s">
        <v>981</v>
      </c>
      <c r="E27" t="s">
        <v>8</v>
      </c>
      <c r="F27" t="s">
        <v>982</v>
      </c>
      <c r="H27" t="s">
        <v>240</v>
      </c>
      <c r="I27" t="s">
        <v>8</v>
      </c>
      <c r="J27" t="s">
        <v>334</v>
      </c>
      <c r="K27" t="b">
        <v>0</v>
      </c>
    </row>
    <row r="28" spans="1:14" x14ac:dyDescent="0.45">
      <c r="A28" t="s">
        <v>22</v>
      </c>
      <c r="B28" t="s">
        <v>8</v>
      </c>
      <c r="C28" t="s">
        <v>24</v>
      </c>
      <c r="E28" t="s">
        <v>8</v>
      </c>
      <c r="F28" s="1" t="s">
        <v>200</v>
      </c>
      <c r="G28" s="1"/>
      <c r="H28" t="s">
        <v>241</v>
      </c>
      <c r="I28" t="s">
        <v>8</v>
      </c>
      <c r="J28" t="s">
        <v>11</v>
      </c>
      <c r="K28" t="b">
        <v>0</v>
      </c>
      <c r="M28">
        <v>10633.265716371599</v>
      </c>
      <c r="N28">
        <v>3.92236109170973</v>
      </c>
    </row>
    <row r="29" spans="1:14" x14ac:dyDescent="0.45">
      <c r="A29" t="s">
        <v>961</v>
      </c>
      <c r="B29" t="s">
        <v>8</v>
      </c>
      <c r="C29" t="s">
        <v>962</v>
      </c>
      <c r="E29" t="s">
        <v>8</v>
      </c>
      <c r="F29" s="1" t="s">
        <v>963</v>
      </c>
      <c r="G29" s="1"/>
      <c r="H29" t="s">
        <v>241</v>
      </c>
      <c r="I29" t="s">
        <v>8</v>
      </c>
      <c r="J29" t="s">
        <v>529</v>
      </c>
      <c r="K29" t="b">
        <v>0</v>
      </c>
    </row>
    <row r="30" spans="1:14" x14ac:dyDescent="0.45">
      <c r="A30" t="s">
        <v>803</v>
      </c>
      <c r="B30" t="s">
        <v>16</v>
      </c>
      <c r="C30" t="s">
        <v>296</v>
      </c>
      <c r="E30" t="s">
        <v>16</v>
      </c>
      <c r="F30" t="s">
        <v>392</v>
      </c>
      <c r="H30" t="s">
        <v>240</v>
      </c>
      <c r="I30" t="s">
        <v>16</v>
      </c>
      <c r="J30" t="s">
        <v>333</v>
      </c>
      <c r="K30" t="b">
        <v>0</v>
      </c>
      <c r="M30">
        <v>271.227257933202</v>
      </c>
      <c r="N30">
        <v>0.10004934249788799</v>
      </c>
    </row>
    <row r="31" spans="1:14" x14ac:dyDescent="0.45">
      <c r="A31" t="s">
        <v>101</v>
      </c>
      <c r="B31" t="s">
        <v>8</v>
      </c>
      <c r="C31" t="s">
        <v>97</v>
      </c>
      <c r="E31" t="s">
        <v>8</v>
      </c>
      <c r="F31" s="1" t="s">
        <v>213</v>
      </c>
      <c r="G31" s="1"/>
      <c r="H31" t="s">
        <v>240</v>
      </c>
      <c r="I31" t="s">
        <v>8</v>
      </c>
      <c r="J31" t="s">
        <v>335</v>
      </c>
      <c r="K31" t="b">
        <v>0</v>
      </c>
      <c r="M31">
        <v>464.15888336127699</v>
      </c>
      <c r="N31">
        <v>0.171217271629412</v>
      </c>
    </row>
    <row r="32" spans="1:14" x14ac:dyDescent="0.45">
      <c r="A32" t="s">
        <v>939</v>
      </c>
      <c r="B32" t="s">
        <v>8</v>
      </c>
      <c r="C32" t="s">
        <v>940</v>
      </c>
      <c r="E32" t="s">
        <v>8</v>
      </c>
      <c r="F32" s="1" t="s">
        <v>941</v>
      </c>
      <c r="G32" s="1"/>
      <c r="H32" t="s">
        <v>241</v>
      </c>
      <c r="I32" t="s">
        <v>8</v>
      </c>
      <c r="K32" t="b">
        <v>0</v>
      </c>
      <c r="L32" t="s">
        <v>942</v>
      </c>
    </row>
    <row r="33" spans="1:14" x14ac:dyDescent="0.45">
      <c r="A33" t="s">
        <v>587</v>
      </c>
      <c r="B33" t="s">
        <v>8</v>
      </c>
      <c r="C33" t="s">
        <v>588</v>
      </c>
      <c r="E33" t="s">
        <v>8</v>
      </c>
      <c r="F33" t="s">
        <v>589</v>
      </c>
      <c r="G33" t="s">
        <v>634</v>
      </c>
      <c r="H33" t="s">
        <v>240</v>
      </c>
      <c r="I33" t="s">
        <v>8</v>
      </c>
      <c r="J33" t="s">
        <v>620</v>
      </c>
      <c r="K33" t="b">
        <v>0</v>
      </c>
      <c r="M33">
        <v>346.73685045253097</v>
      </c>
      <c r="N33">
        <v>0.12790305138176</v>
      </c>
    </row>
    <row r="34" spans="1:14" x14ac:dyDescent="0.45">
      <c r="A34" t="s">
        <v>512</v>
      </c>
      <c r="B34" t="s">
        <v>8</v>
      </c>
      <c r="C34" t="s">
        <v>510</v>
      </c>
      <c r="E34" t="s">
        <v>8</v>
      </c>
      <c r="F34" t="s">
        <v>511</v>
      </c>
      <c r="H34" t="s">
        <v>241</v>
      </c>
      <c r="I34" t="s">
        <v>8</v>
      </c>
      <c r="J34" t="s">
        <v>447</v>
      </c>
      <c r="K34" t="b">
        <v>0</v>
      </c>
      <c r="M34">
        <v>1063.32657163716</v>
      </c>
      <c r="N34">
        <v>0.39223610917097401</v>
      </c>
    </row>
    <row r="35" spans="1:14" x14ac:dyDescent="0.45">
      <c r="A35" t="s">
        <v>526</v>
      </c>
      <c r="B35" t="s">
        <v>8</v>
      </c>
      <c r="C35" t="s">
        <v>527</v>
      </c>
      <c r="E35" t="s">
        <v>8</v>
      </c>
      <c r="F35" s="1" t="s">
        <v>528</v>
      </c>
      <c r="G35" s="1"/>
      <c r="H35" t="s">
        <v>241</v>
      </c>
      <c r="I35" t="s">
        <v>8</v>
      </c>
      <c r="J35" t="s">
        <v>529</v>
      </c>
      <c r="K35" t="b">
        <v>0</v>
      </c>
      <c r="M35">
        <v>516.81288563260296</v>
      </c>
      <c r="N35">
        <v>0.19064009198777601</v>
      </c>
    </row>
    <row r="36" spans="1:14" x14ac:dyDescent="0.45">
      <c r="A36" t="s">
        <v>768</v>
      </c>
      <c r="B36" t="s">
        <v>8</v>
      </c>
      <c r="C36" t="s">
        <v>131</v>
      </c>
      <c r="E36" t="s">
        <v>8</v>
      </c>
      <c r="F36" s="1" t="s">
        <v>170</v>
      </c>
      <c r="G36" s="1"/>
      <c r="H36" t="s">
        <v>240</v>
      </c>
      <c r="I36" t="s">
        <v>8</v>
      </c>
      <c r="J36" t="s">
        <v>165</v>
      </c>
      <c r="K36" t="b">
        <v>0</v>
      </c>
      <c r="M36">
        <v>735.64225445964098</v>
      </c>
      <c r="N36">
        <v>0.27136108823721999</v>
      </c>
    </row>
    <row r="37" spans="1:14" x14ac:dyDescent="0.45">
      <c r="A37" t="s">
        <v>135</v>
      </c>
      <c r="B37" t="s">
        <v>8</v>
      </c>
      <c r="C37" t="s">
        <v>131</v>
      </c>
      <c r="E37" t="s">
        <v>8</v>
      </c>
      <c r="F37" s="1" t="s">
        <v>170</v>
      </c>
      <c r="G37" s="1"/>
      <c r="H37" t="s">
        <v>240</v>
      </c>
      <c r="I37" t="s">
        <v>8</v>
      </c>
      <c r="J37" t="s">
        <v>165</v>
      </c>
      <c r="K37" t="b">
        <v>0</v>
      </c>
      <c r="M37">
        <v>735.64225445964098</v>
      </c>
      <c r="N37">
        <v>0.27136108823721999</v>
      </c>
    </row>
    <row r="38" spans="1:14" x14ac:dyDescent="0.45">
      <c r="A38" t="s">
        <v>810</v>
      </c>
      <c r="B38" t="s">
        <v>8</v>
      </c>
      <c r="C38" t="s">
        <v>470</v>
      </c>
      <c r="E38" t="s">
        <v>8</v>
      </c>
      <c r="F38" t="s">
        <v>475</v>
      </c>
      <c r="H38" t="s">
        <v>241</v>
      </c>
      <c r="I38" t="s">
        <v>8</v>
      </c>
      <c r="J38" t="s">
        <v>450</v>
      </c>
      <c r="K38" t="b">
        <v>0</v>
      </c>
      <c r="L38" t="s">
        <v>472</v>
      </c>
      <c r="M38">
        <v>575.43993733715604</v>
      </c>
      <c r="N38">
        <v>0.21226622949448201</v>
      </c>
    </row>
    <row r="39" spans="1:14" x14ac:dyDescent="0.45">
      <c r="A39" t="s">
        <v>791</v>
      </c>
      <c r="B39" t="s">
        <v>16</v>
      </c>
      <c r="C39" t="s">
        <v>274</v>
      </c>
      <c r="E39" t="s">
        <v>16</v>
      </c>
      <c r="F39" s="1" t="s">
        <v>421</v>
      </c>
      <c r="G39" s="1"/>
      <c r="H39" t="s">
        <v>241</v>
      </c>
      <c r="I39" t="s">
        <v>16</v>
      </c>
      <c r="J39" t="s">
        <v>14</v>
      </c>
      <c r="K39" t="b">
        <v>0</v>
      </c>
      <c r="M39">
        <v>584.34141337351798</v>
      </c>
      <c r="N39">
        <v>0.21554977419233101</v>
      </c>
    </row>
    <row r="40" spans="1:14" x14ac:dyDescent="0.45">
      <c r="A40" t="s">
        <v>83</v>
      </c>
      <c r="B40" t="s">
        <v>8</v>
      </c>
      <c r="C40" t="s">
        <v>84</v>
      </c>
      <c r="E40" t="s">
        <v>8</v>
      </c>
      <c r="F40" s="1" t="s">
        <v>214</v>
      </c>
      <c r="G40" s="1"/>
      <c r="H40" t="s">
        <v>240</v>
      </c>
      <c r="I40" t="s">
        <v>8</v>
      </c>
      <c r="J40" t="s">
        <v>14</v>
      </c>
      <c r="K40" t="b">
        <v>0</v>
      </c>
      <c r="M40">
        <v>450.12520620613299</v>
      </c>
      <c r="N40">
        <v>0.16604057890723101</v>
      </c>
    </row>
    <row r="41" spans="1:14" x14ac:dyDescent="0.45">
      <c r="A41" t="s">
        <v>516</v>
      </c>
      <c r="B41" t="s">
        <v>8</v>
      </c>
      <c r="C41" t="s">
        <v>514</v>
      </c>
      <c r="E41" t="s">
        <v>8</v>
      </c>
      <c r="F41" t="s">
        <v>515</v>
      </c>
      <c r="H41" t="s">
        <v>240</v>
      </c>
      <c r="I41" t="s">
        <v>8</v>
      </c>
      <c r="J41" t="s">
        <v>447</v>
      </c>
      <c r="K41" t="b">
        <v>0</v>
      </c>
      <c r="L41" t="s">
        <v>513</v>
      </c>
      <c r="M41">
        <v>243.59404472920201</v>
      </c>
      <c r="N41">
        <v>8.9856101474727307E-2</v>
      </c>
    </row>
    <row r="42" spans="1:14" x14ac:dyDescent="0.45">
      <c r="A42" t="s">
        <v>766</v>
      </c>
      <c r="B42" t="s">
        <v>8</v>
      </c>
      <c r="C42" t="s">
        <v>344</v>
      </c>
      <c r="E42" t="s">
        <v>8</v>
      </c>
      <c r="F42" s="1" t="s">
        <v>346</v>
      </c>
      <c r="G42" s="1"/>
      <c r="H42" t="s">
        <v>240</v>
      </c>
      <c r="I42" t="s">
        <v>8</v>
      </c>
      <c r="J42" t="s">
        <v>165</v>
      </c>
      <c r="K42" t="b">
        <v>0</v>
      </c>
      <c r="M42">
        <v>33.113112148258999</v>
      </c>
      <c r="N42">
        <v>1.22146465799099E-2</v>
      </c>
    </row>
    <row r="43" spans="1:14" x14ac:dyDescent="0.45">
      <c r="A43" s="4" t="s">
        <v>652</v>
      </c>
      <c r="B43" t="s">
        <v>8</v>
      </c>
      <c r="C43" t="s">
        <v>653</v>
      </c>
      <c r="E43" t="s">
        <v>8</v>
      </c>
      <c r="F43" s="1" t="s">
        <v>655</v>
      </c>
      <c r="G43" s="1"/>
      <c r="H43" t="s">
        <v>241</v>
      </c>
      <c r="I43" t="s">
        <v>8</v>
      </c>
      <c r="J43" t="s">
        <v>654</v>
      </c>
      <c r="K43" t="b">
        <v>0</v>
      </c>
      <c r="L43" t="s">
        <v>648</v>
      </c>
      <c r="M43">
        <v>2398.83291901949</v>
      </c>
      <c r="N43">
        <v>0.88487292220937896</v>
      </c>
    </row>
    <row r="44" spans="1:14" s="7" customFormat="1" x14ac:dyDescent="0.45">
      <c r="A44" s="7" t="s">
        <v>987</v>
      </c>
      <c r="B44" s="7" t="s">
        <v>16</v>
      </c>
      <c r="C44" s="7" t="s">
        <v>988</v>
      </c>
      <c r="E44" s="7" t="s">
        <v>16</v>
      </c>
      <c r="F44" s="8" t="s">
        <v>989</v>
      </c>
      <c r="G44" s="8"/>
      <c r="H44" s="7" t="s">
        <v>240</v>
      </c>
      <c r="I44" s="7" t="s">
        <v>16</v>
      </c>
      <c r="J44" s="7" t="s">
        <v>14</v>
      </c>
      <c r="K44" s="7" t="b">
        <v>0</v>
      </c>
    </row>
    <row r="45" spans="1:14" x14ac:dyDescent="0.45">
      <c r="A45" t="s">
        <v>299</v>
      </c>
      <c r="B45" t="s">
        <v>16</v>
      </c>
      <c r="C45" t="s">
        <v>417</v>
      </c>
      <c r="E45" t="s">
        <v>16</v>
      </c>
      <c r="F45" s="1" t="s">
        <v>422</v>
      </c>
      <c r="G45" s="1"/>
      <c r="H45" t="s">
        <v>241</v>
      </c>
      <c r="I45" t="s">
        <v>16</v>
      </c>
      <c r="J45" t="s">
        <v>14</v>
      </c>
      <c r="K45" t="b">
        <v>0</v>
      </c>
      <c r="M45">
        <v>1659.5869074375601</v>
      </c>
      <c r="N45">
        <v>0.61218249291199101</v>
      </c>
    </row>
    <row r="46" spans="1:14" x14ac:dyDescent="0.45">
      <c r="A46" s="4" t="s">
        <v>958</v>
      </c>
      <c r="B46" t="s">
        <v>8</v>
      </c>
      <c r="C46" t="s">
        <v>959</v>
      </c>
      <c r="E46" t="s">
        <v>8</v>
      </c>
      <c r="F46" s="1" t="s">
        <v>960</v>
      </c>
      <c r="G46" s="1"/>
      <c r="H46" t="s">
        <v>241</v>
      </c>
      <c r="I46" t="s">
        <v>8</v>
      </c>
      <c r="J46" s="4" t="s">
        <v>89</v>
      </c>
      <c r="K46" t="b">
        <v>0</v>
      </c>
    </row>
    <row r="47" spans="1:14" x14ac:dyDescent="0.45">
      <c r="A47" s="4" t="s">
        <v>829</v>
      </c>
      <c r="B47" t="s">
        <v>8</v>
      </c>
      <c r="C47" t="s">
        <v>830</v>
      </c>
      <c r="E47" t="s">
        <v>8</v>
      </c>
      <c r="F47" t="s">
        <v>831</v>
      </c>
      <c r="G47" t="s">
        <v>832</v>
      </c>
      <c r="H47" t="s">
        <v>240</v>
      </c>
      <c r="I47" t="s">
        <v>8</v>
      </c>
      <c r="J47" t="s">
        <v>334</v>
      </c>
      <c r="K47" t="b">
        <v>0</v>
      </c>
    </row>
    <row r="48" spans="1:14" x14ac:dyDescent="0.45">
      <c r="A48" t="s">
        <v>244</v>
      </c>
      <c r="B48" t="s">
        <v>8</v>
      </c>
      <c r="C48" t="s">
        <v>25</v>
      </c>
      <c r="E48" t="s">
        <v>8</v>
      </c>
      <c r="F48" s="1" t="s">
        <v>201</v>
      </c>
      <c r="G48" s="1"/>
      <c r="H48" t="s">
        <v>241</v>
      </c>
      <c r="I48" t="s">
        <v>8</v>
      </c>
      <c r="J48" t="s">
        <v>11</v>
      </c>
      <c r="K48" t="b">
        <v>0</v>
      </c>
      <c r="M48">
        <v>884.43651913859901</v>
      </c>
      <c r="N48">
        <v>0.32624778532668802</v>
      </c>
    </row>
    <row r="49" spans="1:14" x14ac:dyDescent="0.45">
      <c r="A49" t="s">
        <v>991</v>
      </c>
      <c r="B49" t="s">
        <v>8</v>
      </c>
      <c r="C49" t="s">
        <v>992</v>
      </c>
      <c r="E49" t="s">
        <v>8</v>
      </c>
      <c r="F49" s="1" t="s">
        <v>993</v>
      </c>
      <c r="G49" s="1"/>
      <c r="H49" t="s">
        <v>241</v>
      </c>
      <c r="I49" t="s">
        <v>8</v>
      </c>
      <c r="J49" t="s">
        <v>335</v>
      </c>
    </row>
    <row r="50" spans="1:14" x14ac:dyDescent="0.45">
      <c r="A50" t="s">
        <v>809</v>
      </c>
      <c r="B50" t="s">
        <v>8</v>
      </c>
      <c r="C50" t="s">
        <v>462</v>
      </c>
      <c r="E50" t="s">
        <v>8</v>
      </c>
      <c r="F50" t="s">
        <v>463</v>
      </c>
      <c r="H50" t="s">
        <v>241</v>
      </c>
      <c r="I50" t="s">
        <v>8</v>
      </c>
      <c r="J50" t="s">
        <v>464</v>
      </c>
      <c r="K50" t="b">
        <v>0</v>
      </c>
      <c r="M50">
        <v>747.02189892733099</v>
      </c>
      <c r="N50">
        <v>0.27555877085779401</v>
      </c>
    </row>
    <row r="51" spans="1:14" x14ac:dyDescent="0.45">
      <c r="A51" t="s">
        <v>801</v>
      </c>
      <c r="B51" t="s">
        <v>8</v>
      </c>
      <c r="C51" t="s">
        <v>643</v>
      </c>
      <c r="E51" t="s">
        <v>8</v>
      </c>
      <c r="F51" t="s">
        <v>454</v>
      </c>
      <c r="H51" t="s">
        <v>241</v>
      </c>
      <c r="I51" t="s">
        <v>8</v>
      </c>
      <c r="J51" t="s">
        <v>89</v>
      </c>
      <c r="K51" t="b">
        <v>0</v>
      </c>
      <c r="M51">
        <v>6025.5958607435696</v>
      </c>
      <c r="N51">
        <v>2.2227002869079602</v>
      </c>
    </row>
    <row r="52" spans="1:14" x14ac:dyDescent="0.45">
      <c r="A52" t="s">
        <v>134</v>
      </c>
      <c r="B52" t="s">
        <v>8</v>
      </c>
      <c r="C52" t="s">
        <v>132</v>
      </c>
      <c r="E52" t="s">
        <v>8</v>
      </c>
      <c r="F52" s="1" t="s">
        <v>171</v>
      </c>
      <c r="G52" s="1"/>
      <c r="H52" t="s">
        <v>240</v>
      </c>
      <c r="I52" t="s">
        <v>8</v>
      </c>
      <c r="J52" t="s">
        <v>165</v>
      </c>
      <c r="K52" t="b">
        <v>0</v>
      </c>
      <c r="M52">
        <v>1220.86225405907</v>
      </c>
      <c r="N52">
        <v>0.45034730922650001</v>
      </c>
    </row>
    <row r="53" spans="1:14" x14ac:dyDescent="0.45">
      <c r="A53" t="s">
        <v>494</v>
      </c>
      <c r="B53" t="s">
        <v>8</v>
      </c>
      <c r="C53" t="s">
        <v>492</v>
      </c>
      <c r="E53" t="s">
        <v>8</v>
      </c>
      <c r="F53" t="s">
        <v>493</v>
      </c>
      <c r="H53" t="s">
        <v>241</v>
      </c>
      <c r="I53" t="s">
        <v>8</v>
      </c>
      <c r="J53" t="s">
        <v>447</v>
      </c>
      <c r="K53" t="b">
        <v>0</v>
      </c>
      <c r="L53" t="s">
        <v>491</v>
      </c>
      <c r="M53">
        <v>225.597006884357</v>
      </c>
      <c r="N53">
        <v>8.3217418412386196E-2</v>
      </c>
    </row>
    <row r="54" spans="1:14" x14ac:dyDescent="0.45">
      <c r="A54" t="s">
        <v>509</v>
      </c>
      <c r="B54" t="s">
        <v>8</v>
      </c>
      <c r="C54" t="s">
        <v>492</v>
      </c>
      <c r="E54" t="s">
        <v>8</v>
      </c>
      <c r="F54" t="s">
        <v>493</v>
      </c>
      <c r="H54" t="s">
        <v>241</v>
      </c>
      <c r="I54" t="s">
        <v>8</v>
      </c>
      <c r="J54" t="s">
        <v>447</v>
      </c>
      <c r="K54" t="b">
        <v>0</v>
      </c>
      <c r="L54" t="s">
        <v>508</v>
      </c>
      <c r="M54">
        <v>225.597006884357</v>
      </c>
      <c r="N54">
        <v>8.3217418412386196E-2</v>
      </c>
    </row>
    <row r="55" spans="1:14" x14ac:dyDescent="0.45">
      <c r="A55" t="s">
        <v>279</v>
      </c>
      <c r="B55" t="s">
        <v>8</v>
      </c>
      <c r="C55" t="s">
        <v>280</v>
      </c>
      <c r="E55" t="s">
        <v>8</v>
      </c>
      <c r="F55" t="s">
        <v>280</v>
      </c>
      <c r="H55" t="s">
        <v>241</v>
      </c>
      <c r="I55" t="s">
        <v>8</v>
      </c>
      <c r="J55" t="s">
        <v>165</v>
      </c>
      <c r="K55" t="b">
        <v>0</v>
      </c>
      <c r="M55">
        <v>131.82567385563999</v>
      </c>
      <c r="N55">
        <v>4.8627383892389103E-2</v>
      </c>
    </row>
    <row r="56" spans="1:14" x14ac:dyDescent="0.45">
      <c r="A56" t="s">
        <v>731</v>
      </c>
      <c r="B56" t="s">
        <v>8</v>
      </c>
      <c r="C56" t="s">
        <v>729</v>
      </c>
      <c r="E56" t="s">
        <v>8</v>
      </c>
      <c r="F56" s="1" t="s">
        <v>730</v>
      </c>
      <c r="H56" t="s">
        <v>240</v>
      </c>
      <c r="I56" t="s">
        <v>8</v>
      </c>
      <c r="J56" t="s">
        <v>165</v>
      </c>
      <c r="K56" t="b">
        <v>0</v>
      </c>
      <c r="M56">
        <v>1202.26443461741</v>
      </c>
      <c r="N56">
        <v>0.44348701199379897</v>
      </c>
    </row>
    <row r="57" spans="1:14" x14ac:dyDescent="0.45">
      <c r="A57" t="s">
        <v>995</v>
      </c>
      <c r="B57" t="s">
        <v>8</v>
      </c>
      <c r="C57" t="s">
        <v>994</v>
      </c>
      <c r="E57" t="s">
        <v>8</v>
      </c>
      <c r="F57" s="1" t="s">
        <v>996</v>
      </c>
      <c r="H57" t="s">
        <v>240</v>
      </c>
      <c r="I57" t="s">
        <v>8</v>
      </c>
      <c r="J57" t="s">
        <v>654</v>
      </c>
      <c r="K57" t="b">
        <v>0</v>
      </c>
    </row>
    <row r="58" spans="1:14" x14ac:dyDescent="0.45">
      <c r="A58" t="s">
        <v>535</v>
      </c>
      <c r="B58" t="s">
        <v>8</v>
      </c>
      <c r="C58" t="s">
        <v>533</v>
      </c>
      <c r="E58" t="s">
        <v>8</v>
      </c>
      <c r="F58" t="s">
        <v>534</v>
      </c>
      <c r="H58" t="s">
        <v>241</v>
      </c>
      <c r="I58" t="s">
        <v>8</v>
      </c>
      <c r="J58" t="s">
        <v>529</v>
      </c>
      <c r="K58" t="b">
        <v>0</v>
      </c>
      <c r="M58">
        <v>1113.43960906236</v>
      </c>
      <c r="N58">
        <v>0.41072162748933599</v>
      </c>
    </row>
    <row r="59" spans="1:14" x14ac:dyDescent="0.45">
      <c r="A59" t="s">
        <v>967</v>
      </c>
      <c r="B59" t="s">
        <v>8</v>
      </c>
      <c r="C59" t="s">
        <v>997</v>
      </c>
      <c r="E59" t="s">
        <v>8</v>
      </c>
      <c r="F59" t="s">
        <v>998</v>
      </c>
      <c r="H59" t="s">
        <v>240</v>
      </c>
      <c r="I59" t="s">
        <v>8</v>
      </c>
      <c r="J59" t="s">
        <v>334</v>
      </c>
      <c r="K59" t="b">
        <v>0</v>
      </c>
    </row>
    <row r="60" spans="1:14" x14ac:dyDescent="0.45">
      <c r="A60" t="s">
        <v>26</v>
      </c>
      <c r="B60" t="s">
        <v>8</v>
      </c>
      <c r="C60" t="s">
        <v>27</v>
      </c>
      <c r="E60" t="s">
        <v>8</v>
      </c>
      <c r="F60" s="1" t="s">
        <v>202</v>
      </c>
      <c r="G60" s="1"/>
      <c r="H60" t="s">
        <v>240</v>
      </c>
      <c r="I60" t="s">
        <v>8</v>
      </c>
      <c r="J60" t="s">
        <v>11</v>
      </c>
      <c r="K60" t="b">
        <v>0</v>
      </c>
      <c r="M60">
        <v>1964.8677899934601</v>
      </c>
      <c r="N60">
        <v>0.72479341487329196</v>
      </c>
    </row>
    <row r="61" spans="1:14" x14ac:dyDescent="0.45">
      <c r="A61" t="s">
        <v>102</v>
      </c>
      <c r="B61" t="s">
        <v>8</v>
      </c>
      <c r="C61" t="s">
        <v>98</v>
      </c>
      <c r="E61" t="s">
        <v>8</v>
      </c>
      <c r="F61" s="1" t="s">
        <v>215</v>
      </c>
      <c r="G61" s="1"/>
      <c r="H61" t="s">
        <v>240</v>
      </c>
      <c r="I61" t="s">
        <v>8</v>
      </c>
      <c r="J61" t="s">
        <v>14</v>
      </c>
      <c r="K61" t="b">
        <v>0</v>
      </c>
      <c r="M61">
        <v>1634.3058427231299</v>
      </c>
      <c r="N61">
        <v>0.60285690402539105</v>
      </c>
    </row>
    <row r="62" spans="1:14" x14ac:dyDescent="0.45">
      <c r="A62" t="s">
        <v>783</v>
      </c>
      <c r="B62" t="s">
        <v>8</v>
      </c>
      <c r="C62" t="s">
        <v>321</v>
      </c>
      <c r="E62" t="s">
        <v>8</v>
      </c>
      <c r="F62" t="s">
        <v>383</v>
      </c>
      <c r="H62" t="s">
        <v>240</v>
      </c>
      <c r="I62" t="s">
        <v>8</v>
      </c>
      <c r="J62" t="s">
        <v>11</v>
      </c>
      <c r="K62" t="b">
        <v>0</v>
      </c>
      <c r="M62">
        <v>65.062887486555695</v>
      </c>
      <c r="N62">
        <v>2.4000165631019001E-2</v>
      </c>
    </row>
    <row r="63" spans="1:14" x14ac:dyDescent="0.45">
      <c r="A63" t="s">
        <v>1001</v>
      </c>
      <c r="B63" t="s">
        <v>8</v>
      </c>
      <c r="C63" t="s">
        <v>999</v>
      </c>
      <c r="E63" t="s">
        <v>8</v>
      </c>
      <c r="F63" t="s">
        <v>1000</v>
      </c>
      <c r="H63" t="s">
        <v>241</v>
      </c>
      <c r="I63" t="s">
        <v>8</v>
      </c>
      <c r="J63" t="s">
        <v>332</v>
      </c>
      <c r="K63" t="b">
        <v>0</v>
      </c>
    </row>
    <row r="64" spans="1:14" x14ac:dyDescent="0.45">
      <c r="A64" t="s">
        <v>9</v>
      </c>
      <c r="B64" t="s">
        <v>8</v>
      </c>
      <c r="C64" t="s">
        <v>53</v>
      </c>
      <c r="E64" t="s">
        <v>8</v>
      </c>
      <c r="F64" s="1" t="s">
        <v>223</v>
      </c>
      <c r="G64" s="1"/>
      <c r="H64" t="s">
        <v>240</v>
      </c>
      <c r="I64" t="s">
        <v>8</v>
      </c>
      <c r="J64" t="s">
        <v>7</v>
      </c>
      <c r="K64" t="b">
        <v>0</v>
      </c>
      <c r="M64">
        <v>2550.7427837113501</v>
      </c>
      <c r="N64">
        <v>0.94090889070745498</v>
      </c>
    </row>
    <row r="65" spans="1:14" x14ac:dyDescent="0.45">
      <c r="A65" t="s">
        <v>55</v>
      </c>
      <c r="B65" t="s">
        <v>8</v>
      </c>
      <c r="C65" t="s">
        <v>54</v>
      </c>
      <c r="E65" t="s">
        <v>8</v>
      </c>
      <c r="F65" s="1" t="s">
        <v>224</v>
      </c>
      <c r="G65" s="1"/>
      <c r="H65" t="s">
        <v>240</v>
      </c>
      <c r="I65" t="s">
        <v>8</v>
      </c>
      <c r="J65" t="s">
        <v>7</v>
      </c>
      <c r="K65" t="b">
        <v>0</v>
      </c>
      <c r="M65">
        <v>1995.26231496888</v>
      </c>
      <c r="N65">
        <v>0.73600523872351298</v>
      </c>
    </row>
    <row r="66" spans="1:14" x14ac:dyDescent="0.45">
      <c r="A66" t="s">
        <v>137</v>
      </c>
      <c r="B66" t="s">
        <v>8</v>
      </c>
      <c r="C66" t="s">
        <v>136</v>
      </c>
      <c r="E66" t="s">
        <v>8</v>
      </c>
      <c r="F66" s="1" t="s">
        <v>363</v>
      </c>
      <c r="G66" s="1"/>
      <c r="H66" t="s">
        <v>240</v>
      </c>
      <c r="I66" t="s">
        <v>8</v>
      </c>
      <c r="J66" t="s">
        <v>165</v>
      </c>
      <c r="K66" t="b">
        <v>0</v>
      </c>
      <c r="M66">
        <v>1536.9745159352699</v>
      </c>
      <c r="N66">
        <v>0.56695367171836697</v>
      </c>
    </row>
    <row r="67" spans="1:14" x14ac:dyDescent="0.45">
      <c r="A67" t="s">
        <v>584</v>
      </c>
      <c r="B67" t="s">
        <v>8</v>
      </c>
      <c r="C67" t="s">
        <v>585</v>
      </c>
      <c r="E67" t="s">
        <v>8</v>
      </c>
      <c r="F67" t="s">
        <v>586</v>
      </c>
      <c r="G67" t="s">
        <v>635</v>
      </c>
      <c r="H67" t="s">
        <v>240</v>
      </c>
      <c r="I67" t="s">
        <v>8</v>
      </c>
      <c r="J67" t="s">
        <v>620</v>
      </c>
      <c r="K67" t="b">
        <v>0</v>
      </c>
      <c r="M67">
        <v>316.22776601683699</v>
      </c>
      <c r="N67">
        <v>0.116648969246861</v>
      </c>
    </row>
    <row r="68" spans="1:14" x14ac:dyDescent="0.45">
      <c r="A68" t="s">
        <v>674</v>
      </c>
      <c r="B68" t="s">
        <v>8</v>
      </c>
      <c r="C68" t="s">
        <v>340</v>
      </c>
      <c r="E68" t="s">
        <v>8</v>
      </c>
      <c r="F68" s="1" t="s">
        <v>347</v>
      </c>
      <c r="G68" s="1"/>
      <c r="H68" t="s">
        <v>241</v>
      </c>
      <c r="I68" t="s">
        <v>8</v>
      </c>
      <c r="J68" t="s">
        <v>426</v>
      </c>
      <c r="K68" t="b">
        <v>0</v>
      </c>
      <c r="M68">
        <v>416.86938347033498</v>
      </c>
      <c r="N68">
        <v>0.153773289755334</v>
      </c>
    </row>
    <row r="69" spans="1:14" x14ac:dyDescent="0.45">
      <c r="A69" t="s">
        <v>289</v>
      </c>
      <c r="B69" t="s">
        <v>8</v>
      </c>
      <c r="C69" t="s">
        <v>340</v>
      </c>
      <c r="E69" t="s">
        <v>8</v>
      </c>
      <c r="F69" s="1" t="s">
        <v>347</v>
      </c>
      <c r="G69" s="1"/>
      <c r="H69" t="s">
        <v>241</v>
      </c>
      <c r="I69" t="s">
        <v>8</v>
      </c>
      <c r="J69" t="s">
        <v>426</v>
      </c>
      <c r="K69" t="b">
        <v>0</v>
      </c>
      <c r="L69" t="s">
        <v>290</v>
      </c>
      <c r="M69">
        <v>416.86938347033498</v>
      </c>
      <c r="N69">
        <v>0.153773289755334</v>
      </c>
    </row>
    <row r="70" spans="1:14" x14ac:dyDescent="0.45">
      <c r="A70" t="s">
        <v>85</v>
      </c>
      <c r="B70" t="s">
        <v>8</v>
      </c>
      <c r="C70" t="s">
        <v>86</v>
      </c>
      <c r="E70" t="s">
        <v>8</v>
      </c>
      <c r="F70" s="1" t="s">
        <v>216</v>
      </c>
      <c r="G70" s="1"/>
      <c r="H70" t="s">
        <v>240</v>
      </c>
      <c r="I70" t="s">
        <v>8</v>
      </c>
      <c r="J70" t="s">
        <v>14</v>
      </c>
      <c r="K70" t="b">
        <v>0</v>
      </c>
      <c r="M70">
        <v>1047.12854805089</v>
      </c>
      <c r="N70">
        <v>0.38626104006501399</v>
      </c>
    </row>
    <row r="71" spans="1:14" x14ac:dyDescent="0.45">
      <c r="A71" t="s">
        <v>297</v>
      </c>
      <c r="B71" t="s">
        <v>8</v>
      </c>
      <c r="C71" t="s">
        <v>373</v>
      </c>
      <c r="E71" t="s">
        <v>8</v>
      </c>
      <c r="F71" t="s">
        <v>408</v>
      </c>
      <c r="H71" t="s">
        <v>240</v>
      </c>
      <c r="I71" t="s">
        <v>8</v>
      </c>
      <c r="J71" t="s">
        <v>11</v>
      </c>
      <c r="K71" t="b">
        <v>0</v>
      </c>
      <c r="L71" t="s">
        <v>298</v>
      </c>
      <c r="M71">
        <v>297.39477452346</v>
      </c>
      <c r="N71">
        <v>0.109701922587396</v>
      </c>
    </row>
    <row r="72" spans="1:14" x14ac:dyDescent="0.45">
      <c r="A72" t="s">
        <v>581</v>
      </c>
      <c r="B72" t="s">
        <v>8</v>
      </c>
      <c r="C72" t="s">
        <v>582</v>
      </c>
      <c r="E72" t="s">
        <v>8</v>
      </c>
      <c r="F72" t="s">
        <v>583</v>
      </c>
      <c r="G72" t="s">
        <v>629</v>
      </c>
      <c r="H72" t="s">
        <v>240</v>
      </c>
      <c r="I72" t="s">
        <v>8</v>
      </c>
      <c r="J72" t="s">
        <v>620</v>
      </c>
      <c r="K72" t="b">
        <v>0</v>
      </c>
      <c r="M72">
        <v>621.34575174807503</v>
      </c>
      <c r="N72">
        <v>0.22919980240909599</v>
      </c>
    </row>
    <row r="73" spans="1:14" x14ac:dyDescent="0.45">
      <c r="A73" t="s">
        <v>579</v>
      </c>
      <c r="B73" t="s">
        <v>8</v>
      </c>
      <c r="C73" t="s">
        <v>580</v>
      </c>
      <c r="E73" t="s">
        <v>8</v>
      </c>
      <c r="F73" t="s">
        <v>626</v>
      </c>
      <c r="G73" t="s">
        <v>630</v>
      </c>
      <c r="H73" t="s">
        <v>240</v>
      </c>
      <c r="I73" t="s">
        <v>8</v>
      </c>
      <c r="J73" t="s">
        <v>620</v>
      </c>
      <c r="K73" t="b">
        <v>0</v>
      </c>
      <c r="M73">
        <v>346.73685045253097</v>
      </c>
      <c r="N73">
        <v>0.12790305138176</v>
      </c>
    </row>
    <row r="74" spans="1:14" x14ac:dyDescent="0.45">
      <c r="A74" t="s">
        <v>1004</v>
      </c>
      <c r="B74" t="s">
        <v>8</v>
      </c>
      <c r="C74" t="s">
        <v>1002</v>
      </c>
      <c r="E74" t="s">
        <v>8</v>
      </c>
      <c r="F74" t="s">
        <v>1003</v>
      </c>
      <c r="H74" t="s">
        <v>241</v>
      </c>
      <c r="I74" t="s">
        <v>8</v>
      </c>
      <c r="J74" t="s">
        <v>561</v>
      </c>
      <c r="K74" t="b">
        <v>0</v>
      </c>
    </row>
    <row r="75" spans="1:14" x14ac:dyDescent="0.45">
      <c r="A75" t="s">
        <v>115</v>
      </c>
      <c r="B75" t="s">
        <v>8</v>
      </c>
      <c r="C75" t="s">
        <v>107</v>
      </c>
      <c r="E75" t="s">
        <v>8</v>
      </c>
      <c r="F75" s="1" t="s">
        <v>172</v>
      </c>
      <c r="G75" s="1"/>
      <c r="H75" t="s">
        <v>240</v>
      </c>
      <c r="I75" t="s">
        <v>8</v>
      </c>
      <c r="J75" t="s">
        <v>167</v>
      </c>
      <c r="K75" t="b">
        <v>0</v>
      </c>
      <c r="M75">
        <v>1536.9745159352699</v>
      </c>
      <c r="N75">
        <v>0.56695367171836697</v>
      </c>
    </row>
    <row r="76" spans="1:14" x14ac:dyDescent="0.45">
      <c r="A76" s="4" t="s">
        <v>663</v>
      </c>
      <c r="B76" t="s">
        <v>8</v>
      </c>
      <c r="C76" t="s">
        <v>662</v>
      </c>
      <c r="E76" t="s">
        <v>8</v>
      </c>
      <c r="F76" s="1" t="s">
        <v>664</v>
      </c>
      <c r="G76" s="1"/>
      <c r="H76" t="s">
        <v>241</v>
      </c>
      <c r="I76" t="s">
        <v>8</v>
      </c>
      <c r="J76" t="s">
        <v>426</v>
      </c>
      <c r="K76" t="b">
        <v>0</v>
      </c>
      <c r="L76" t="s">
        <v>648</v>
      </c>
      <c r="M76">
        <v>179.19807223753301</v>
      </c>
      <c r="N76">
        <v>6.6101945065822704E-2</v>
      </c>
    </row>
    <row r="77" spans="1:14" x14ac:dyDescent="0.45">
      <c r="A77" t="s">
        <v>769</v>
      </c>
      <c r="B77" t="s">
        <v>8</v>
      </c>
      <c r="C77" t="s">
        <v>328</v>
      </c>
      <c r="E77" t="s">
        <v>8</v>
      </c>
      <c r="F77" s="1" t="s">
        <v>362</v>
      </c>
      <c r="G77" s="1"/>
      <c r="H77" t="s">
        <v>240</v>
      </c>
      <c r="I77" t="s">
        <v>8</v>
      </c>
      <c r="J77" t="s">
        <v>165</v>
      </c>
      <c r="K77" t="b">
        <v>0</v>
      </c>
      <c r="M77">
        <v>171.132830416178</v>
      </c>
      <c r="N77">
        <v>6.3126867459456906E-2</v>
      </c>
    </row>
    <row r="78" spans="1:14" x14ac:dyDescent="0.45">
      <c r="A78" t="s">
        <v>1009</v>
      </c>
      <c r="B78" t="s">
        <v>8</v>
      </c>
      <c r="C78" t="s">
        <v>1010</v>
      </c>
      <c r="E78" t="s">
        <v>8</v>
      </c>
      <c r="F78" s="1" t="s">
        <v>957</v>
      </c>
      <c r="H78" t="s">
        <v>241</v>
      </c>
      <c r="I78" t="s">
        <v>8</v>
      </c>
      <c r="J78" t="s">
        <v>89</v>
      </c>
      <c r="K78" t="b">
        <v>0</v>
      </c>
    </row>
    <row r="79" spans="1:14" x14ac:dyDescent="0.45">
      <c r="A79" t="s">
        <v>954</v>
      </c>
      <c r="B79" t="s">
        <v>8</v>
      </c>
      <c r="C79" t="s">
        <v>955</v>
      </c>
      <c r="E79" t="s">
        <v>8</v>
      </c>
      <c r="F79" s="1" t="s">
        <v>957</v>
      </c>
      <c r="H79" t="s">
        <v>241</v>
      </c>
      <c r="I79" t="s">
        <v>8</v>
      </c>
      <c r="J79" t="s">
        <v>89</v>
      </c>
      <c r="K79" t="b">
        <v>0</v>
      </c>
      <c r="L79" t="s">
        <v>956</v>
      </c>
    </row>
    <row r="80" spans="1:14" x14ac:dyDescent="0.45">
      <c r="A80" s="4" t="s">
        <v>671</v>
      </c>
      <c r="B80" t="s">
        <v>8</v>
      </c>
      <c r="C80" t="s">
        <v>672</v>
      </c>
      <c r="E80" t="s">
        <v>8</v>
      </c>
      <c r="F80" s="1" t="s">
        <v>673</v>
      </c>
      <c r="G80" s="1"/>
      <c r="H80" t="s">
        <v>241</v>
      </c>
      <c r="I80" t="s">
        <v>8</v>
      </c>
      <c r="J80" t="s">
        <v>333</v>
      </c>
      <c r="K80" t="b">
        <v>0</v>
      </c>
      <c r="L80" t="s">
        <v>648</v>
      </c>
      <c r="M80">
        <v>1711.3283041617699</v>
      </c>
      <c r="N80">
        <v>0.63126867459456804</v>
      </c>
    </row>
    <row r="81" spans="1:14" x14ac:dyDescent="0.45">
      <c r="A81" t="s">
        <v>283</v>
      </c>
      <c r="B81" t="s">
        <v>8</v>
      </c>
      <c r="C81" t="s">
        <v>339</v>
      </c>
      <c r="E81" t="s">
        <v>8</v>
      </c>
      <c r="F81" t="s">
        <v>348</v>
      </c>
      <c r="H81" t="s">
        <v>240</v>
      </c>
      <c r="I81" t="s">
        <v>8</v>
      </c>
      <c r="J81" t="s">
        <v>426</v>
      </c>
      <c r="K81" t="b">
        <v>0</v>
      </c>
      <c r="M81">
        <v>72.443596007498996</v>
      </c>
      <c r="N81">
        <v>2.6722735037633699E-2</v>
      </c>
    </row>
    <row r="82" spans="1:14" x14ac:dyDescent="0.45">
      <c r="A82" t="s">
        <v>1013</v>
      </c>
      <c r="B82" t="s">
        <v>8</v>
      </c>
      <c r="C82" t="s">
        <v>1011</v>
      </c>
      <c r="E82" t="s">
        <v>8</v>
      </c>
      <c r="F82" s="1" t="s">
        <v>1012</v>
      </c>
      <c r="H82" t="s">
        <v>241</v>
      </c>
      <c r="I82" t="s">
        <v>8</v>
      </c>
      <c r="J82" t="s">
        <v>654</v>
      </c>
      <c r="K82" t="b">
        <v>0</v>
      </c>
    </row>
    <row r="83" spans="1:14" x14ac:dyDescent="0.45">
      <c r="A83" t="s">
        <v>1014</v>
      </c>
      <c r="B83" t="s">
        <v>8</v>
      </c>
      <c r="C83" t="s">
        <v>1015</v>
      </c>
      <c r="E83" t="s">
        <v>8</v>
      </c>
      <c r="F83" s="1" t="s">
        <v>1016</v>
      </c>
      <c r="H83" t="s">
        <v>240</v>
      </c>
      <c r="I83" t="s">
        <v>8</v>
      </c>
      <c r="J83" t="s">
        <v>561</v>
      </c>
      <c r="K83" t="b">
        <v>0</v>
      </c>
    </row>
    <row r="84" spans="1:14" x14ac:dyDescent="0.45">
      <c r="A84" t="s">
        <v>576</v>
      </c>
      <c r="B84" t="s">
        <v>8</v>
      </c>
      <c r="C84" t="s">
        <v>575</v>
      </c>
      <c r="E84" t="s">
        <v>8</v>
      </c>
      <c r="F84" t="s">
        <v>575</v>
      </c>
      <c r="H84" t="s">
        <v>240</v>
      </c>
      <c r="I84" t="s">
        <v>8</v>
      </c>
      <c r="J84" t="s">
        <v>620</v>
      </c>
      <c r="K84" t="b">
        <v>0</v>
      </c>
      <c r="M84">
        <v>660.69344800759598</v>
      </c>
      <c r="N84">
        <v>0.24371424011557899</v>
      </c>
    </row>
    <row r="85" spans="1:14" x14ac:dyDescent="0.45">
      <c r="A85" t="s">
        <v>1018</v>
      </c>
      <c r="B85" t="s">
        <v>8</v>
      </c>
      <c r="C85" t="s">
        <v>1017</v>
      </c>
      <c r="E85" t="s">
        <v>8</v>
      </c>
      <c r="F85" t="s">
        <v>1017</v>
      </c>
      <c r="H85" t="s">
        <v>240</v>
      </c>
      <c r="I85" t="s">
        <v>8</v>
      </c>
      <c r="J85" t="s">
        <v>561</v>
      </c>
      <c r="K85" t="b">
        <v>0</v>
      </c>
    </row>
    <row r="86" spans="1:14" x14ac:dyDescent="0.45">
      <c r="A86" t="s">
        <v>1021</v>
      </c>
      <c r="B86" t="s">
        <v>8</v>
      </c>
      <c r="C86" t="s">
        <v>1019</v>
      </c>
      <c r="E86" t="s">
        <v>8</v>
      </c>
      <c r="F86" t="s">
        <v>998</v>
      </c>
      <c r="G86" t="s">
        <v>1020</v>
      </c>
      <c r="H86" t="s">
        <v>240</v>
      </c>
      <c r="I86" t="s">
        <v>8</v>
      </c>
      <c r="J86" t="s">
        <v>334</v>
      </c>
      <c r="K86" t="b">
        <v>0</v>
      </c>
    </row>
    <row r="87" spans="1:14" x14ac:dyDescent="0.45">
      <c r="A87" t="s">
        <v>1023</v>
      </c>
      <c r="B87" t="s">
        <v>8</v>
      </c>
      <c r="C87" t="s">
        <v>1024</v>
      </c>
      <c r="E87" t="s">
        <v>8</v>
      </c>
      <c r="F87" t="s">
        <v>1022</v>
      </c>
      <c r="H87" t="s">
        <v>240</v>
      </c>
      <c r="I87" t="s">
        <v>8</v>
      </c>
      <c r="J87" t="s">
        <v>561</v>
      </c>
      <c r="K87" t="b">
        <v>0</v>
      </c>
    </row>
    <row r="88" spans="1:14" x14ac:dyDescent="0.45">
      <c r="A88" t="s">
        <v>271</v>
      </c>
      <c r="B88" t="s">
        <v>16</v>
      </c>
      <c r="C88" t="s">
        <v>416</v>
      </c>
      <c r="E88" t="s">
        <v>16</v>
      </c>
      <c r="F88" s="1" t="s">
        <v>416</v>
      </c>
      <c r="G88" s="1"/>
      <c r="H88" t="s">
        <v>240</v>
      </c>
      <c r="I88" t="s">
        <v>16</v>
      </c>
      <c r="J88" t="s">
        <v>14</v>
      </c>
      <c r="K88" t="b">
        <v>0</v>
      </c>
      <c r="M88">
        <v>984.76665211015802</v>
      </c>
      <c r="N88">
        <v>0.36325720655160898</v>
      </c>
    </row>
    <row r="89" spans="1:14" x14ac:dyDescent="0.45">
      <c r="A89" s="4" t="s">
        <v>819</v>
      </c>
      <c r="B89" t="s">
        <v>8</v>
      </c>
      <c r="C89" t="s">
        <v>820</v>
      </c>
      <c r="E89" t="s">
        <v>8</v>
      </c>
      <c r="F89" s="1" t="s">
        <v>821</v>
      </c>
      <c r="G89" s="1"/>
      <c r="H89" t="s">
        <v>240</v>
      </c>
      <c r="I89" t="s">
        <v>8</v>
      </c>
      <c r="J89" t="s">
        <v>19</v>
      </c>
      <c r="K89" t="b">
        <v>1</v>
      </c>
    </row>
    <row r="90" spans="1:14" x14ac:dyDescent="0.45">
      <c r="A90" s="7" t="s">
        <v>1025</v>
      </c>
      <c r="B90" s="7" t="s">
        <v>16</v>
      </c>
      <c r="C90" s="7" t="s">
        <v>1026</v>
      </c>
      <c r="D90" s="7"/>
      <c r="E90" s="7" t="s">
        <v>407</v>
      </c>
      <c r="F90" s="8" t="s">
        <v>1027</v>
      </c>
      <c r="G90" s="8"/>
      <c r="H90" s="7" t="s">
        <v>241</v>
      </c>
      <c r="I90" s="7" t="s">
        <v>16</v>
      </c>
      <c r="J90" s="7" t="s">
        <v>447</v>
      </c>
      <c r="K90" s="7" t="b">
        <v>0</v>
      </c>
      <c r="L90" s="7"/>
      <c r="M90" s="7"/>
      <c r="N90" s="7"/>
    </row>
    <row r="91" spans="1:14" s="7" customFormat="1" x14ac:dyDescent="0.45">
      <c r="A91" t="s">
        <v>573</v>
      </c>
      <c r="B91" t="s">
        <v>8</v>
      </c>
      <c r="C91" t="s">
        <v>574</v>
      </c>
      <c r="D91"/>
      <c r="E91" t="s">
        <v>8</v>
      </c>
      <c r="F91" t="s">
        <v>636</v>
      </c>
      <c r="G91" t="s">
        <v>637</v>
      </c>
      <c r="H91" t="s">
        <v>240</v>
      </c>
      <c r="I91" t="s">
        <v>8</v>
      </c>
      <c r="J91" t="s">
        <v>620</v>
      </c>
      <c r="K91" t="b">
        <v>0</v>
      </c>
      <c r="L91"/>
      <c r="M91">
        <v>331.13112148259103</v>
      </c>
      <c r="N91">
        <v>0.122146465799099</v>
      </c>
    </row>
    <row r="92" spans="1:14" x14ac:dyDescent="0.45">
      <c r="A92" t="s">
        <v>733</v>
      </c>
      <c r="B92" t="s">
        <v>8</v>
      </c>
      <c r="C92" t="s">
        <v>761</v>
      </c>
      <c r="E92" t="s">
        <v>8</v>
      </c>
      <c r="F92" s="1" t="s">
        <v>732</v>
      </c>
      <c r="H92" t="s">
        <v>241</v>
      </c>
      <c r="I92" t="s">
        <v>8</v>
      </c>
      <c r="J92" t="s">
        <v>426</v>
      </c>
      <c r="K92" t="b">
        <v>0</v>
      </c>
      <c r="M92">
        <v>176.46828566194901</v>
      </c>
      <c r="N92">
        <v>6.5094991140439706E-2</v>
      </c>
    </row>
    <row r="93" spans="1:14" x14ac:dyDescent="0.45">
      <c r="A93" t="s">
        <v>483</v>
      </c>
      <c r="B93" t="s">
        <v>16</v>
      </c>
      <c r="C93" t="s">
        <v>484</v>
      </c>
      <c r="E93" t="s">
        <v>16</v>
      </c>
      <c r="F93" t="s">
        <v>485</v>
      </c>
      <c r="H93" t="s">
        <v>240</v>
      </c>
      <c r="I93" t="s">
        <v>16</v>
      </c>
      <c r="J93" t="s">
        <v>446</v>
      </c>
      <c r="K93" t="b">
        <v>0</v>
      </c>
      <c r="L93" t="s">
        <v>486</v>
      </c>
      <c r="M93">
        <v>1737.8008287493701</v>
      </c>
      <c r="N93">
        <v>0.64103376494511299</v>
      </c>
    </row>
    <row r="94" spans="1:14" x14ac:dyDescent="0.45">
      <c r="A94" t="s">
        <v>902</v>
      </c>
      <c r="B94" t="s">
        <v>8</v>
      </c>
      <c r="C94" t="s">
        <v>903</v>
      </c>
      <c r="E94" t="s">
        <v>8</v>
      </c>
      <c r="F94" s="1" t="s">
        <v>904</v>
      </c>
      <c r="H94" t="s">
        <v>240</v>
      </c>
      <c r="I94" t="s">
        <v>8</v>
      </c>
      <c r="J94" t="s">
        <v>332</v>
      </c>
      <c r="K94" t="b">
        <v>0</v>
      </c>
    </row>
    <row r="95" spans="1:14" x14ac:dyDescent="0.45">
      <c r="A95" t="s">
        <v>570</v>
      </c>
      <c r="B95" t="s">
        <v>8</v>
      </c>
      <c r="C95" t="s">
        <v>571</v>
      </c>
      <c r="E95" t="s">
        <v>8</v>
      </c>
      <c r="F95" t="s">
        <v>572</v>
      </c>
      <c r="G95" t="s">
        <v>764</v>
      </c>
      <c r="H95" t="s">
        <v>240</v>
      </c>
      <c r="I95" t="s">
        <v>8</v>
      </c>
      <c r="J95" t="s">
        <v>620</v>
      </c>
      <c r="K95" t="b">
        <v>0</v>
      </c>
      <c r="M95">
        <v>2057.46915604783</v>
      </c>
      <c r="N95">
        <v>0.75895187615312198</v>
      </c>
    </row>
    <row r="96" spans="1:14" x14ac:dyDescent="0.45">
      <c r="A96" s="4" t="s">
        <v>800</v>
      </c>
      <c r="B96" t="s">
        <v>8</v>
      </c>
      <c r="C96" t="s">
        <v>577</v>
      </c>
      <c r="E96" t="s">
        <v>8</v>
      </c>
      <c r="F96" t="s">
        <v>578</v>
      </c>
      <c r="G96" t="s">
        <v>631</v>
      </c>
      <c r="H96" t="s">
        <v>240</v>
      </c>
      <c r="I96" t="s">
        <v>8</v>
      </c>
      <c r="J96" t="s">
        <v>620</v>
      </c>
      <c r="K96" t="b">
        <v>0</v>
      </c>
      <c r="M96">
        <v>1258.92541179416</v>
      </c>
      <c r="N96">
        <v>0.46438791094849802</v>
      </c>
    </row>
    <row r="97" spans="1:14" x14ac:dyDescent="0.45">
      <c r="A97" t="s">
        <v>476</v>
      </c>
      <c r="B97" t="s">
        <v>16</v>
      </c>
      <c r="C97" t="s">
        <v>448</v>
      </c>
      <c r="E97" t="s">
        <v>16</v>
      </c>
      <c r="F97" t="s">
        <v>477</v>
      </c>
      <c r="H97" t="s">
        <v>240</v>
      </c>
      <c r="I97" t="s">
        <v>16</v>
      </c>
      <c r="J97" t="s">
        <v>333</v>
      </c>
      <c r="K97" t="b">
        <v>0</v>
      </c>
      <c r="M97">
        <v>640.71761886755303</v>
      </c>
      <c r="N97">
        <v>0.236345627585478</v>
      </c>
    </row>
    <row r="98" spans="1:14" x14ac:dyDescent="0.45">
      <c r="A98" t="s">
        <v>953</v>
      </c>
      <c r="B98" t="s">
        <v>8</v>
      </c>
      <c r="C98" t="s">
        <v>1028</v>
      </c>
      <c r="E98" t="s">
        <v>8</v>
      </c>
      <c r="F98" s="1" t="s">
        <v>1029</v>
      </c>
      <c r="G98" s="1"/>
      <c r="H98" t="s">
        <v>241</v>
      </c>
      <c r="I98" t="s">
        <v>16</v>
      </c>
      <c r="J98" t="s">
        <v>448</v>
      </c>
      <c r="K98" t="b">
        <v>0</v>
      </c>
    </row>
    <row r="99" spans="1:14" x14ac:dyDescent="0.45">
      <c r="A99" t="s">
        <v>1030</v>
      </c>
      <c r="B99" t="s">
        <v>8</v>
      </c>
      <c r="C99" t="s">
        <v>1031</v>
      </c>
      <c r="E99" t="s">
        <v>8</v>
      </c>
      <c r="F99" s="1" t="s">
        <v>1032</v>
      </c>
      <c r="G99" s="1"/>
      <c r="H99" t="s">
        <v>241</v>
      </c>
      <c r="I99" t="s">
        <v>8</v>
      </c>
      <c r="J99" t="s">
        <v>446</v>
      </c>
      <c r="K99" t="b">
        <v>0</v>
      </c>
    </row>
    <row r="100" spans="1:14" x14ac:dyDescent="0.45">
      <c r="A100" t="s">
        <v>87</v>
      </c>
      <c r="B100" t="s">
        <v>8</v>
      </c>
      <c r="C100" t="s">
        <v>88</v>
      </c>
      <c r="E100" t="s">
        <v>8</v>
      </c>
      <c r="F100" s="1" t="s">
        <v>217</v>
      </c>
      <c r="G100" s="1"/>
      <c r="H100" t="s">
        <v>240</v>
      </c>
      <c r="I100" t="s">
        <v>8</v>
      </c>
      <c r="J100" t="s">
        <v>14</v>
      </c>
      <c r="K100" t="b">
        <v>0</v>
      </c>
      <c r="M100">
        <v>1220.86225405907</v>
      </c>
      <c r="N100">
        <v>0.45034730922650001</v>
      </c>
    </row>
    <row r="101" spans="1:14" x14ac:dyDescent="0.45">
      <c r="A101" t="s">
        <v>641</v>
      </c>
      <c r="B101" t="s">
        <v>8</v>
      </c>
      <c r="C101" t="s">
        <v>642</v>
      </c>
      <c r="E101" t="s">
        <v>8</v>
      </c>
      <c r="F101" t="s">
        <v>644</v>
      </c>
      <c r="H101" t="s">
        <v>241</v>
      </c>
      <c r="I101" t="s">
        <v>8</v>
      </c>
      <c r="J101" t="s">
        <v>89</v>
      </c>
      <c r="K101" t="b">
        <v>0</v>
      </c>
      <c r="M101">
        <v>61.188057575182199</v>
      </c>
      <c r="N101">
        <v>2.25708322082715E-2</v>
      </c>
    </row>
    <row r="102" spans="1:14" x14ac:dyDescent="0.45">
      <c r="A102" t="s">
        <v>986</v>
      </c>
      <c r="B102" t="s">
        <v>16</v>
      </c>
      <c r="C102" t="s">
        <v>983</v>
      </c>
      <c r="E102" t="s">
        <v>16</v>
      </c>
      <c r="F102" t="s">
        <v>984</v>
      </c>
      <c r="H102" t="s">
        <v>240</v>
      </c>
      <c r="I102" t="s">
        <v>16</v>
      </c>
      <c r="J102" t="s">
        <v>985</v>
      </c>
      <c r="K102" t="b">
        <v>0</v>
      </c>
    </row>
    <row r="103" spans="1:14" x14ac:dyDescent="0.45">
      <c r="A103" t="s">
        <v>443</v>
      </c>
      <c r="B103" t="s">
        <v>8</v>
      </c>
      <c r="C103" t="s">
        <v>444</v>
      </c>
      <c r="E103" t="s">
        <v>8</v>
      </c>
      <c r="F103" t="s">
        <v>445</v>
      </c>
      <c r="H103" t="s">
        <v>240</v>
      </c>
      <c r="I103" t="s">
        <v>8</v>
      </c>
      <c r="J103" t="s">
        <v>334</v>
      </c>
      <c r="K103" t="b">
        <v>0</v>
      </c>
      <c r="M103">
        <v>176.46828566194901</v>
      </c>
      <c r="N103">
        <v>6.5094991140439706E-2</v>
      </c>
    </row>
    <row r="104" spans="1:14" x14ac:dyDescent="0.45">
      <c r="A104" t="s">
        <v>675</v>
      </c>
      <c r="B104" t="s">
        <v>8</v>
      </c>
      <c r="C104" t="s">
        <v>676</v>
      </c>
      <c r="E104" t="s">
        <v>8</v>
      </c>
      <c r="F104" t="s">
        <v>677</v>
      </c>
      <c r="G104" t="s">
        <v>678</v>
      </c>
      <c r="H104" t="s">
        <v>240</v>
      </c>
      <c r="I104" t="s">
        <v>8</v>
      </c>
      <c r="J104" t="s">
        <v>620</v>
      </c>
      <c r="K104" t="b">
        <v>0</v>
      </c>
      <c r="M104">
        <v>4042.6548736234399</v>
      </c>
      <c r="N104">
        <v>1.49124009560838</v>
      </c>
    </row>
    <row r="105" spans="1:14" x14ac:dyDescent="0.45">
      <c r="A105" t="s">
        <v>116</v>
      </c>
      <c r="B105" t="s">
        <v>8</v>
      </c>
      <c r="C105" t="s">
        <v>108</v>
      </c>
      <c r="E105" t="s">
        <v>8</v>
      </c>
      <c r="F105" s="1" t="s">
        <v>173</v>
      </c>
      <c r="G105" s="1"/>
      <c r="H105" t="s">
        <v>241</v>
      </c>
      <c r="I105" t="s">
        <v>8</v>
      </c>
      <c r="J105" t="s">
        <v>167</v>
      </c>
      <c r="K105" t="b">
        <v>0</v>
      </c>
      <c r="M105">
        <v>584.34141337351798</v>
      </c>
      <c r="N105">
        <v>0.21554977419233101</v>
      </c>
    </row>
    <row r="106" spans="1:14" x14ac:dyDescent="0.45">
      <c r="A106" t="s">
        <v>139</v>
      </c>
      <c r="B106" t="s">
        <v>8</v>
      </c>
      <c r="C106" t="s">
        <v>138</v>
      </c>
      <c r="E106" t="s">
        <v>8</v>
      </c>
      <c r="F106" s="1" t="s">
        <v>138</v>
      </c>
      <c r="G106" s="1"/>
      <c r="H106" t="s">
        <v>240</v>
      </c>
      <c r="I106" t="s">
        <v>8</v>
      </c>
      <c r="J106" t="s">
        <v>165</v>
      </c>
      <c r="K106" t="b">
        <v>0</v>
      </c>
      <c r="M106">
        <v>173.78008287493699</v>
      </c>
      <c r="N106">
        <v>6.4103376494511199E-2</v>
      </c>
    </row>
    <row r="107" spans="1:14" x14ac:dyDescent="0.45">
      <c r="A107" s="4" t="s">
        <v>649</v>
      </c>
      <c r="B107" t="s">
        <v>8</v>
      </c>
      <c r="C107" t="s">
        <v>650</v>
      </c>
      <c r="E107" t="s">
        <v>8</v>
      </c>
      <c r="F107" s="1" t="s">
        <v>651</v>
      </c>
      <c r="G107" s="1"/>
      <c r="H107" t="s">
        <v>240</v>
      </c>
      <c r="I107" t="s">
        <v>8</v>
      </c>
      <c r="J107" t="s">
        <v>165</v>
      </c>
      <c r="K107" t="b">
        <v>0</v>
      </c>
      <c r="L107" t="s">
        <v>648</v>
      </c>
      <c r="M107">
        <v>321.11949093648201</v>
      </c>
      <c r="N107">
        <v>0.118453411269467</v>
      </c>
    </row>
    <row r="108" spans="1:14" x14ac:dyDescent="0.45">
      <c r="A108" t="s">
        <v>931</v>
      </c>
      <c r="B108" t="s">
        <v>8</v>
      </c>
      <c r="C108" t="s">
        <v>932</v>
      </c>
      <c r="E108" t="s">
        <v>8</v>
      </c>
      <c r="F108" s="1" t="s">
        <v>933</v>
      </c>
      <c r="G108" s="1"/>
      <c r="H108" t="s">
        <v>240</v>
      </c>
      <c r="I108" t="s">
        <v>8</v>
      </c>
      <c r="J108" t="s">
        <v>89</v>
      </c>
      <c r="K108" t="b">
        <v>0</v>
      </c>
      <c r="L108" t="s">
        <v>934</v>
      </c>
    </row>
    <row r="109" spans="1:14" x14ac:dyDescent="0.45">
      <c r="A109" t="s">
        <v>140</v>
      </c>
      <c r="B109" t="s">
        <v>8</v>
      </c>
      <c r="C109" t="s">
        <v>141</v>
      </c>
      <c r="E109" t="s">
        <v>8</v>
      </c>
      <c r="F109" s="1" t="s">
        <v>174</v>
      </c>
      <c r="G109" s="1"/>
      <c r="H109" t="s">
        <v>240</v>
      </c>
      <c r="I109" t="s">
        <v>8</v>
      </c>
      <c r="J109" t="s">
        <v>165</v>
      </c>
      <c r="K109" t="b">
        <v>0</v>
      </c>
      <c r="M109">
        <v>341.45488738336002</v>
      </c>
      <c r="N109">
        <v>0.125954659703889</v>
      </c>
    </row>
    <row r="110" spans="1:14" x14ac:dyDescent="0.45">
      <c r="A110" t="s">
        <v>1033</v>
      </c>
      <c r="B110" t="s">
        <v>8</v>
      </c>
      <c r="C110" t="s">
        <v>1034</v>
      </c>
      <c r="E110" t="s">
        <v>8</v>
      </c>
      <c r="F110" s="1" t="s">
        <v>1035</v>
      </c>
      <c r="G110" s="1"/>
      <c r="H110" t="s">
        <v>241</v>
      </c>
      <c r="I110" t="s">
        <v>8</v>
      </c>
      <c r="J110" t="s">
        <v>7</v>
      </c>
      <c r="K110" t="b">
        <v>0</v>
      </c>
    </row>
    <row r="111" spans="1:14" x14ac:dyDescent="0.45">
      <c r="A111" t="s">
        <v>813</v>
      </c>
      <c r="B111" t="s">
        <v>8</v>
      </c>
      <c r="C111" t="s">
        <v>814</v>
      </c>
      <c r="E111" t="s">
        <v>8</v>
      </c>
      <c r="F111" t="s">
        <v>815</v>
      </c>
      <c r="H111" t="s">
        <v>241</v>
      </c>
      <c r="I111" t="s">
        <v>8</v>
      </c>
      <c r="J111" t="s">
        <v>7</v>
      </c>
      <c r="K111" t="b">
        <v>0</v>
      </c>
    </row>
    <row r="112" spans="1:14" x14ac:dyDescent="0.45">
      <c r="A112" t="s">
        <v>142</v>
      </c>
      <c r="B112" t="s">
        <v>8</v>
      </c>
      <c r="C112" t="s">
        <v>143</v>
      </c>
      <c r="E112" t="s">
        <v>8</v>
      </c>
      <c r="F112" s="1" t="s">
        <v>175</v>
      </c>
      <c r="G112" s="1"/>
      <c r="H112" t="s">
        <v>240</v>
      </c>
      <c r="I112" t="s">
        <v>8</v>
      </c>
      <c r="J112" t="s">
        <v>165</v>
      </c>
      <c r="K112" t="b">
        <v>0</v>
      </c>
      <c r="M112">
        <v>558.04171747699604</v>
      </c>
      <c r="N112">
        <v>0.20584843627227101</v>
      </c>
    </row>
    <row r="113" spans="1:14" x14ac:dyDescent="0.45">
      <c r="A113" t="s">
        <v>567</v>
      </c>
      <c r="B113" t="s">
        <v>8</v>
      </c>
      <c r="C113" t="s">
        <v>568</v>
      </c>
      <c r="E113" t="s">
        <v>8</v>
      </c>
      <c r="F113" t="s">
        <v>569</v>
      </c>
      <c r="H113" t="s">
        <v>240</v>
      </c>
      <c r="I113" t="s">
        <v>8</v>
      </c>
      <c r="J113" t="s">
        <v>620</v>
      </c>
      <c r="K113" t="b">
        <v>0</v>
      </c>
      <c r="M113">
        <v>374.39783898238102</v>
      </c>
      <c r="N113">
        <v>0.13810653806794901</v>
      </c>
    </row>
    <row r="114" spans="1:14" x14ac:dyDescent="0.45">
      <c r="A114" t="s">
        <v>90</v>
      </c>
      <c r="B114" t="s">
        <v>8</v>
      </c>
      <c r="C114" t="s">
        <v>91</v>
      </c>
      <c r="E114" t="s">
        <v>8</v>
      </c>
      <c r="F114" s="1" t="s">
        <v>236</v>
      </c>
      <c r="G114" s="1"/>
      <c r="H114" t="s">
        <v>240</v>
      </c>
      <c r="I114" t="s">
        <v>8</v>
      </c>
      <c r="J114" t="s">
        <v>89</v>
      </c>
      <c r="K114" t="b">
        <v>0</v>
      </c>
      <c r="M114">
        <v>857.69589859089399</v>
      </c>
      <c r="N114">
        <v>0.31638380069560701</v>
      </c>
    </row>
    <row r="115" spans="1:14" x14ac:dyDescent="0.45">
      <c r="A115" t="s">
        <v>410</v>
      </c>
      <c r="B115" t="s">
        <v>8</v>
      </c>
      <c r="C115" t="s">
        <v>411</v>
      </c>
      <c r="E115" t="s">
        <v>8</v>
      </c>
      <c r="F115" s="1" t="s">
        <v>413</v>
      </c>
      <c r="G115" s="1"/>
      <c r="H115" t="s">
        <v>240</v>
      </c>
      <c r="I115" t="s">
        <v>8</v>
      </c>
      <c r="J115" t="s">
        <v>331</v>
      </c>
      <c r="K115" t="b">
        <v>0</v>
      </c>
      <c r="M115">
        <v>1876.43417195608</v>
      </c>
      <c r="N115">
        <v>0.69217233760115204</v>
      </c>
    </row>
    <row r="116" spans="1:14" x14ac:dyDescent="0.45">
      <c r="A116" t="s">
        <v>1036</v>
      </c>
      <c r="B116" t="s">
        <v>8</v>
      </c>
      <c r="C116" t="s">
        <v>1037</v>
      </c>
      <c r="E116" t="s">
        <v>8</v>
      </c>
      <c r="F116" s="1" t="s">
        <v>1038</v>
      </c>
      <c r="G116" s="1"/>
      <c r="H116" t="s">
        <v>240</v>
      </c>
      <c r="I116" t="s">
        <v>8</v>
      </c>
      <c r="J116" t="s">
        <v>654</v>
      </c>
      <c r="K116" t="b">
        <v>0</v>
      </c>
    </row>
    <row r="117" spans="1:14" x14ac:dyDescent="0.45">
      <c r="A117" t="s">
        <v>92</v>
      </c>
      <c r="B117" t="s">
        <v>8</v>
      </c>
      <c r="C117" t="s">
        <v>93</v>
      </c>
      <c r="E117" t="s">
        <v>8</v>
      </c>
      <c r="F117" s="1" t="s">
        <v>237</v>
      </c>
      <c r="G117" s="1"/>
      <c r="H117" t="s">
        <v>240</v>
      </c>
      <c r="I117" t="s">
        <v>8</v>
      </c>
      <c r="J117" t="s">
        <v>89</v>
      </c>
      <c r="K117" t="b">
        <v>0</v>
      </c>
      <c r="M117">
        <v>7025.3289897305103</v>
      </c>
      <c r="N117">
        <v>2.5914782740125402</v>
      </c>
    </row>
    <row r="118" spans="1:14" x14ac:dyDescent="0.45">
      <c r="A118" t="s">
        <v>1039</v>
      </c>
      <c r="B118" t="s">
        <v>8</v>
      </c>
      <c r="C118" t="s">
        <v>1040</v>
      </c>
      <c r="E118" t="s">
        <v>8</v>
      </c>
      <c r="F118" s="1" t="s">
        <v>1041</v>
      </c>
      <c r="G118" s="1"/>
      <c r="H118" t="s">
        <v>240</v>
      </c>
      <c r="I118" t="s">
        <v>8</v>
      </c>
      <c r="J118" t="s">
        <v>620</v>
      </c>
      <c r="K118" t="b">
        <v>0</v>
      </c>
      <c r="L118" t="s">
        <v>1042</v>
      </c>
    </row>
    <row r="119" spans="1:14" x14ac:dyDescent="0.45">
      <c r="A119" t="s">
        <v>566</v>
      </c>
      <c r="B119" t="s">
        <v>8</v>
      </c>
      <c r="C119" t="s">
        <v>565</v>
      </c>
      <c r="E119" t="s">
        <v>8</v>
      </c>
      <c r="F119" t="s">
        <v>565</v>
      </c>
      <c r="G119" t="s">
        <v>623</v>
      </c>
      <c r="H119" t="s">
        <v>240</v>
      </c>
      <c r="I119" t="s">
        <v>8</v>
      </c>
      <c r="J119" t="s">
        <v>620</v>
      </c>
      <c r="K119" t="b">
        <v>0</v>
      </c>
      <c r="M119">
        <v>1876.43417195608</v>
      </c>
      <c r="N119">
        <v>0.69217233760115204</v>
      </c>
    </row>
    <row r="120" spans="1:14" x14ac:dyDescent="0.45">
      <c r="A120" t="s">
        <v>118</v>
      </c>
      <c r="B120" t="s">
        <v>8</v>
      </c>
      <c r="C120" t="s">
        <v>109</v>
      </c>
      <c r="E120" t="s">
        <v>8</v>
      </c>
      <c r="F120" s="1" t="s">
        <v>176</v>
      </c>
      <c r="G120" s="1"/>
      <c r="H120" t="s">
        <v>240</v>
      </c>
      <c r="I120" t="s">
        <v>8</v>
      </c>
      <c r="J120" t="s">
        <v>167</v>
      </c>
      <c r="K120" t="b">
        <v>0</v>
      </c>
      <c r="M120">
        <v>2511.8864315095798</v>
      </c>
      <c r="N120">
        <v>0.92657569824266295</v>
      </c>
    </row>
    <row r="121" spans="1:14" x14ac:dyDescent="0.45">
      <c r="A121" t="s">
        <v>736</v>
      </c>
      <c r="B121" t="s">
        <v>8</v>
      </c>
      <c r="C121" t="s">
        <v>734</v>
      </c>
      <c r="E121" t="s">
        <v>8</v>
      </c>
      <c r="F121" s="1" t="s">
        <v>735</v>
      </c>
      <c r="G121" s="1"/>
      <c r="H121" t="s">
        <v>240</v>
      </c>
      <c r="I121" t="s">
        <v>8</v>
      </c>
      <c r="J121" t="s">
        <v>165</v>
      </c>
      <c r="K121" t="b">
        <v>0</v>
      </c>
      <c r="M121">
        <v>279.68338463090703</v>
      </c>
      <c r="N121">
        <v>0.103168608321799</v>
      </c>
    </row>
    <row r="122" spans="1:14" x14ac:dyDescent="0.45">
      <c r="A122" t="s">
        <v>765</v>
      </c>
      <c r="B122" t="s">
        <v>8</v>
      </c>
      <c r="C122" t="s">
        <v>248</v>
      </c>
      <c r="E122" t="s">
        <v>8</v>
      </c>
      <c r="F122" t="s">
        <v>726</v>
      </c>
      <c r="H122" t="s">
        <v>240</v>
      </c>
      <c r="I122" t="s">
        <v>8</v>
      </c>
      <c r="J122" t="s">
        <v>167</v>
      </c>
      <c r="K122" t="b">
        <v>0</v>
      </c>
      <c r="M122">
        <v>1609.40989326253</v>
      </c>
      <c r="N122">
        <v>0.59367337507857998</v>
      </c>
    </row>
    <row r="123" spans="1:14" x14ac:dyDescent="0.45">
      <c r="A123" t="s">
        <v>119</v>
      </c>
      <c r="B123" t="s">
        <v>8</v>
      </c>
      <c r="C123" t="s">
        <v>117</v>
      </c>
      <c r="E123" t="s">
        <v>8</v>
      </c>
      <c r="F123" s="1" t="s">
        <v>177</v>
      </c>
      <c r="G123" s="1"/>
      <c r="H123" t="s">
        <v>240</v>
      </c>
      <c r="I123" t="s">
        <v>8</v>
      </c>
      <c r="J123" t="s">
        <v>167</v>
      </c>
      <c r="K123" t="b">
        <v>1</v>
      </c>
      <c r="M123">
        <v>374.39783898238102</v>
      </c>
      <c r="N123">
        <v>0.13810653806794901</v>
      </c>
    </row>
    <row r="124" spans="1:14" x14ac:dyDescent="0.45">
      <c r="A124" t="s">
        <v>318</v>
      </c>
      <c r="B124" t="s">
        <v>8</v>
      </c>
      <c r="C124" t="s">
        <v>144</v>
      </c>
      <c r="E124" t="s">
        <v>8</v>
      </c>
      <c r="F124" s="1" t="s">
        <v>178</v>
      </c>
      <c r="G124" s="1"/>
      <c r="H124" t="s">
        <v>240</v>
      </c>
      <c r="I124" t="s">
        <v>8</v>
      </c>
      <c r="J124" t="s">
        <v>426</v>
      </c>
      <c r="K124" t="b">
        <v>0</v>
      </c>
      <c r="M124">
        <v>884.43651913859901</v>
      </c>
      <c r="N124">
        <v>0.32624778532668802</v>
      </c>
    </row>
    <row r="125" spans="1:14" x14ac:dyDescent="0.45">
      <c r="A125" t="s">
        <v>1044</v>
      </c>
      <c r="B125" t="s">
        <v>8</v>
      </c>
      <c r="C125" t="s">
        <v>1043</v>
      </c>
      <c r="E125" t="s">
        <v>8</v>
      </c>
      <c r="F125" s="1" t="s">
        <v>602</v>
      </c>
      <c r="G125" s="1" t="s">
        <v>1045</v>
      </c>
      <c r="H125" t="s">
        <v>240</v>
      </c>
      <c r="I125" t="s">
        <v>8</v>
      </c>
      <c r="J125" t="s">
        <v>620</v>
      </c>
      <c r="K125" t="b">
        <v>0</v>
      </c>
      <c r="L125" t="s">
        <v>1046</v>
      </c>
    </row>
    <row r="126" spans="1:14" x14ac:dyDescent="0.45">
      <c r="A126" t="s">
        <v>1049</v>
      </c>
      <c r="B126" t="s">
        <v>8</v>
      </c>
      <c r="C126" t="s">
        <v>1047</v>
      </c>
      <c r="E126" t="s">
        <v>8</v>
      </c>
      <c r="F126" s="1" t="s">
        <v>1048</v>
      </c>
      <c r="G126" s="1"/>
      <c r="H126" t="s">
        <v>240</v>
      </c>
      <c r="I126" t="s">
        <v>8</v>
      </c>
      <c r="J126" t="s">
        <v>167</v>
      </c>
      <c r="K126" t="b">
        <v>1</v>
      </c>
    </row>
    <row r="127" spans="1:14" x14ac:dyDescent="0.45">
      <c r="A127" t="s">
        <v>619</v>
      </c>
      <c r="B127" t="s">
        <v>8</v>
      </c>
      <c r="C127" t="s">
        <v>146</v>
      </c>
      <c r="E127" t="s">
        <v>8</v>
      </c>
      <c r="F127" s="1" t="s">
        <v>179</v>
      </c>
      <c r="G127" s="1"/>
      <c r="H127" t="s">
        <v>240</v>
      </c>
      <c r="I127" t="s">
        <v>8</v>
      </c>
      <c r="J127" t="s">
        <v>165</v>
      </c>
      <c r="K127" t="b">
        <v>0</v>
      </c>
      <c r="M127">
        <v>566.67406058199094</v>
      </c>
      <c r="N127">
        <v>0.20903270417532799</v>
      </c>
    </row>
    <row r="128" spans="1:14" x14ac:dyDescent="0.45">
      <c r="A128" t="s">
        <v>145</v>
      </c>
      <c r="B128" t="s">
        <v>8</v>
      </c>
      <c r="C128" t="s">
        <v>146</v>
      </c>
      <c r="E128" t="s">
        <v>8</v>
      </c>
      <c r="F128" s="1" t="s">
        <v>179</v>
      </c>
      <c r="G128" s="1"/>
      <c r="H128" t="s">
        <v>240</v>
      </c>
      <c r="I128" t="s">
        <v>8</v>
      </c>
      <c r="J128" t="s">
        <v>165</v>
      </c>
      <c r="K128" t="b">
        <v>0</v>
      </c>
      <c r="M128">
        <v>566.67406058199094</v>
      </c>
      <c r="N128">
        <v>0.20903270417532799</v>
      </c>
    </row>
    <row r="129" spans="1:14" x14ac:dyDescent="0.45">
      <c r="A129" t="s">
        <v>28</v>
      </c>
      <c r="B129" t="s">
        <v>8</v>
      </c>
      <c r="C129" t="s">
        <v>29</v>
      </c>
      <c r="E129" t="s">
        <v>8</v>
      </c>
      <c r="F129" s="1" t="s">
        <v>203</v>
      </c>
      <c r="G129" s="1"/>
      <c r="H129" t="s">
        <v>241</v>
      </c>
      <c r="I129" t="s">
        <v>8</v>
      </c>
      <c r="J129" t="s">
        <v>11</v>
      </c>
      <c r="K129" t="b">
        <v>0</v>
      </c>
      <c r="M129">
        <v>898.11786096069397</v>
      </c>
      <c r="N129">
        <v>0.33129450984921499</v>
      </c>
    </row>
    <row r="130" spans="1:14" x14ac:dyDescent="0.45">
      <c r="A130" t="s">
        <v>812</v>
      </c>
      <c r="B130" t="s">
        <v>8</v>
      </c>
      <c r="C130" t="s">
        <v>455</v>
      </c>
      <c r="E130" t="s">
        <v>8</v>
      </c>
      <c r="F130" s="1" t="s">
        <v>750</v>
      </c>
      <c r="G130" s="1"/>
      <c r="H130" t="s">
        <v>241</v>
      </c>
      <c r="I130" t="s">
        <v>8</v>
      </c>
      <c r="J130" t="s">
        <v>448</v>
      </c>
      <c r="K130" t="b">
        <v>0</v>
      </c>
    </row>
    <row r="131" spans="1:14" x14ac:dyDescent="0.45">
      <c r="A131" t="s">
        <v>749</v>
      </c>
      <c r="B131" t="s">
        <v>8</v>
      </c>
      <c r="C131" t="s">
        <v>455</v>
      </c>
      <c r="E131" t="s">
        <v>8</v>
      </c>
      <c r="F131" t="s">
        <v>750</v>
      </c>
      <c r="H131" t="s">
        <v>241</v>
      </c>
      <c r="I131" t="s">
        <v>8</v>
      </c>
      <c r="J131" t="s">
        <v>448</v>
      </c>
      <c r="K131" t="b">
        <v>0</v>
      </c>
      <c r="L131" t="s">
        <v>455</v>
      </c>
      <c r="M131">
        <v>898.11786096069397</v>
      </c>
      <c r="N131">
        <v>0.33129450984921499</v>
      </c>
    </row>
    <row r="132" spans="1:14" x14ac:dyDescent="0.45">
      <c r="A132" t="s">
        <v>770</v>
      </c>
      <c r="B132" t="s">
        <v>8</v>
      </c>
      <c r="C132" t="s">
        <v>278</v>
      </c>
      <c r="E132" t="s">
        <v>8</v>
      </c>
      <c r="F132" s="1" t="s">
        <v>349</v>
      </c>
      <c r="G132" s="1"/>
      <c r="H132" t="s">
        <v>241</v>
      </c>
      <c r="I132" t="s">
        <v>8</v>
      </c>
      <c r="J132" t="s">
        <v>165</v>
      </c>
      <c r="K132" t="b">
        <v>0</v>
      </c>
      <c r="M132">
        <v>142.342088386434</v>
      </c>
      <c r="N132">
        <v>5.2506641335976302E-2</v>
      </c>
    </row>
    <row r="133" spans="1:14" x14ac:dyDescent="0.45">
      <c r="A133" s="7" t="s">
        <v>752</v>
      </c>
      <c r="B133" t="s">
        <v>8</v>
      </c>
      <c r="C133" t="s">
        <v>753</v>
      </c>
      <c r="E133" t="s">
        <v>8</v>
      </c>
      <c r="F133" s="1" t="s">
        <v>754</v>
      </c>
      <c r="G133" s="1"/>
      <c r="H133" t="s">
        <v>240</v>
      </c>
      <c r="I133" t="s">
        <v>8</v>
      </c>
      <c r="J133" t="s">
        <v>14</v>
      </c>
      <c r="K133" t="b">
        <v>0</v>
      </c>
      <c r="M133" s="6"/>
      <c r="N133" s="6"/>
    </row>
    <row r="134" spans="1:14" x14ac:dyDescent="0.45">
      <c r="A134" s="7" t="s">
        <v>1058</v>
      </c>
      <c r="B134" t="s">
        <v>8</v>
      </c>
      <c r="C134" t="s">
        <v>1056</v>
      </c>
      <c r="E134" t="s">
        <v>8</v>
      </c>
      <c r="F134" s="1" t="s">
        <v>1057</v>
      </c>
      <c r="G134" s="1"/>
      <c r="H134" t="s">
        <v>240</v>
      </c>
      <c r="I134" t="s">
        <v>8</v>
      </c>
      <c r="J134" t="s">
        <v>11</v>
      </c>
      <c r="K134" t="b">
        <v>0</v>
      </c>
      <c r="M134" s="6"/>
      <c r="N134" s="6"/>
    </row>
    <row r="135" spans="1:14" x14ac:dyDescent="0.45">
      <c r="A135" s="7" t="s">
        <v>1052</v>
      </c>
      <c r="B135" t="s">
        <v>8</v>
      </c>
      <c r="C135" t="s">
        <v>1050</v>
      </c>
      <c r="E135" t="s">
        <v>8</v>
      </c>
      <c r="F135" s="1" t="s">
        <v>1051</v>
      </c>
      <c r="G135" s="1"/>
      <c r="H135" t="s">
        <v>240</v>
      </c>
      <c r="I135" t="s">
        <v>8</v>
      </c>
      <c r="J135" t="s">
        <v>334</v>
      </c>
      <c r="K135" t="b">
        <v>0</v>
      </c>
      <c r="M135" s="6"/>
      <c r="N135" s="6"/>
    </row>
    <row r="136" spans="1:14" x14ac:dyDescent="0.45">
      <c r="A136" s="7" t="s">
        <v>1053</v>
      </c>
      <c r="B136" t="s">
        <v>8</v>
      </c>
      <c r="C136" t="s">
        <v>1054</v>
      </c>
      <c r="E136" t="s">
        <v>8</v>
      </c>
      <c r="F136" s="1" t="s">
        <v>1055</v>
      </c>
      <c r="G136" s="1"/>
      <c r="H136" t="s">
        <v>241</v>
      </c>
      <c r="I136" t="s">
        <v>8</v>
      </c>
      <c r="J136" t="s">
        <v>334</v>
      </c>
      <c r="K136" t="b">
        <v>0</v>
      </c>
      <c r="M136" s="6"/>
      <c r="N136" s="6"/>
    </row>
    <row r="137" spans="1:14" x14ac:dyDescent="0.45">
      <c r="A137" t="s">
        <v>790</v>
      </c>
      <c r="B137" t="s">
        <v>16</v>
      </c>
      <c r="C137" t="s">
        <v>412</v>
      </c>
      <c r="E137" t="s">
        <v>16</v>
      </c>
      <c r="F137" s="1" t="s">
        <v>414</v>
      </c>
      <c r="G137" s="1"/>
      <c r="H137" t="s">
        <v>241</v>
      </c>
      <c r="I137" t="s">
        <v>16</v>
      </c>
      <c r="J137" t="s">
        <v>331</v>
      </c>
      <c r="K137" t="b">
        <v>0</v>
      </c>
      <c r="M137">
        <v>516.81288563260296</v>
      </c>
      <c r="N137">
        <v>0.19064009198777601</v>
      </c>
    </row>
    <row r="138" spans="1:14" x14ac:dyDescent="0.45">
      <c r="A138" t="s">
        <v>30</v>
      </c>
      <c r="B138" t="s">
        <v>8</v>
      </c>
      <c r="C138" t="s">
        <v>31</v>
      </c>
      <c r="E138" t="s">
        <v>8</v>
      </c>
      <c r="F138" s="1" t="s">
        <v>204</v>
      </c>
      <c r="G138" s="1"/>
      <c r="H138" t="s">
        <v>240</v>
      </c>
      <c r="I138" t="s">
        <v>8</v>
      </c>
      <c r="J138" t="s">
        <v>11</v>
      </c>
      <c r="K138" t="b">
        <v>0</v>
      </c>
      <c r="M138">
        <v>2221.6040919558</v>
      </c>
      <c r="N138">
        <v>0.81949738527215699</v>
      </c>
    </row>
    <row r="139" spans="1:14" x14ac:dyDescent="0.45">
      <c r="A139" t="s">
        <v>784</v>
      </c>
      <c r="B139" t="s">
        <v>8</v>
      </c>
      <c r="C139" t="s">
        <v>404</v>
      </c>
      <c r="E139" t="s">
        <v>8</v>
      </c>
      <c r="F139" t="s">
        <v>405</v>
      </c>
      <c r="H139" t="s">
        <v>241</v>
      </c>
      <c r="I139" t="s">
        <v>8</v>
      </c>
      <c r="J139" t="s">
        <v>11</v>
      </c>
      <c r="K139" t="b">
        <v>0</v>
      </c>
      <c r="M139">
        <v>202.612701262114</v>
      </c>
      <c r="N139">
        <v>7.4739049819203401E-2</v>
      </c>
    </row>
    <row r="140" spans="1:14" x14ac:dyDescent="0.45">
      <c r="A140" t="s">
        <v>242</v>
      </c>
      <c r="B140" t="s">
        <v>8</v>
      </c>
      <c r="C140" t="s">
        <v>68</v>
      </c>
      <c r="E140" t="s">
        <v>8</v>
      </c>
      <c r="F140" s="1" t="s">
        <v>225</v>
      </c>
      <c r="G140" s="1"/>
      <c r="H140" t="s">
        <v>240</v>
      </c>
      <c r="I140" t="s">
        <v>8</v>
      </c>
      <c r="J140" t="s">
        <v>7</v>
      </c>
      <c r="K140" t="b">
        <v>0</v>
      </c>
      <c r="M140">
        <v>3743.9783898238102</v>
      </c>
      <c r="N140">
        <v>1.3810653806794899</v>
      </c>
    </row>
    <row r="141" spans="1:14" x14ac:dyDescent="0.45">
      <c r="A141" t="s">
        <v>21</v>
      </c>
      <c r="B141" t="s">
        <v>16</v>
      </c>
      <c r="C141" t="s">
        <v>95</v>
      </c>
      <c r="E141" t="s">
        <v>16</v>
      </c>
      <c r="F141" s="1" t="s">
        <v>238</v>
      </c>
      <c r="H141" t="s">
        <v>240</v>
      </c>
      <c r="I141" t="s">
        <v>16</v>
      </c>
      <c r="J141" t="s">
        <v>15</v>
      </c>
      <c r="K141" t="b">
        <v>1</v>
      </c>
      <c r="L141" t="s">
        <v>17</v>
      </c>
      <c r="M141">
        <v>190.54607179632399</v>
      </c>
      <c r="N141">
        <v>7.0287954625389101E-2</v>
      </c>
    </row>
    <row r="142" spans="1:14" x14ac:dyDescent="0.45">
      <c r="A142" t="s">
        <v>811</v>
      </c>
      <c r="B142" t="s">
        <v>8</v>
      </c>
      <c r="C142" t="s">
        <v>693</v>
      </c>
      <c r="E142" t="s">
        <v>8</v>
      </c>
      <c r="F142" t="s">
        <v>694</v>
      </c>
      <c r="G142" t="s">
        <v>695</v>
      </c>
      <c r="H142" t="s">
        <v>240</v>
      </c>
      <c r="I142" t="s">
        <v>8</v>
      </c>
      <c r="J142" t="s">
        <v>620</v>
      </c>
      <c r="K142" t="b">
        <v>0</v>
      </c>
      <c r="M142">
        <v>4042.6548736234399</v>
      </c>
      <c r="N142">
        <v>1.49124009560838</v>
      </c>
    </row>
    <row r="143" spans="1:14" x14ac:dyDescent="0.45">
      <c r="A143" t="s">
        <v>1059</v>
      </c>
      <c r="B143" t="s">
        <v>8</v>
      </c>
      <c r="C143" t="s">
        <v>1060</v>
      </c>
      <c r="E143" t="s">
        <v>8</v>
      </c>
      <c r="F143" s="1" t="s">
        <v>1061</v>
      </c>
      <c r="H143" t="s">
        <v>240</v>
      </c>
      <c r="I143" t="s">
        <v>8</v>
      </c>
      <c r="J143" t="s">
        <v>11</v>
      </c>
      <c r="K143" t="b">
        <v>0</v>
      </c>
    </row>
    <row r="144" spans="1:14" x14ac:dyDescent="0.45">
      <c r="A144" s="4" t="s">
        <v>913</v>
      </c>
      <c r="B144" t="s">
        <v>8</v>
      </c>
      <c r="C144" t="s">
        <v>914</v>
      </c>
      <c r="E144" t="s">
        <v>8</v>
      </c>
      <c r="F144" s="1" t="s">
        <v>915</v>
      </c>
      <c r="G144" s="1"/>
      <c r="H144" t="s">
        <v>241</v>
      </c>
      <c r="I144" t="s">
        <v>8</v>
      </c>
      <c r="J144" t="s">
        <v>11</v>
      </c>
      <c r="K144" t="b">
        <v>0</v>
      </c>
    </row>
    <row r="145" spans="1:14" x14ac:dyDescent="0.45">
      <c r="A145" t="s">
        <v>704</v>
      </c>
      <c r="B145" t="s">
        <v>8</v>
      </c>
      <c r="C145" t="s">
        <v>712</v>
      </c>
      <c r="E145" t="s">
        <v>8</v>
      </c>
      <c r="F145" t="s">
        <v>705</v>
      </c>
      <c r="G145" t="s">
        <v>709</v>
      </c>
      <c r="H145" t="s">
        <v>240</v>
      </c>
      <c r="I145" t="s">
        <v>8</v>
      </c>
      <c r="J145" t="s">
        <v>620</v>
      </c>
      <c r="K145" t="b">
        <v>0</v>
      </c>
      <c r="M145">
        <v>179.19807223753301</v>
      </c>
      <c r="N145">
        <v>6.6101945065822704E-2</v>
      </c>
    </row>
    <row r="146" spans="1:14" x14ac:dyDescent="0.45">
      <c r="A146" s="4" t="s">
        <v>758</v>
      </c>
      <c r="B146" t="s">
        <v>16</v>
      </c>
      <c r="C146" t="s">
        <v>759</v>
      </c>
      <c r="E146" t="s">
        <v>16</v>
      </c>
      <c r="F146" t="s">
        <v>760</v>
      </c>
      <c r="H146" t="s">
        <v>241</v>
      </c>
      <c r="I146" t="s">
        <v>16</v>
      </c>
      <c r="J146" t="s">
        <v>450</v>
      </c>
      <c r="K146" t="b">
        <v>0</v>
      </c>
      <c r="M146" s="6"/>
      <c r="N146" s="6"/>
    </row>
    <row r="147" spans="1:14" x14ac:dyDescent="0.45">
      <c r="A147" s="7" t="s">
        <v>1063</v>
      </c>
      <c r="B147" s="7" t="s">
        <v>8</v>
      </c>
      <c r="C147" s="7" t="s">
        <v>81</v>
      </c>
      <c r="D147" s="7"/>
      <c r="E147" s="7" t="s">
        <v>8</v>
      </c>
      <c r="F147" s="7" t="s">
        <v>1062</v>
      </c>
      <c r="G147" s="7"/>
      <c r="H147" s="7" t="s">
        <v>240</v>
      </c>
      <c r="I147" s="7" t="s">
        <v>8</v>
      </c>
      <c r="J147" s="7" t="s">
        <v>165</v>
      </c>
      <c r="K147" s="7" t="b">
        <v>0</v>
      </c>
      <c r="L147" s="7"/>
      <c r="M147" s="7"/>
      <c r="N147" s="7"/>
    </row>
    <row r="148" spans="1:14" s="7" customFormat="1" x14ac:dyDescent="0.45">
      <c r="A148" t="s">
        <v>80</v>
      </c>
      <c r="B148" t="s">
        <v>16</v>
      </c>
      <c r="C148" t="s">
        <v>81</v>
      </c>
      <c r="D148"/>
      <c r="E148" t="s">
        <v>16</v>
      </c>
      <c r="F148" s="1" t="s">
        <v>218</v>
      </c>
      <c r="G148" s="1"/>
      <c r="H148" t="s">
        <v>240</v>
      </c>
      <c r="I148" t="s">
        <v>16</v>
      </c>
      <c r="J148" t="s">
        <v>14</v>
      </c>
      <c r="K148" t="b">
        <v>0</v>
      </c>
      <c r="L148" t="s">
        <v>743</v>
      </c>
      <c r="M148">
        <v>1847.8497974222901</v>
      </c>
      <c r="N148">
        <v>0.68162823558274899</v>
      </c>
    </row>
    <row r="149" spans="1:14" x14ac:dyDescent="0.45">
      <c r="A149" t="s">
        <v>805</v>
      </c>
      <c r="B149" t="s">
        <v>8</v>
      </c>
      <c r="C149" t="s">
        <v>281</v>
      </c>
      <c r="E149" t="s">
        <v>8</v>
      </c>
      <c r="F149" t="s">
        <v>395</v>
      </c>
      <c r="H149" t="s">
        <v>240</v>
      </c>
      <c r="I149" t="s">
        <v>8</v>
      </c>
      <c r="J149" t="s">
        <v>332</v>
      </c>
      <c r="K149" t="b">
        <v>0</v>
      </c>
      <c r="M149">
        <v>1847.8497974222901</v>
      </c>
      <c r="N149">
        <v>0.68162823558274899</v>
      </c>
    </row>
    <row r="150" spans="1:14" x14ac:dyDescent="0.45">
      <c r="A150" t="s">
        <v>699</v>
      </c>
      <c r="B150" t="s">
        <v>8</v>
      </c>
      <c r="C150" t="s">
        <v>696</v>
      </c>
      <c r="E150" t="s">
        <v>8</v>
      </c>
      <c r="F150" t="s">
        <v>697</v>
      </c>
      <c r="G150" t="s">
        <v>698</v>
      </c>
      <c r="H150" t="s">
        <v>240</v>
      </c>
      <c r="I150" t="s">
        <v>8</v>
      </c>
      <c r="J150" t="s">
        <v>620</v>
      </c>
      <c r="K150" t="b">
        <v>0</v>
      </c>
      <c r="M150">
        <v>478.63009232263801</v>
      </c>
      <c r="N150">
        <v>0.17655535952207599</v>
      </c>
    </row>
    <row r="151" spans="1:14" x14ac:dyDescent="0.45">
      <c r="A151" t="s">
        <v>806</v>
      </c>
      <c r="B151" t="s">
        <v>8</v>
      </c>
      <c r="C151" t="s">
        <v>255</v>
      </c>
      <c r="E151" t="s">
        <v>8</v>
      </c>
      <c r="F151" t="s">
        <v>396</v>
      </c>
      <c r="H151" t="s">
        <v>240</v>
      </c>
      <c r="I151" t="s">
        <v>8</v>
      </c>
      <c r="J151" t="s">
        <v>332</v>
      </c>
      <c r="K151" t="b">
        <v>0</v>
      </c>
      <c r="M151">
        <v>2511.8864315095798</v>
      </c>
      <c r="N151">
        <v>0.92657569824266295</v>
      </c>
    </row>
    <row r="152" spans="1:14" x14ac:dyDescent="0.45">
      <c r="A152" t="s">
        <v>536</v>
      </c>
      <c r="B152" t="s">
        <v>8</v>
      </c>
      <c r="C152" t="s">
        <v>537</v>
      </c>
      <c r="E152" t="s">
        <v>8</v>
      </c>
      <c r="F152" t="s">
        <v>538</v>
      </c>
      <c r="H152" t="s">
        <v>241</v>
      </c>
      <c r="I152" t="s">
        <v>8</v>
      </c>
      <c r="J152" t="s">
        <v>333</v>
      </c>
      <c r="K152" t="b">
        <v>0</v>
      </c>
      <c r="M152">
        <v>954.99258602143595</v>
      </c>
      <c r="N152">
        <v>0.35227425536017998</v>
      </c>
    </row>
    <row r="153" spans="1:14" x14ac:dyDescent="0.45">
      <c r="A153" s="6" t="s">
        <v>890</v>
      </c>
      <c r="B153" t="s">
        <v>8</v>
      </c>
      <c r="C153" t="s">
        <v>844</v>
      </c>
      <c r="E153" t="s">
        <v>8</v>
      </c>
      <c r="F153" t="s">
        <v>859</v>
      </c>
      <c r="H153" t="s">
        <v>241</v>
      </c>
      <c r="I153" t="s">
        <v>8</v>
      </c>
      <c r="J153" t="s">
        <v>860</v>
      </c>
      <c r="K153" t="b">
        <v>0</v>
      </c>
    </row>
    <row r="154" spans="1:14" x14ac:dyDescent="0.45">
      <c r="A154" t="s">
        <v>319</v>
      </c>
      <c r="B154" t="s">
        <v>8</v>
      </c>
      <c r="C154" t="s">
        <v>338</v>
      </c>
      <c r="E154" t="s">
        <v>8</v>
      </c>
      <c r="F154" s="1" t="s">
        <v>370</v>
      </c>
      <c r="G154" s="1"/>
      <c r="H154" t="s">
        <v>241</v>
      </c>
      <c r="I154" t="s">
        <v>8</v>
      </c>
      <c r="J154" t="s">
        <v>426</v>
      </c>
      <c r="K154" t="b">
        <v>0</v>
      </c>
      <c r="L154" t="s">
        <v>320</v>
      </c>
      <c r="M154">
        <v>1467.7992676220599</v>
      </c>
      <c r="N154">
        <v>0.541436553108671</v>
      </c>
    </row>
    <row r="155" spans="1:14" x14ac:dyDescent="0.45">
      <c r="A155" t="s">
        <v>1064</v>
      </c>
      <c r="B155" t="s">
        <v>8</v>
      </c>
      <c r="C155" t="s">
        <v>338</v>
      </c>
      <c r="E155" t="s">
        <v>8</v>
      </c>
      <c r="F155" s="1" t="s">
        <v>370</v>
      </c>
      <c r="G155" s="1"/>
      <c r="H155" t="s">
        <v>241</v>
      </c>
      <c r="I155" t="s">
        <v>8</v>
      </c>
      <c r="J155" t="s">
        <v>426</v>
      </c>
      <c r="K155" t="b">
        <v>0</v>
      </c>
    </row>
    <row r="156" spans="1:14" x14ac:dyDescent="0.45">
      <c r="A156" t="s">
        <v>1065</v>
      </c>
      <c r="B156" t="s">
        <v>8</v>
      </c>
      <c r="C156" t="s">
        <v>1066</v>
      </c>
      <c r="E156" t="s">
        <v>8</v>
      </c>
      <c r="F156" s="1" t="s">
        <v>1067</v>
      </c>
      <c r="G156" s="1"/>
      <c r="H156" t="s">
        <v>240</v>
      </c>
      <c r="I156" t="s">
        <v>8</v>
      </c>
      <c r="J156" t="s">
        <v>332</v>
      </c>
      <c r="K156" t="b">
        <v>0</v>
      </c>
    </row>
    <row r="157" spans="1:14" x14ac:dyDescent="0.45">
      <c r="A157" t="s">
        <v>33</v>
      </c>
      <c r="B157" t="s">
        <v>8</v>
      </c>
      <c r="C157" t="s">
        <v>32</v>
      </c>
      <c r="E157" t="s">
        <v>8</v>
      </c>
      <c r="F157" s="1" t="s">
        <v>205</v>
      </c>
      <c r="G157" s="1"/>
      <c r="H157" t="s">
        <v>240</v>
      </c>
      <c r="I157" t="s">
        <v>8</v>
      </c>
      <c r="J157" t="s">
        <v>11</v>
      </c>
      <c r="K157" t="b">
        <v>0</v>
      </c>
      <c r="M157">
        <v>1964.8677899934601</v>
      </c>
      <c r="N157">
        <v>0.72479341487329196</v>
      </c>
    </row>
    <row r="158" spans="1:14" x14ac:dyDescent="0.45">
      <c r="A158" t="s">
        <v>682</v>
      </c>
      <c r="B158" t="s">
        <v>8</v>
      </c>
      <c r="C158" t="s">
        <v>679</v>
      </c>
      <c r="E158" t="s">
        <v>8</v>
      </c>
      <c r="F158" s="1" t="s">
        <v>680</v>
      </c>
      <c r="G158" s="1" t="s">
        <v>681</v>
      </c>
      <c r="H158" t="s">
        <v>240</v>
      </c>
      <c r="I158" t="s">
        <v>8</v>
      </c>
      <c r="J158" t="s">
        <v>334</v>
      </c>
      <c r="K158" t="b">
        <v>0</v>
      </c>
      <c r="M158">
        <v>1318.2567385564</v>
      </c>
      <c r="N158">
        <v>0.48627383892389098</v>
      </c>
    </row>
    <row r="159" spans="1:14" x14ac:dyDescent="0.45">
      <c r="A159" t="s">
        <v>147</v>
      </c>
      <c r="B159" t="s">
        <v>8</v>
      </c>
      <c r="C159" t="s">
        <v>148</v>
      </c>
      <c r="E159" t="s">
        <v>8</v>
      </c>
      <c r="F159" s="1" t="s">
        <v>180</v>
      </c>
      <c r="G159" s="1"/>
      <c r="H159" t="s">
        <v>241</v>
      </c>
      <c r="I159" t="s">
        <v>8</v>
      </c>
      <c r="J159" t="s">
        <v>165</v>
      </c>
      <c r="K159" t="b">
        <v>0</v>
      </c>
      <c r="M159">
        <v>392.042665527015</v>
      </c>
      <c r="N159">
        <v>0.14461529868342801</v>
      </c>
    </row>
    <row r="160" spans="1:14" x14ac:dyDescent="0.45">
      <c r="A160" t="s">
        <v>285</v>
      </c>
      <c r="B160" t="s">
        <v>8</v>
      </c>
      <c r="C160" t="s">
        <v>148</v>
      </c>
      <c r="E160" t="s">
        <v>8</v>
      </c>
      <c r="F160" s="1" t="s">
        <v>180</v>
      </c>
      <c r="G160" s="1"/>
      <c r="H160" t="s">
        <v>241</v>
      </c>
      <c r="I160" t="s">
        <v>8</v>
      </c>
      <c r="J160" t="s">
        <v>165</v>
      </c>
      <c r="K160" t="b">
        <v>0</v>
      </c>
      <c r="L160" t="s">
        <v>286</v>
      </c>
      <c r="M160">
        <v>392.042665527015</v>
      </c>
      <c r="N160">
        <v>0.14461529868342801</v>
      </c>
    </row>
    <row r="161" spans="1:14" x14ac:dyDescent="0.45">
      <c r="A161" t="s">
        <v>1068</v>
      </c>
      <c r="B161" t="s">
        <v>8</v>
      </c>
      <c r="C161" t="s">
        <v>335</v>
      </c>
      <c r="E161" t="s">
        <v>8</v>
      </c>
      <c r="F161" s="1" t="s">
        <v>1069</v>
      </c>
      <c r="G161" s="1"/>
      <c r="H161" t="s">
        <v>241</v>
      </c>
      <c r="I161" t="s">
        <v>8</v>
      </c>
      <c r="J161" t="s">
        <v>335</v>
      </c>
      <c r="K161" t="b">
        <v>0</v>
      </c>
    </row>
    <row r="162" spans="1:14" x14ac:dyDescent="0.45">
      <c r="A162" t="s">
        <v>935</v>
      </c>
      <c r="B162" t="s">
        <v>16</v>
      </c>
      <c r="C162" t="s">
        <v>936</v>
      </c>
      <c r="E162" t="s">
        <v>16</v>
      </c>
      <c r="F162" s="1" t="s">
        <v>937</v>
      </c>
      <c r="G162" s="1"/>
      <c r="H162" t="s">
        <v>240</v>
      </c>
      <c r="I162" t="s">
        <v>16</v>
      </c>
      <c r="J162" t="s">
        <v>938</v>
      </c>
      <c r="K162" t="b">
        <v>0</v>
      </c>
    </row>
    <row r="163" spans="1:14" x14ac:dyDescent="0.45">
      <c r="A163" t="s">
        <v>120</v>
      </c>
      <c r="B163" t="s">
        <v>8</v>
      </c>
      <c r="C163" t="s">
        <v>110</v>
      </c>
      <c r="E163" t="s">
        <v>8</v>
      </c>
      <c r="F163" s="1" t="s">
        <v>181</v>
      </c>
      <c r="G163" s="1"/>
      <c r="H163" t="s">
        <v>241</v>
      </c>
      <c r="I163" t="s">
        <v>8</v>
      </c>
      <c r="J163" t="s">
        <v>167</v>
      </c>
      <c r="K163" t="b">
        <v>0</v>
      </c>
      <c r="M163">
        <v>478.63009232263801</v>
      </c>
      <c r="N163">
        <v>0.17655535952207599</v>
      </c>
    </row>
    <row r="164" spans="1:14" x14ac:dyDescent="0.45">
      <c r="A164" t="s">
        <v>1070</v>
      </c>
      <c r="B164" t="s">
        <v>8</v>
      </c>
      <c r="C164" t="s">
        <v>1071</v>
      </c>
      <c r="E164" t="s">
        <v>8</v>
      </c>
      <c r="F164" s="1" t="s">
        <v>1072</v>
      </c>
      <c r="G164" s="1"/>
      <c r="H164" t="s">
        <v>240</v>
      </c>
      <c r="I164" t="s">
        <v>8</v>
      </c>
      <c r="J164" t="s">
        <v>167</v>
      </c>
      <c r="K164" t="b">
        <v>1</v>
      </c>
    </row>
    <row r="165" spans="1:14" x14ac:dyDescent="0.45">
      <c r="A165" t="s">
        <v>66</v>
      </c>
      <c r="B165" t="s">
        <v>8</v>
      </c>
      <c r="C165" t="s">
        <v>60</v>
      </c>
      <c r="E165" t="s">
        <v>8</v>
      </c>
      <c r="F165" s="1" t="s">
        <v>226</v>
      </c>
      <c r="G165" s="1"/>
      <c r="H165" t="s">
        <v>241</v>
      </c>
      <c r="I165" t="s">
        <v>8</v>
      </c>
      <c r="J165" t="s">
        <v>7</v>
      </c>
      <c r="K165" t="b">
        <v>0</v>
      </c>
      <c r="M165">
        <v>275.42287033381598</v>
      </c>
      <c r="N165">
        <v>0.101597005019922</v>
      </c>
    </row>
    <row r="166" spans="1:14" x14ac:dyDescent="0.45">
      <c r="A166" t="s">
        <v>64</v>
      </c>
      <c r="B166" t="s">
        <v>8</v>
      </c>
      <c r="C166" t="s">
        <v>61</v>
      </c>
      <c r="E166" t="s">
        <v>8</v>
      </c>
      <c r="F166" s="1" t="s">
        <v>227</v>
      </c>
      <c r="G166" s="1"/>
      <c r="H166" t="s">
        <v>240</v>
      </c>
      <c r="I166" t="s">
        <v>8</v>
      </c>
      <c r="J166" t="s">
        <v>7</v>
      </c>
      <c r="K166" t="b">
        <v>0</v>
      </c>
      <c r="M166">
        <v>984.76665211015802</v>
      </c>
      <c r="N166">
        <v>0.36325720655160898</v>
      </c>
    </row>
    <row r="167" spans="1:14" x14ac:dyDescent="0.45">
      <c r="A167" t="s">
        <v>65</v>
      </c>
      <c r="B167" t="s">
        <v>8</v>
      </c>
      <c r="C167" t="s">
        <v>62</v>
      </c>
      <c r="E167" t="s">
        <v>8</v>
      </c>
      <c r="F167" s="1" t="s">
        <v>228</v>
      </c>
      <c r="G167" s="1"/>
      <c r="H167" t="s">
        <v>241</v>
      </c>
      <c r="I167" t="s">
        <v>8</v>
      </c>
      <c r="J167" t="s">
        <v>7</v>
      </c>
      <c r="K167" t="b">
        <v>0</v>
      </c>
      <c r="M167">
        <v>1183.9499222293</v>
      </c>
      <c r="N167">
        <v>0.43673122005547099</v>
      </c>
    </row>
    <row r="168" spans="1:14" x14ac:dyDescent="0.45">
      <c r="A168" t="s">
        <v>66</v>
      </c>
      <c r="B168" t="s">
        <v>8</v>
      </c>
      <c r="C168" t="s">
        <v>63</v>
      </c>
      <c r="E168" t="s">
        <v>8</v>
      </c>
      <c r="F168" s="1" t="s">
        <v>229</v>
      </c>
      <c r="G168" s="1"/>
      <c r="H168" t="s">
        <v>240</v>
      </c>
      <c r="I168" t="s">
        <v>8</v>
      </c>
      <c r="J168" t="s">
        <v>7</v>
      </c>
      <c r="K168" t="b">
        <v>0</v>
      </c>
      <c r="M168">
        <v>275.42287033381598</v>
      </c>
      <c r="N168">
        <v>0.101597005019922</v>
      </c>
    </row>
    <row r="169" spans="1:14" x14ac:dyDescent="0.45">
      <c r="A169" t="s">
        <v>262</v>
      </c>
      <c r="B169" t="s">
        <v>8</v>
      </c>
      <c r="C169" t="s">
        <v>63</v>
      </c>
      <c r="D169" t="s">
        <v>60</v>
      </c>
      <c r="E169" t="s">
        <v>8</v>
      </c>
      <c r="F169" t="s">
        <v>229</v>
      </c>
      <c r="G169" t="s">
        <v>226</v>
      </c>
      <c r="H169" t="s">
        <v>240</v>
      </c>
      <c r="I169" t="s">
        <v>8</v>
      </c>
      <c r="J169" t="s">
        <v>7</v>
      </c>
      <c r="K169" t="b">
        <v>0</v>
      </c>
      <c r="M169">
        <v>819.09322421529703</v>
      </c>
      <c r="N169">
        <v>0.30214418400158799</v>
      </c>
    </row>
    <row r="170" spans="1:14" x14ac:dyDescent="0.45">
      <c r="A170" t="s">
        <v>539</v>
      </c>
      <c r="B170" t="s">
        <v>16</v>
      </c>
      <c r="C170" t="s">
        <v>540</v>
      </c>
      <c r="E170" t="s">
        <v>16</v>
      </c>
      <c r="F170" t="s">
        <v>541</v>
      </c>
      <c r="H170" t="s">
        <v>241</v>
      </c>
      <c r="I170" t="s">
        <v>16</v>
      </c>
      <c r="J170" t="s">
        <v>333</v>
      </c>
      <c r="K170" t="b">
        <v>0</v>
      </c>
      <c r="M170">
        <v>831.76377110267003</v>
      </c>
      <c r="N170">
        <v>0.30681805009760699</v>
      </c>
    </row>
    <row r="171" spans="1:14" x14ac:dyDescent="0.45">
      <c r="A171" t="s">
        <v>295</v>
      </c>
      <c r="B171" t="s">
        <v>8</v>
      </c>
      <c r="C171" t="s">
        <v>149</v>
      </c>
      <c r="E171" t="s">
        <v>8</v>
      </c>
      <c r="F171" s="1" t="s">
        <v>182</v>
      </c>
      <c r="G171" s="1"/>
      <c r="H171" t="s">
        <v>240</v>
      </c>
      <c r="I171" t="s">
        <v>8</v>
      </c>
      <c r="J171" t="s">
        <v>426</v>
      </c>
      <c r="K171" t="b">
        <v>0</v>
      </c>
      <c r="M171">
        <v>104.71285480508899</v>
      </c>
      <c r="N171">
        <v>3.8626104006501398E-2</v>
      </c>
    </row>
    <row r="172" spans="1:14" x14ac:dyDescent="0.45">
      <c r="A172" t="s">
        <v>150</v>
      </c>
      <c r="B172" t="s">
        <v>8</v>
      </c>
      <c r="C172" t="s">
        <v>149</v>
      </c>
      <c r="E172" t="s">
        <v>8</v>
      </c>
      <c r="F172" s="1" t="s">
        <v>182</v>
      </c>
      <c r="G172" s="1"/>
      <c r="H172" t="s">
        <v>240</v>
      </c>
      <c r="I172" t="s">
        <v>8</v>
      </c>
      <c r="J172" t="s">
        <v>426</v>
      </c>
      <c r="K172" t="b">
        <v>0</v>
      </c>
      <c r="M172">
        <v>104.71285480508899</v>
      </c>
      <c r="N172">
        <v>3.8626104006501398E-2</v>
      </c>
    </row>
    <row r="173" spans="1:14" x14ac:dyDescent="0.45">
      <c r="A173" t="s">
        <v>796</v>
      </c>
      <c r="B173" t="s">
        <v>8</v>
      </c>
      <c r="C173" t="s">
        <v>403</v>
      </c>
      <c r="E173" t="s">
        <v>8</v>
      </c>
      <c r="F173" t="s">
        <v>387</v>
      </c>
      <c r="H173" t="s">
        <v>240</v>
      </c>
      <c r="I173" t="s">
        <v>8</v>
      </c>
      <c r="J173" t="s">
        <v>7</v>
      </c>
      <c r="K173" t="b">
        <v>0</v>
      </c>
      <c r="M173">
        <v>660.69344800759598</v>
      </c>
      <c r="N173">
        <v>0.24371424011557899</v>
      </c>
    </row>
    <row r="174" spans="1:14" x14ac:dyDescent="0.45">
      <c r="A174" t="s">
        <v>797</v>
      </c>
      <c r="B174" t="s">
        <v>8</v>
      </c>
      <c r="C174" t="s">
        <v>401</v>
      </c>
      <c r="E174" t="s">
        <v>8</v>
      </c>
      <c r="F174" t="s">
        <v>388</v>
      </c>
      <c r="H174" t="s">
        <v>241</v>
      </c>
      <c r="I174" t="s">
        <v>8</v>
      </c>
      <c r="J174" t="s">
        <v>7</v>
      </c>
      <c r="K174" t="b">
        <v>0</v>
      </c>
      <c r="M174">
        <v>566.67406058199094</v>
      </c>
      <c r="N174">
        <v>0.20903270417532799</v>
      </c>
    </row>
    <row r="175" spans="1:14" x14ac:dyDescent="0.45">
      <c r="A175" t="s">
        <v>310</v>
      </c>
      <c r="B175" t="s">
        <v>8</v>
      </c>
      <c r="C175" t="s">
        <v>402</v>
      </c>
      <c r="E175" t="s">
        <v>8</v>
      </c>
      <c r="F175" t="s">
        <v>389</v>
      </c>
      <c r="H175" t="s">
        <v>240</v>
      </c>
      <c r="I175" t="s">
        <v>8</v>
      </c>
      <c r="J175" t="s">
        <v>7</v>
      </c>
      <c r="K175" t="b">
        <v>0</v>
      </c>
      <c r="M175">
        <v>368.69450645195701</v>
      </c>
      <c r="N175">
        <v>0.13600271312769799</v>
      </c>
    </row>
    <row r="176" spans="1:14" x14ac:dyDescent="0.45">
      <c r="A176" t="s">
        <v>1073</v>
      </c>
      <c r="B176" t="s">
        <v>8</v>
      </c>
      <c r="C176" t="s">
        <v>1074</v>
      </c>
      <c r="E176" t="s">
        <v>8</v>
      </c>
      <c r="F176" t="s">
        <v>1075</v>
      </c>
      <c r="H176" t="s">
        <v>240</v>
      </c>
      <c r="I176" t="s">
        <v>8</v>
      </c>
      <c r="J176" t="s">
        <v>561</v>
      </c>
      <c r="K176" t="b">
        <v>0</v>
      </c>
    </row>
    <row r="177" spans="1:14" x14ac:dyDescent="0.45">
      <c r="A177" t="s">
        <v>1076</v>
      </c>
      <c r="B177" t="s">
        <v>8</v>
      </c>
      <c r="C177" t="s">
        <v>1077</v>
      </c>
      <c r="E177" t="s">
        <v>8</v>
      </c>
      <c r="F177" t="s">
        <v>1078</v>
      </c>
      <c r="H177" t="s">
        <v>240</v>
      </c>
      <c r="I177" t="s">
        <v>8</v>
      </c>
      <c r="J177" t="s">
        <v>561</v>
      </c>
      <c r="K177" t="b">
        <v>0</v>
      </c>
    </row>
    <row r="178" spans="1:14" x14ac:dyDescent="0.45">
      <c r="A178" t="s">
        <v>325</v>
      </c>
      <c r="B178" t="s">
        <v>8</v>
      </c>
      <c r="C178" t="s">
        <v>326</v>
      </c>
      <c r="E178" t="s">
        <v>8</v>
      </c>
      <c r="F178" s="1" t="s">
        <v>427</v>
      </c>
      <c r="G178" s="1"/>
      <c r="H178" t="s">
        <v>241</v>
      </c>
      <c r="I178" t="s">
        <v>8</v>
      </c>
      <c r="J178" t="s">
        <v>335</v>
      </c>
      <c r="K178" t="b">
        <v>0</v>
      </c>
      <c r="M178">
        <v>1113.43960906236</v>
      </c>
      <c r="N178">
        <v>0.41072162748933599</v>
      </c>
    </row>
    <row r="179" spans="1:14" x14ac:dyDescent="0.45">
      <c r="A179" t="s">
        <v>807</v>
      </c>
      <c r="B179" t="s">
        <v>8</v>
      </c>
      <c r="C179" t="s">
        <v>433</v>
      </c>
      <c r="E179" t="s">
        <v>8</v>
      </c>
      <c r="F179" t="s">
        <v>432</v>
      </c>
      <c r="H179" t="s">
        <v>240</v>
      </c>
      <c r="I179" t="s">
        <v>8</v>
      </c>
      <c r="J179" t="s">
        <v>332</v>
      </c>
      <c r="K179" t="b">
        <v>0</v>
      </c>
      <c r="M179">
        <v>593.38058627532803</v>
      </c>
      <c r="N179">
        <v>0.21888411201826499</v>
      </c>
    </row>
    <row r="180" spans="1:14" x14ac:dyDescent="0.45">
      <c r="A180" t="s">
        <v>34</v>
      </c>
      <c r="B180" t="s">
        <v>8</v>
      </c>
      <c r="C180" t="s">
        <v>36</v>
      </c>
      <c r="E180" t="s">
        <v>8</v>
      </c>
      <c r="F180" s="1" t="s">
        <v>206</v>
      </c>
      <c r="G180" s="1"/>
      <c r="H180" t="s">
        <v>241</v>
      </c>
      <c r="I180" t="s">
        <v>8</v>
      </c>
      <c r="J180" t="s">
        <v>11</v>
      </c>
      <c r="K180" t="b">
        <v>0</v>
      </c>
      <c r="M180">
        <v>4042.6548736234399</v>
      </c>
      <c r="N180">
        <v>1.49124009560838</v>
      </c>
    </row>
    <row r="181" spans="1:14" x14ac:dyDescent="0.45">
      <c r="A181" t="s">
        <v>901</v>
      </c>
      <c r="B181" t="s">
        <v>8</v>
      </c>
      <c r="C181" t="s">
        <v>518</v>
      </c>
      <c r="E181" t="s">
        <v>8</v>
      </c>
      <c r="F181" t="s">
        <v>519</v>
      </c>
      <c r="H181" t="s">
        <v>240</v>
      </c>
      <c r="I181" t="s">
        <v>8</v>
      </c>
      <c r="J181" t="s">
        <v>447</v>
      </c>
      <c r="K181" t="b">
        <v>0</v>
      </c>
    </row>
    <row r="182" spans="1:14" x14ac:dyDescent="0.45">
      <c r="A182" t="s">
        <v>517</v>
      </c>
      <c r="B182" t="s">
        <v>8</v>
      </c>
      <c r="C182" t="s">
        <v>518</v>
      </c>
      <c r="E182" t="s">
        <v>8</v>
      </c>
      <c r="F182" t="s">
        <v>519</v>
      </c>
      <c r="H182" t="s">
        <v>240</v>
      </c>
      <c r="I182" t="s">
        <v>8</v>
      </c>
      <c r="J182" t="s">
        <v>447</v>
      </c>
      <c r="K182" t="b">
        <v>0</v>
      </c>
      <c r="M182">
        <v>1047.12854805089</v>
      </c>
      <c r="N182">
        <v>0.38626104006501399</v>
      </c>
    </row>
    <row r="183" spans="1:14" x14ac:dyDescent="0.45">
      <c r="A183" t="s">
        <v>151</v>
      </c>
      <c r="B183" t="s">
        <v>8</v>
      </c>
      <c r="C183" t="s">
        <v>152</v>
      </c>
      <c r="E183" t="s">
        <v>8</v>
      </c>
      <c r="F183" s="1" t="s">
        <v>183</v>
      </c>
      <c r="G183" s="1"/>
      <c r="H183" t="s">
        <v>240</v>
      </c>
      <c r="I183" t="s">
        <v>8</v>
      </c>
      <c r="J183" t="s">
        <v>165</v>
      </c>
      <c r="K183" t="b">
        <v>0</v>
      </c>
      <c r="M183">
        <v>346.73685045253097</v>
      </c>
      <c r="N183">
        <v>0.12790305138176</v>
      </c>
    </row>
    <row r="184" spans="1:14" x14ac:dyDescent="0.45">
      <c r="A184" t="s">
        <v>910</v>
      </c>
      <c r="B184" t="s">
        <v>16</v>
      </c>
      <c r="C184" t="s">
        <v>911</v>
      </c>
      <c r="E184" t="s">
        <v>16</v>
      </c>
      <c r="F184" s="1" t="s">
        <v>912</v>
      </c>
      <c r="G184" s="1"/>
      <c r="H184" t="s">
        <v>240</v>
      </c>
      <c r="I184" t="s">
        <v>16</v>
      </c>
      <c r="J184" t="s">
        <v>15</v>
      </c>
      <c r="K184" t="b">
        <v>0</v>
      </c>
    </row>
    <row r="185" spans="1:14" x14ac:dyDescent="0.45">
      <c r="A185" t="s">
        <v>243</v>
      </c>
      <c r="B185" t="s">
        <v>8</v>
      </c>
      <c r="C185" t="s">
        <v>35</v>
      </c>
      <c r="E185" t="s">
        <v>8</v>
      </c>
      <c r="F185" s="1" t="s">
        <v>207</v>
      </c>
      <c r="G185" s="1"/>
      <c r="H185" t="s">
        <v>241</v>
      </c>
      <c r="I185" t="s">
        <v>8</v>
      </c>
      <c r="J185" t="s">
        <v>11</v>
      </c>
      <c r="K185" t="b">
        <v>0</v>
      </c>
      <c r="M185">
        <v>4713.3895361573996</v>
      </c>
      <c r="N185">
        <v>1.7386583030866001</v>
      </c>
    </row>
    <row r="186" spans="1:14" x14ac:dyDescent="0.45">
      <c r="A186" t="s">
        <v>755</v>
      </c>
      <c r="B186" t="s">
        <v>8</v>
      </c>
      <c r="C186" t="s">
        <v>756</v>
      </c>
      <c r="E186" t="s">
        <v>8</v>
      </c>
      <c r="F186" s="1" t="s">
        <v>757</v>
      </c>
      <c r="G186" s="1"/>
      <c r="H186" t="s">
        <v>241</v>
      </c>
      <c r="I186" t="s">
        <v>8</v>
      </c>
      <c r="J186" t="s">
        <v>11</v>
      </c>
      <c r="K186" t="b">
        <v>0</v>
      </c>
      <c r="M186" s="6">
        <v>0</v>
      </c>
      <c r="N186" s="6">
        <v>0</v>
      </c>
    </row>
    <row r="187" spans="1:14" x14ac:dyDescent="0.45">
      <c r="A187" t="s">
        <v>153</v>
      </c>
      <c r="B187" t="s">
        <v>8</v>
      </c>
      <c r="C187" t="s">
        <v>155</v>
      </c>
      <c r="E187" t="s">
        <v>8</v>
      </c>
      <c r="F187" s="1" t="s">
        <v>184</v>
      </c>
      <c r="G187" s="1"/>
      <c r="H187" t="s">
        <v>241</v>
      </c>
      <c r="I187" t="s">
        <v>8</v>
      </c>
      <c r="J187" t="s">
        <v>426</v>
      </c>
      <c r="K187" t="b">
        <v>0</v>
      </c>
      <c r="M187">
        <v>819.09322421529703</v>
      </c>
      <c r="N187">
        <v>0.30214418400158799</v>
      </c>
    </row>
    <row r="188" spans="1:14" x14ac:dyDescent="0.45">
      <c r="A188" s="6" t="s">
        <v>889</v>
      </c>
      <c r="B188" t="s">
        <v>8</v>
      </c>
      <c r="C188" t="s">
        <v>843</v>
      </c>
      <c r="E188" t="s">
        <v>8</v>
      </c>
      <c r="F188" t="s">
        <v>891</v>
      </c>
      <c r="H188" t="s">
        <v>240</v>
      </c>
      <c r="I188" t="s">
        <v>8</v>
      </c>
      <c r="J188" t="s">
        <v>332</v>
      </c>
      <c r="K188" t="b">
        <v>0</v>
      </c>
    </row>
    <row r="189" spans="1:14" x14ac:dyDescent="0.45">
      <c r="A189" s="6" t="s">
        <v>841</v>
      </c>
      <c r="B189" t="s">
        <v>8</v>
      </c>
      <c r="C189" t="s">
        <v>845</v>
      </c>
      <c r="E189" t="s">
        <v>8</v>
      </c>
      <c r="F189" s="1" t="s">
        <v>892</v>
      </c>
      <c r="H189" t="s">
        <v>240</v>
      </c>
      <c r="I189" t="s">
        <v>8</v>
      </c>
      <c r="J189" t="s">
        <v>11</v>
      </c>
      <c r="K189" t="b">
        <v>0</v>
      </c>
    </row>
    <row r="190" spans="1:14" x14ac:dyDescent="0.45">
      <c r="A190" t="s">
        <v>154</v>
      </c>
      <c r="B190" t="s">
        <v>8</v>
      </c>
      <c r="C190" t="s">
        <v>156</v>
      </c>
      <c r="E190" t="s">
        <v>8</v>
      </c>
      <c r="F190" s="1" t="s">
        <v>185</v>
      </c>
      <c r="G190" s="1"/>
      <c r="H190" t="s">
        <v>241</v>
      </c>
      <c r="I190" t="s">
        <v>8</v>
      </c>
      <c r="J190" t="s">
        <v>426</v>
      </c>
      <c r="K190" t="b">
        <v>0</v>
      </c>
      <c r="M190">
        <v>125.892541179416</v>
      </c>
      <c r="N190">
        <v>4.6438791094849802E-2</v>
      </c>
    </row>
    <row r="191" spans="1:14" x14ac:dyDescent="0.45">
      <c r="A191" t="s">
        <v>121</v>
      </c>
      <c r="B191" t="s">
        <v>8</v>
      </c>
      <c r="C191" t="s">
        <v>111</v>
      </c>
      <c r="E191" t="s">
        <v>8</v>
      </c>
      <c r="F191" s="1" t="s">
        <v>186</v>
      </c>
      <c r="G191" s="1"/>
      <c r="H191" t="s">
        <v>240</v>
      </c>
      <c r="I191" t="s">
        <v>8</v>
      </c>
      <c r="J191" t="s">
        <v>167</v>
      </c>
      <c r="K191" t="b">
        <v>0</v>
      </c>
      <c r="M191">
        <v>1490.5046433861901</v>
      </c>
      <c r="N191">
        <v>0.54981203105170195</v>
      </c>
    </row>
    <row r="192" spans="1:14" x14ac:dyDescent="0.45">
      <c r="A192" t="s">
        <v>1082</v>
      </c>
      <c r="B192" t="s">
        <v>8</v>
      </c>
      <c r="C192" t="s">
        <v>1080</v>
      </c>
      <c r="E192" t="s">
        <v>8</v>
      </c>
      <c r="F192" s="1" t="s">
        <v>1081</v>
      </c>
      <c r="G192" s="1"/>
      <c r="H192" t="s">
        <v>241</v>
      </c>
      <c r="I192" t="s">
        <v>8</v>
      </c>
      <c r="J192" t="s">
        <v>442</v>
      </c>
      <c r="K192" t="b">
        <v>0</v>
      </c>
    </row>
    <row r="193" spans="1:14" x14ac:dyDescent="0.45">
      <c r="A193" t="s">
        <v>56</v>
      </c>
      <c r="B193" t="s">
        <v>8</v>
      </c>
      <c r="C193" t="s">
        <v>57</v>
      </c>
      <c r="E193" t="s">
        <v>8</v>
      </c>
      <c r="F193" s="1" t="s">
        <v>371</v>
      </c>
      <c r="G193" s="1"/>
      <c r="H193" t="s">
        <v>240</v>
      </c>
      <c r="I193" t="s">
        <v>8</v>
      </c>
      <c r="J193" t="s">
        <v>165</v>
      </c>
      <c r="K193" t="b">
        <v>0</v>
      </c>
      <c r="M193">
        <v>516.81288563260296</v>
      </c>
      <c r="N193">
        <v>0.19064009198777601</v>
      </c>
    </row>
    <row r="194" spans="1:14" x14ac:dyDescent="0.45">
      <c r="A194" t="s">
        <v>58</v>
      </c>
      <c r="B194" t="s">
        <v>8</v>
      </c>
      <c r="C194" t="s">
        <v>59</v>
      </c>
      <c r="E194" t="s">
        <v>8</v>
      </c>
      <c r="F194" s="1" t="s">
        <v>230</v>
      </c>
      <c r="G194" s="1"/>
      <c r="H194" t="s">
        <v>240</v>
      </c>
      <c r="I194" t="s">
        <v>8</v>
      </c>
      <c r="J194" t="s">
        <v>7</v>
      </c>
      <c r="K194" t="b">
        <v>0</v>
      </c>
      <c r="M194">
        <v>2154.4346900318801</v>
      </c>
      <c r="N194">
        <v>0.79472017611672596</v>
      </c>
    </row>
    <row r="195" spans="1:14" x14ac:dyDescent="0.45">
      <c r="A195" t="s">
        <v>789</v>
      </c>
      <c r="B195" t="s">
        <v>8</v>
      </c>
      <c r="C195" t="s">
        <v>438</v>
      </c>
      <c r="E195" t="s">
        <v>8</v>
      </c>
      <c r="F195" t="s">
        <v>439</v>
      </c>
      <c r="H195" t="s">
        <v>241</v>
      </c>
      <c r="I195" t="s">
        <v>8</v>
      </c>
      <c r="J195" t="s">
        <v>442</v>
      </c>
      <c r="K195" t="b">
        <v>0</v>
      </c>
      <c r="L195" t="s">
        <v>282</v>
      </c>
      <c r="M195">
        <v>363.07805477010101</v>
      </c>
      <c r="N195">
        <v>0.13393093648466201</v>
      </c>
    </row>
    <row r="196" spans="1:14" x14ac:dyDescent="0.45">
      <c r="A196" s="6" t="s">
        <v>898</v>
      </c>
      <c r="B196" t="s">
        <v>8</v>
      </c>
      <c r="C196" t="s">
        <v>899</v>
      </c>
      <c r="E196" t="s">
        <v>8</v>
      </c>
      <c r="F196" s="1" t="s">
        <v>900</v>
      </c>
      <c r="H196" t="s">
        <v>240</v>
      </c>
      <c r="I196" t="s">
        <v>8</v>
      </c>
      <c r="J196" t="s">
        <v>334</v>
      </c>
      <c r="K196" t="b">
        <v>0</v>
      </c>
    </row>
    <row r="197" spans="1:14" x14ac:dyDescent="0.45">
      <c r="A197" t="s">
        <v>157</v>
      </c>
      <c r="B197" t="s">
        <v>8</v>
      </c>
      <c r="C197" t="s">
        <v>158</v>
      </c>
      <c r="E197" t="s">
        <v>8</v>
      </c>
      <c r="F197" s="1" t="s">
        <v>158</v>
      </c>
      <c r="G197" s="1"/>
      <c r="H197" t="s">
        <v>241</v>
      </c>
      <c r="I197" t="s">
        <v>8</v>
      </c>
      <c r="J197" t="s">
        <v>165</v>
      </c>
      <c r="K197" t="b">
        <v>0</v>
      </c>
      <c r="M197">
        <v>120.226443461741</v>
      </c>
      <c r="N197">
        <v>4.4348701199379899E-2</v>
      </c>
    </row>
    <row r="198" spans="1:14" x14ac:dyDescent="0.45">
      <c r="A198" t="s">
        <v>692</v>
      </c>
      <c r="B198" t="s">
        <v>8</v>
      </c>
      <c r="C198" t="s">
        <v>690</v>
      </c>
      <c r="E198" t="s">
        <v>8</v>
      </c>
      <c r="F198" s="1" t="s">
        <v>691</v>
      </c>
      <c r="G198" s="1"/>
      <c r="H198" t="s">
        <v>240</v>
      </c>
      <c r="I198" t="s">
        <v>8</v>
      </c>
      <c r="J198" t="s">
        <v>334</v>
      </c>
      <c r="K198" t="b">
        <v>0</v>
      </c>
      <c r="M198">
        <v>493.55247413948001</v>
      </c>
      <c r="N198">
        <v>0.18205987444677099</v>
      </c>
    </row>
    <row r="199" spans="1:14" x14ac:dyDescent="0.45">
      <c r="A199" s="6" t="s">
        <v>873</v>
      </c>
      <c r="B199" t="s">
        <v>8</v>
      </c>
      <c r="C199" t="s">
        <v>875</v>
      </c>
      <c r="E199" t="s">
        <v>8</v>
      </c>
      <c r="F199" s="1" t="s">
        <v>877</v>
      </c>
      <c r="G199" s="1"/>
      <c r="H199" t="s">
        <v>240</v>
      </c>
      <c r="I199" t="s">
        <v>8</v>
      </c>
      <c r="J199" t="s">
        <v>334</v>
      </c>
      <c r="K199" t="b">
        <v>0</v>
      </c>
    </row>
    <row r="200" spans="1:14" x14ac:dyDescent="0.45">
      <c r="A200" s="7" t="s">
        <v>980</v>
      </c>
      <c r="B200" s="7" t="s">
        <v>8</v>
      </c>
      <c r="C200" s="7" t="s">
        <v>1079</v>
      </c>
      <c r="D200" s="7"/>
      <c r="E200" s="7" t="s">
        <v>8</v>
      </c>
      <c r="F200" s="8" t="s">
        <v>982</v>
      </c>
      <c r="G200" s="8"/>
      <c r="H200" s="7" t="s">
        <v>240</v>
      </c>
      <c r="I200" s="7" t="s">
        <v>8</v>
      </c>
      <c r="J200" s="7" t="s">
        <v>334</v>
      </c>
      <c r="K200" s="7" t="b">
        <v>0</v>
      </c>
      <c r="L200" s="7"/>
      <c r="M200" s="7"/>
      <c r="N200" s="7"/>
    </row>
    <row r="201" spans="1:14" s="7" customFormat="1" x14ac:dyDescent="0.45">
      <c r="A201" s="7" t="s">
        <v>1085</v>
      </c>
      <c r="B201" s="7" t="s">
        <v>8</v>
      </c>
      <c r="C201" s="7" t="s">
        <v>1083</v>
      </c>
      <c r="E201" s="7" t="s">
        <v>8</v>
      </c>
      <c r="F201" s="8" t="s">
        <v>1084</v>
      </c>
      <c r="G201" s="8" t="s">
        <v>1084</v>
      </c>
      <c r="H201" s="7" t="s">
        <v>240</v>
      </c>
      <c r="I201" s="7" t="s">
        <v>8</v>
      </c>
      <c r="J201" s="7" t="s">
        <v>620</v>
      </c>
      <c r="K201" s="7" t="b">
        <v>0</v>
      </c>
    </row>
    <row r="202" spans="1:14" s="7" customFormat="1" x14ac:dyDescent="0.45">
      <c r="A202" t="s">
        <v>20</v>
      </c>
      <c r="B202" t="s">
        <v>8</v>
      </c>
      <c r="C202" t="s">
        <v>12</v>
      </c>
      <c r="D202"/>
      <c r="E202" t="s">
        <v>8</v>
      </c>
      <c r="F202" s="1" t="s">
        <v>12</v>
      </c>
      <c r="G202" s="1"/>
      <c r="H202" t="s">
        <v>240</v>
      </c>
      <c r="I202" t="s">
        <v>8</v>
      </c>
      <c r="J202" t="s">
        <v>165</v>
      </c>
      <c r="K202" t="b">
        <v>0</v>
      </c>
      <c r="L202"/>
      <c r="M202">
        <v>218.77616239495501</v>
      </c>
      <c r="N202">
        <v>8.0701369650749102E-2</v>
      </c>
    </row>
    <row r="203" spans="1:14" x14ac:dyDescent="0.45">
      <c r="A203" t="s">
        <v>375</v>
      </c>
      <c r="B203" t="s">
        <v>8</v>
      </c>
      <c r="C203" t="s">
        <v>307</v>
      </c>
      <c r="E203" t="s">
        <v>8</v>
      </c>
      <c r="F203" t="s">
        <v>384</v>
      </c>
      <c r="H203" t="s">
        <v>241</v>
      </c>
      <c r="I203" t="s">
        <v>8</v>
      </c>
      <c r="J203" t="s">
        <v>11</v>
      </c>
      <c r="K203" t="b">
        <v>0</v>
      </c>
      <c r="M203">
        <v>450.12520620613299</v>
      </c>
      <c r="N203">
        <v>0.16604057890723101</v>
      </c>
    </row>
    <row r="204" spans="1:14" x14ac:dyDescent="0.45">
      <c r="A204" t="s">
        <v>790</v>
      </c>
      <c r="B204" t="s">
        <v>407</v>
      </c>
      <c r="C204" t="s">
        <v>374</v>
      </c>
      <c r="E204" t="s">
        <v>407</v>
      </c>
      <c r="F204" s="1" t="s">
        <v>378</v>
      </c>
      <c r="G204" s="1"/>
      <c r="H204" t="s">
        <v>240</v>
      </c>
      <c r="I204" t="s">
        <v>407</v>
      </c>
      <c r="J204" t="s">
        <v>331</v>
      </c>
      <c r="K204" t="b">
        <v>0</v>
      </c>
      <c r="M204">
        <v>516.81288563260296</v>
      </c>
      <c r="N204">
        <v>0.19064009198777601</v>
      </c>
    </row>
    <row r="205" spans="1:14" x14ac:dyDescent="0.45">
      <c r="A205" s="4" t="s">
        <v>833</v>
      </c>
      <c r="B205" t="s">
        <v>8</v>
      </c>
      <c r="C205" t="s">
        <v>834</v>
      </c>
      <c r="E205" t="s">
        <v>8</v>
      </c>
      <c r="F205" t="s">
        <v>835</v>
      </c>
      <c r="H205" t="s">
        <v>240</v>
      </c>
      <c r="I205" t="s">
        <v>8</v>
      </c>
      <c r="J205" t="s">
        <v>334</v>
      </c>
      <c r="K205" t="b">
        <v>0</v>
      </c>
    </row>
    <row r="206" spans="1:14" x14ac:dyDescent="0.45">
      <c r="A206" t="s">
        <v>700</v>
      </c>
      <c r="B206" t="s">
        <v>8</v>
      </c>
      <c r="C206" t="s">
        <v>701</v>
      </c>
      <c r="E206" t="s">
        <v>8</v>
      </c>
      <c r="F206" t="s">
        <v>702</v>
      </c>
      <c r="G206" t="s">
        <v>703</v>
      </c>
      <c r="H206" t="s">
        <v>240</v>
      </c>
      <c r="I206" t="s">
        <v>8</v>
      </c>
      <c r="J206" t="s">
        <v>620</v>
      </c>
      <c r="K206" t="b">
        <v>0</v>
      </c>
      <c r="M206">
        <v>1995.26231496888</v>
      </c>
      <c r="N206">
        <v>0.73600523872351298</v>
      </c>
    </row>
    <row r="207" spans="1:14" x14ac:dyDescent="0.45">
      <c r="A207" t="s">
        <v>532</v>
      </c>
      <c r="B207" t="s">
        <v>8</v>
      </c>
      <c r="C207" t="s">
        <v>990</v>
      </c>
      <c r="E207" t="s">
        <v>8</v>
      </c>
      <c r="F207" s="1" t="s">
        <v>531</v>
      </c>
      <c r="G207" s="1"/>
      <c r="H207" t="s">
        <v>240</v>
      </c>
      <c r="I207" t="s">
        <v>8</v>
      </c>
      <c r="J207" t="s">
        <v>529</v>
      </c>
      <c r="K207" t="b">
        <v>0</v>
      </c>
      <c r="L207" t="s">
        <v>530</v>
      </c>
      <c r="M207">
        <v>288.40315031265999</v>
      </c>
      <c r="N207">
        <v>0.106385124352831</v>
      </c>
    </row>
    <row r="208" spans="1:14" x14ac:dyDescent="0.45">
      <c r="A208" t="s">
        <v>1128</v>
      </c>
      <c r="B208" t="s">
        <v>8</v>
      </c>
      <c r="C208" t="s">
        <v>1126</v>
      </c>
      <c r="E208" t="s">
        <v>8</v>
      </c>
      <c r="F208" s="1" t="s">
        <v>1127</v>
      </c>
      <c r="G208" s="1"/>
      <c r="H208" t="s">
        <v>241</v>
      </c>
      <c r="I208" t="s">
        <v>8</v>
      </c>
      <c r="J208" t="s">
        <v>89</v>
      </c>
      <c r="K208" t="b">
        <v>0</v>
      </c>
    </row>
    <row r="209" spans="1:14" x14ac:dyDescent="0.45">
      <c r="A209" t="s">
        <v>1007</v>
      </c>
      <c r="B209" t="s">
        <v>8</v>
      </c>
      <c r="C209" t="s">
        <v>1005</v>
      </c>
      <c r="E209" t="s">
        <v>8</v>
      </c>
      <c r="F209" t="s">
        <v>1008</v>
      </c>
      <c r="H209" t="s">
        <v>240</v>
      </c>
      <c r="I209" t="s">
        <v>8</v>
      </c>
      <c r="J209" t="s">
        <v>332</v>
      </c>
      <c r="K209" t="b">
        <v>0</v>
      </c>
      <c r="L209" t="s">
        <v>1006</v>
      </c>
    </row>
    <row r="210" spans="1:14" x14ac:dyDescent="0.45">
      <c r="A210" t="s">
        <v>927</v>
      </c>
      <c r="B210" t="s">
        <v>8</v>
      </c>
      <c r="C210" t="s">
        <v>928</v>
      </c>
      <c r="E210" t="s">
        <v>8</v>
      </c>
      <c r="F210" s="1" t="s">
        <v>929</v>
      </c>
      <c r="G210" s="1"/>
      <c r="H210" t="s">
        <v>241</v>
      </c>
      <c r="I210" t="s">
        <v>8</v>
      </c>
      <c r="J210" t="s">
        <v>930</v>
      </c>
      <c r="K210" t="b">
        <v>0</v>
      </c>
    </row>
    <row r="211" spans="1:14" x14ac:dyDescent="0.45">
      <c r="A211" t="s">
        <v>1129</v>
      </c>
      <c r="B211" t="s">
        <v>8</v>
      </c>
      <c r="C211" t="s">
        <v>308</v>
      </c>
      <c r="E211" t="s">
        <v>407</v>
      </c>
      <c r="F211" s="1" t="s">
        <v>380</v>
      </c>
      <c r="G211" s="1"/>
      <c r="H211" t="s">
        <v>241</v>
      </c>
      <c r="I211" t="s">
        <v>407</v>
      </c>
      <c r="J211" t="s">
        <v>14</v>
      </c>
      <c r="K211" t="b">
        <v>0</v>
      </c>
      <c r="M211">
        <v>190.54607179632399</v>
      </c>
      <c r="N211">
        <v>7.0287954625389101E-2</v>
      </c>
    </row>
    <row r="212" spans="1:14" x14ac:dyDescent="0.45">
      <c r="A212" t="s">
        <v>37</v>
      </c>
      <c r="B212" t="s">
        <v>8</v>
      </c>
      <c r="C212" t="s">
        <v>38</v>
      </c>
      <c r="E212" t="s">
        <v>8</v>
      </c>
      <c r="F212" s="1" t="s">
        <v>208</v>
      </c>
      <c r="G212" s="1"/>
      <c r="H212" t="s">
        <v>241</v>
      </c>
      <c r="I212" t="s">
        <v>8</v>
      </c>
      <c r="J212" t="s">
        <v>11</v>
      </c>
      <c r="K212" t="b">
        <v>0</v>
      </c>
      <c r="M212">
        <v>1278.3997194630199</v>
      </c>
      <c r="N212">
        <v>0.47157152402897501</v>
      </c>
    </row>
    <row r="213" spans="1:14" x14ac:dyDescent="0.45">
      <c r="A213" t="s">
        <v>1093</v>
      </c>
      <c r="B213" t="s">
        <v>8</v>
      </c>
      <c r="C213" t="s">
        <v>1092</v>
      </c>
      <c r="E213" t="s">
        <v>8</v>
      </c>
      <c r="F213" s="1" t="s">
        <v>1094</v>
      </c>
      <c r="G213" s="1"/>
      <c r="H213" t="s">
        <v>241</v>
      </c>
      <c r="I213" t="s">
        <v>8</v>
      </c>
      <c r="J213" t="s">
        <v>335</v>
      </c>
      <c r="K213" t="b">
        <v>0</v>
      </c>
    </row>
    <row r="214" spans="1:14" x14ac:dyDescent="0.45">
      <c r="A214" t="s">
        <v>1095</v>
      </c>
      <c r="B214" t="s">
        <v>8</v>
      </c>
      <c r="C214" t="s">
        <v>1096</v>
      </c>
      <c r="E214" t="s">
        <v>8</v>
      </c>
      <c r="F214" s="1" t="s">
        <v>1097</v>
      </c>
      <c r="G214" s="1"/>
      <c r="H214" t="s">
        <v>240</v>
      </c>
      <c r="I214" t="s">
        <v>8</v>
      </c>
      <c r="J214" t="s">
        <v>165</v>
      </c>
      <c r="K214" t="b">
        <v>0</v>
      </c>
    </row>
    <row r="215" spans="1:14" x14ac:dyDescent="0.45">
      <c r="A215" t="s">
        <v>785</v>
      </c>
      <c r="B215" t="s">
        <v>8</v>
      </c>
      <c r="C215" t="s">
        <v>256</v>
      </c>
      <c r="E215" t="s">
        <v>8</v>
      </c>
      <c r="F215" t="s">
        <v>385</v>
      </c>
      <c r="H215" t="s">
        <v>240</v>
      </c>
      <c r="I215" t="s">
        <v>8</v>
      </c>
      <c r="J215" t="s">
        <v>11</v>
      </c>
      <c r="K215" t="b">
        <v>0</v>
      </c>
      <c r="M215">
        <v>611.88057575182097</v>
      </c>
      <c r="N215">
        <v>0.22570832208271499</v>
      </c>
    </row>
    <row r="216" spans="1:14" x14ac:dyDescent="0.45">
      <c r="A216" t="s">
        <v>1086</v>
      </c>
      <c r="B216" t="s">
        <v>8</v>
      </c>
      <c r="C216" t="s">
        <v>1088</v>
      </c>
      <c r="E216" t="s">
        <v>8</v>
      </c>
      <c r="F216" s="1" t="s">
        <v>358</v>
      </c>
      <c r="H216" t="s">
        <v>240</v>
      </c>
      <c r="I216" t="s">
        <v>8</v>
      </c>
      <c r="J216" t="s">
        <v>165</v>
      </c>
      <c r="K216" t="b">
        <v>0</v>
      </c>
      <c r="L216" t="s">
        <v>1090</v>
      </c>
    </row>
    <row r="217" spans="1:14" x14ac:dyDescent="0.45">
      <c r="A217" t="s">
        <v>1087</v>
      </c>
      <c r="B217" t="s">
        <v>8</v>
      </c>
      <c r="C217" t="s">
        <v>1088</v>
      </c>
      <c r="E217" t="s">
        <v>8</v>
      </c>
      <c r="F217" s="1" t="s">
        <v>1089</v>
      </c>
      <c r="H217" t="s">
        <v>241</v>
      </c>
      <c r="I217" t="s">
        <v>8</v>
      </c>
      <c r="J217" t="s">
        <v>165</v>
      </c>
      <c r="K217" t="b">
        <v>0</v>
      </c>
      <c r="L217" t="s">
        <v>1091</v>
      </c>
    </row>
    <row r="218" spans="1:14" x14ac:dyDescent="0.45">
      <c r="A218" t="s">
        <v>719</v>
      </c>
      <c r="B218" t="s">
        <v>8</v>
      </c>
      <c r="C218" t="s">
        <v>716</v>
      </c>
      <c r="E218" t="s">
        <v>8</v>
      </c>
      <c r="F218" t="s">
        <v>717</v>
      </c>
      <c r="G218" t="s">
        <v>718</v>
      </c>
      <c r="H218" t="s">
        <v>240</v>
      </c>
      <c r="I218" t="s">
        <v>8</v>
      </c>
      <c r="J218" t="s">
        <v>620</v>
      </c>
      <c r="K218" t="b">
        <v>0</v>
      </c>
      <c r="M218">
        <v>70.253289897305194</v>
      </c>
      <c r="N218">
        <v>2.5914782740125399E-2</v>
      </c>
    </row>
    <row r="219" spans="1:14" x14ac:dyDescent="0.45">
      <c r="A219" t="s">
        <v>270</v>
      </c>
      <c r="B219" t="s">
        <v>8</v>
      </c>
      <c r="C219" t="s">
        <v>418</v>
      </c>
      <c r="E219" t="s">
        <v>8</v>
      </c>
      <c r="F219" s="1" t="s">
        <v>423</v>
      </c>
      <c r="G219" s="1"/>
      <c r="H219" t="s">
        <v>241</v>
      </c>
      <c r="I219" t="s">
        <v>8</v>
      </c>
      <c r="J219" t="s">
        <v>334</v>
      </c>
      <c r="K219" t="b">
        <v>0</v>
      </c>
      <c r="M219">
        <v>681.29206905796104</v>
      </c>
      <c r="N219">
        <v>0.25131258590189998</v>
      </c>
    </row>
    <row r="220" spans="1:14" x14ac:dyDescent="0.45">
      <c r="A220" t="s">
        <v>1130</v>
      </c>
      <c r="B220" t="s">
        <v>8</v>
      </c>
      <c r="C220" t="s">
        <v>1131</v>
      </c>
      <c r="E220" t="s">
        <v>8</v>
      </c>
      <c r="F220" s="1" t="s">
        <v>1132</v>
      </c>
      <c r="G220" s="1"/>
      <c r="H220" t="s">
        <v>240</v>
      </c>
      <c r="I220" t="s">
        <v>8</v>
      </c>
      <c r="J220" t="s">
        <v>335</v>
      </c>
      <c r="K220" t="b">
        <v>0</v>
      </c>
    </row>
    <row r="221" spans="1:14" x14ac:dyDescent="0.45">
      <c r="A221" t="s">
        <v>1134</v>
      </c>
      <c r="B221" t="s">
        <v>8</v>
      </c>
      <c r="C221" t="s">
        <v>1133</v>
      </c>
      <c r="E221" t="s">
        <v>8</v>
      </c>
      <c r="F221" s="1" t="s">
        <v>1133</v>
      </c>
      <c r="G221" s="1"/>
      <c r="H221" t="s">
        <v>241</v>
      </c>
      <c r="I221" t="s">
        <v>8</v>
      </c>
      <c r="J221" t="s">
        <v>332</v>
      </c>
      <c r="K221" t="b">
        <v>0</v>
      </c>
    </row>
    <row r="222" spans="1:14" x14ac:dyDescent="0.45">
      <c r="A222" t="s">
        <v>301</v>
      </c>
      <c r="B222" t="s">
        <v>8</v>
      </c>
      <c r="C222" t="s">
        <v>342</v>
      </c>
      <c r="E222" t="s">
        <v>8</v>
      </c>
      <c r="F222" s="1" t="s">
        <v>350</v>
      </c>
      <c r="G222" s="1"/>
      <c r="H222" t="s">
        <v>241</v>
      </c>
      <c r="I222" t="s">
        <v>8</v>
      </c>
      <c r="J222" t="s">
        <v>165</v>
      </c>
      <c r="K222" t="b">
        <v>0</v>
      </c>
      <c r="M222">
        <v>95.499258602143598</v>
      </c>
      <c r="N222">
        <v>3.5227425536018001E-2</v>
      </c>
    </row>
    <row r="223" spans="1:14" x14ac:dyDescent="0.45">
      <c r="A223" t="s">
        <v>1135</v>
      </c>
      <c r="B223" t="s">
        <v>16</v>
      </c>
      <c r="C223" t="s">
        <v>1136</v>
      </c>
      <c r="E223" t="s">
        <v>8</v>
      </c>
      <c r="F223" s="1" t="s">
        <v>477</v>
      </c>
      <c r="G223" s="1"/>
      <c r="H223" t="s">
        <v>240</v>
      </c>
      <c r="I223" t="s">
        <v>8</v>
      </c>
      <c r="J223" t="s">
        <v>448</v>
      </c>
      <c r="K223" t="b">
        <v>0</v>
      </c>
    </row>
    <row r="224" spans="1:14" x14ac:dyDescent="0.45">
      <c r="A224" t="s">
        <v>1098</v>
      </c>
      <c r="B224" t="s">
        <v>8</v>
      </c>
      <c r="C224" t="s">
        <v>1099</v>
      </c>
      <c r="E224" t="s">
        <v>8</v>
      </c>
      <c r="F224" s="1" t="s">
        <v>1100</v>
      </c>
      <c r="G224" s="1"/>
      <c r="H224" t="s">
        <v>240</v>
      </c>
      <c r="I224" t="s">
        <v>8</v>
      </c>
      <c r="J224" t="s">
        <v>334</v>
      </c>
      <c r="K224" t="b">
        <v>0</v>
      </c>
      <c r="L224" t="s">
        <v>1101</v>
      </c>
    </row>
    <row r="225" spans="1:14" x14ac:dyDescent="0.45">
      <c r="A225" s="6" t="s">
        <v>874</v>
      </c>
      <c r="B225" t="s">
        <v>8</v>
      </c>
      <c r="C225" t="s">
        <v>876</v>
      </c>
      <c r="E225" t="s">
        <v>8</v>
      </c>
      <c r="F225" s="1" t="s">
        <v>878</v>
      </c>
      <c r="G225" s="1"/>
      <c r="H225" t="s">
        <v>241</v>
      </c>
      <c r="I225" t="s">
        <v>8</v>
      </c>
      <c r="J225" t="s">
        <v>19</v>
      </c>
      <c r="K225" t="b">
        <v>0</v>
      </c>
      <c r="L225" t="s">
        <v>879</v>
      </c>
    </row>
    <row r="226" spans="1:14" x14ac:dyDescent="0.45">
      <c r="A226" t="s">
        <v>723</v>
      </c>
      <c r="B226" t="s">
        <v>8</v>
      </c>
      <c r="C226" t="s">
        <v>720</v>
      </c>
      <c r="E226" t="s">
        <v>8</v>
      </c>
      <c r="F226" t="s">
        <v>721</v>
      </c>
      <c r="G226" t="s">
        <v>722</v>
      </c>
      <c r="H226" t="s">
        <v>240</v>
      </c>
      <c r="I226" t="s">
        <v>8</v>
      </c>
      <c r="J226" t="s">
        <v>620</v>
      </c>
      <c r="K226" t="b">
        <v>0</v>
      </c>
      <c r="M226">
        <v>443.26829234600899</v>
      </c>
      <c r="N226">
        <v>0.163511225004907</v>
      </c>
    </row>
    <row r="227" spans="1:14" x14ac:dyDescent="0.45">
      <c r="A227" t="s">
        <v>603</v>
      </c>
      <c r="B227" t="s">
        <v>8</v>
      </c>
      <c r="C227" t="s">
        <v>604</v>
      </c>
      <c r="E227" t="s">
        <v>8</v>
      </c>
      <c r="F227" t="s">
        <v>605</v>
      </c>
      <c r="G227" t="s">
        <v>605</v>
      </c>
      <c r="H227" t="s">
        <v>241</v>
      </c>
      <c r="I227" t="s">
        <v>8</v>
      </c>
      <c r="J227" t="s">
        <v>620</v>
      </c>
      <c r="K227" t="b">
        <v>0</v>
      </c>
      <c r="M227">
        <v>151.35612484361999</v>
      </c>
      <c r="N227">
        <v>5.58317069199658E-2</v>
      </c>
    </row>
    <row r="228" spans="1:14" x14ac:dyDescent="0.45">
      <c r="A228" t="s">
        <v>490</v>
      </c>
      <c r="B228" t="s">
        <v>16</v>
      </c>
      <c r="C228" t="s">
        <v>487</v>
      </c>
      <c r="E228" t="s">
        <v>16</v>
      </c>
      <c r="F228" t="s">
        <v>488</v>
      </c>
      <c r="H228" t="s">
        <v>240</v>
      </c>
      <c r="I228" t="s">
        <v>16</v>
      </c>
      <c r="J228" t="s">
        <v>446</v>
      </c>
      <c r="K228" t="b">
        <v>0</v>
      </c>
      <c r="L228" t="s">
        <v>489</v>
      </c>
      <c r="M228">
        <v>89.811786096069397</v>
      </c>
      <c r="N228">
        <v>3.3129450984921503E-2</v>
      </c>
    </row>
    <row r="229" spans="1:14" x14ac:dyDescent="0.45">
      <c r="A229" t="s">
        <v>826</v>
      </c>
      <c r="B229" t="s">
        <v>8</v>
      </c>
      <c r="C229" t="s">
        <v>1137</v>
      </c>
      <c r="E229" t="s">
        <v>16</v>
      </c>
      <c r="F229" s="1" t="s">
        <v>828</v>
      </c>
      <c r="G229" s="1"/>
      <c r="H229" t="s">
        <v>240</v>
      </c>
      <c r="I229" t="s">
        <v>8</v>
      </c>
      <c r="J229" t="s">
        <v>15</v>
      </c>
      <c r="K229" t="b">
        <v>0</v>
      </c>
      <c r="L229" t="s">
        <v>827</v>
      </c>
    </row>
    <row r="230" spans="1:14" x14ac:dyDescent="0.45">
      <c r="A230" t="s">
        <v>327</v>
      </c>
      <c r="B230" t="s">
        <v>8</v>
      </c>
      <c r="C230" t="s">
        <v>345</v>
      </c>
      <c r="E230" t="s">
        <v>8</v>
      </c>
      <c r="F230" s="1" t="s">
        <v>345</v>
      </c>
      <c r="G230" s="1"/>
      <c r="H230" t="s">
        <v>240</v>
      </c>
      <c r="I230" t="s">
        <v>8</v>
      </c>
      <c r="J230" t="s">
        <v>426</v>
      </c>
      <c r="K230" t="b">
        <v>0</v>
      </c>
      <c r="M230">
        <v>255.07427837113499</v>
      </c>
      <c r="N230">
        <v>9.4090889070745504E-2</v>
      </c>
    </row>
    <row r="231" spans="1:14" x14ac:dyDescent="0.45">
      <c r="A231" t="s">
        <v>543</v>
      </c>
      <c r="B231" t="s">
        <v>16</v>
      </c>
      <c r="C231" t="s">
        <v>542</v>
      </c>
      <c r="E231" t="s">
        <v>16</v>
      </c>
      <c r="F231" t="s">
        <v>544</v>
      </c>
      <c r="H231" t="s">
        <v>240</v>
      </c>
      <c r="I231" t="s">
        <v>16</v>
      </c>
      <c r="J231" t="s">
        <v>333</v>
      </c>
      <c r="K231" t="b">
        <v>0</v>
      </c>
      <c r="M231">
        <v>392.042665527015</v>
      </c>
      <c r="N231">
        <v>0.14461529868342801</v>
      </c>
    </row>
    <row r="232" spans="1:14" x14ac:dyDescent="0.45">
      <c r="A232" t="s">
        <v>73</v>
      </c>
      <c r="B232" t="s">
        <v>8</v>
      </c>
      <c r="C232" t="s">
        <v>69</v>
      </c>
      <c r="E232" t="s">
        <v>8</v>
      </c>
      <c r="F232" s="1" t="s">
        <v>231</v>
      </c>
      <c r="G232" s="1"/>
      <c r="H232" t="s">
        <v>241</v>
      </c>
      <c r="I232" t="s">
        <v>8</v>
      </c>
      <c r="J232" t="s">
        <v>7</v>
      </c>
      <c r="K232" t="b">
        <v>0</v>
      </c>
      <c r="M232">
        <v>4298.6623470822697</v>
      </c>
      <c r="N232">
        <v>1.58567521835113</v>
      </c>
    </row>
    <row r="233" spans="1:14" x14ac:dyDescent="0.45">
      <c r="A233" t="s">
        <v>1139</v>
      </c>
      <c r="B233" t="s">
        <v>8</v>
      </c>
      <c r="C233" t="s">
        <v>1138</v>
      </c>
      <c r="E233" t="s">
        <v>8</v>
      </c>
      <c r="F233" s="1" t="s">
        <v>1140</v>
      </c>
      <c r="G233" s="1"/>
      <c r="H233" t="s">
        <v>241</v>
      </c>
      <c r="I233" t="s">
        <v>8</v>
      </c>
      <c r="J233" t="s">
        <v>464</v>
      </c>
      <c r="K233" t="b">
        <v>0</v>
      </c>
    </row>
    <row r="234" spans="1:14" x14ac:dyDescent="0.45">
      <c r="A234" t="s">
        <v>49</v>
      </c>
      <c r="B234" t="s">
        <v>8</v>
      </c>
      <c r="C234" t="s">
        <v>50</v>
      </c>
      <c r="E234" t="s">
        <v>8</v>
      </c>
      <c r="F234" s="1" t="s">
        <v>187</v>
      </c>
      <c r="G234" s="1"/>
      <c r="H234" t="s">
        <v>240</v>
      </c>
      <c r="I234" t="s">
        <v>8</v>
      </c>
      <c r="J234" t="s">
        <v>165</v>
      </c>
      <c r="K234" t="b">
        <v>0</v>
      </c>
      <c r="M234">
        <v>747.02189892733099</v>
      </c>
      <c r="N234">
        <v>0.27555877085779401</v>
      </c>
    </row>
    <row r="235" spans="1:14" x14ac:dyDescent="0.45">
      <c r="A235" s="6" t="s">
        <v>950</v>
      </c>
      <c r="B235" t="s">
        <v>8</v>
      </c>
      <c r="C235" t="s">
        <v>951</v>
      </c>
      <c r="E235" t="s">
        <v>8</v>
      </c>
      <c r="F235" s="1" t="s">
        <v>952</v>
      </c>
      <c r="G235" s="1"/>
      <c r="H235" t="s">
        <v>240</v>
      </c>
      <c r="I235" t="s">
        <v>8</v>
      </c>
      <c r="J235" t="s">
        <v>11</v>
      </c>
      <c r="K235" t="b">
        <v>0</v>
      </c>
    </row>
    <row r="236" spans="1:14" x14ac:dyDescent="0.45">
      <c r="A236" s="7" t="s">
        <v>1141</v>
      </c>
      <c r="B236" t="s">
        <v>8</v>
      </c>
      <c r="C236" t="s">
        <v>822</v>
      </c>
      <c r="E236" t="s">
        <v>8</v>
      </c>
      <c r="F236" s="1" t="s">
        <v>823</v>
      </c>
      <c r="G236" s="1"/>
      <c r="H236" t="s">
        <v>240</v>
      </c>
      <c r="I236" t="s">
        <v>8</v>
      </c>
      <c r="J236" t="s">
        <v>333</v>
      </c>
      <c r="K236" t="b">
        <v>0</v>
      </c>
      <c r="L236" t="s">
        <v>824</v>
      </c>
    </row>
    <row r="237" spans="1:14" x14ac:dyDescent="0.45">
      <c r="A237" t="s">
        <v>947</v>
      </c>
      <c r="B237" t="s">
        <v>8</v>
      </c>
      <c r="C237" t="s">
        <v>948</v>
      </c>
      <c r="E237" t="s">
        <v>8</v>
      </c>
      <c r="F237" t="s">
        <v>949</v>
      </c>
      <c r="H237" t="s">
        <v>241</v>
      </c>
      <c r="I237" t="s">
        <v>8</v>
      </c>
      <c r="J237" t="s">
        <v>334</v>
      </c>
      <c r="K237" t="b">
        <v>0</v>
      </c>
    </row>
    <row r="238" spans="1:14" x14ac:dyDescent="0.45">
      <c r="A238" t="s">
        <v>39</v>
      </c>
      <c r="B238" t="s">
        <v>8</v>
      </c>
      <c r="C238" t="s">
        <v>40</v>
      </c>
      <c r="E238" t="s">
        <v>8</v>
      </c>
      <c r="F238" s="1" t="s">
        <v>209</v>
      </c>
      <c r="G238" s="1"/>
      <c r="H238" t="s">
        <v>240</v>
      </c>
      <c r="I238" t="s">
        <v>8</v>
      </c>
      <c r="J238" t="s">
        <v>11</v>
      </c>
      <c r="K238" t="b">
        <v>0</v>
      </c>
      <c r="M238">
        <v>1220.86225405907</v>
      </c>
      <c r="N238">
        <v>0.45034730922650001</v>
      </c>
    </row>
    <row r="239" spans="1:14" x14ac:dyDescent="0.45">
      <c r="A239" t="s">
        <v>798</v>
      </c>
      <c r="B239" t="s">
        <v>8</v>
      </c>
      <c r="C239" t="s">
        <v>397</v>
      </c>
      <c r="E239" t="s">
        <v>8</v>
      </c>
      <c r="F239" t="s">
        <v>398</v>
      </c>
      <c r="H239" t="s">
        <v>240</v>
      </c>
      <c r="I239" t="s">
        <v>8</v>
      </c>
      <c r="J239" t="s">
        <v>7</v>
      </c>
      <c r="K239" t="b">
        <v>0</v>
      </c>
      <c r="M239">
        <v>541.16952654646298</v>
      </c>
      <c r="N239">
        <v>0.19962468272344999</v>
      </c>
    </row>
    <row r="240" spans="1:14" x14ac:dyDescent="0.45">
      <c r="A240" s="4" t="s">
        <v>905</v>
      </c>
      <c r="B240" t="s">
        <v>8</v>
      </c>
      <c r="C240" t="s">
        <v>908</v>
      </c>
      <c r="E240" t="s">
        <v>8</v>
      </c>
      <c r="F240" s="1" t="s">
        <v>909</v>
      </c>
      <c r="G240" s="1"/>
      <c r="H240" t="s">
        <v>240</v>
      </c>
      <c r="I240" t="s">
        <v>8</v>
      </c>
      <c r="J240" t="s">
        <v>11</v>
      </c>
      <c r="K240" t="b">
        <v>0</v>
      </c>
    </row>
    <row r="241" spans="1:14" x14ac:dyDescent="0.45">
      <c r="A241" t="s">
        <v>798</v>
      </c>
      <c r="B241" t="s">
        <v>8</v>
      </c>
      <c r="C241" t="s">
        <v>399</v>
      </c>
      <c r="E241" t="s">
        <v>8</v>
      </c>
      <c r="F241" t="s">
        <v>400</v>
      </c>
      <c r="H241" t="s">
        <v>241</v>
      </c>
      <c r="I241" t="s">
        <v>8</v>
      </c>
      <c r="J241" t="s">
        <v>7</v>
      </c>
      <c r="K241" t="b">
        <v>0</v>
      </c>
      <c r="M241">
        <v>541.16952654646298</v>
      </c>
      <c r="N241">
        <v>0.19962468272344999</v>
      </c>
    </row>
    <row r="242" spans="1:14" x14ac:dyDescent="0.45">
      <c r="A242" t="s">
        <v>42</v>
      </c>
      <c r="B242" t="s">
        <v>8</v>
      </c>
      <c r="C242" t="s">
        <v>41</v>
      </c>
      <c r="E242" t="s">
        <v>8</v>
      </c>
      <c r="F242" s="1" t="s">
        <v>210</v>
      </c>
      <c r="G242" s="1"/>
      <c r="H242" t="s">
        <v>241</v>
      </c>
      <c r="I242" t="s">
        <v>8</v>
      </c>
      <c r="J242" t="s">
        <v>11</v>
      </c>
      <c r="K242" t="b">
        <v>0</v>
      </c>
      <c r="M242">
        <v>1015.46899243307</v>
      </c>
      <c r="N242">
        <v>0.37458257622817398</v>
      </c>
    </row>
    <row r="243" spans="1:14" x14ac:dyDescent="0.45">
      <c r="A243" t="s">
        <v>1105</v>
      </c>
      <c r="B243" t="s">
        <v>8</v>
      </c>
      <c r="C243" t="s">
        <v>1102</v>
      </c>
      <c r="E243" t="s">
        <v>8</v>
      </c>
      <c r="F243" s="1" t="s">
        <v>1103</v>
      </c>
      <c r="G243" s="1" t="s">
        <v>1104</v>
      </c>
      <c r="H243" t="s">
        <v>240</v>
      </c>
      <c r="I243" t="s">
        <v>8</v>
      </c>
      <c r="J243" t="s">
        <v>620</v>
      </c>
      <c r="K243" t="b">
        <v>0</v>
      </c>
    </row>
    <row r="244" spans="1:14" x14ac:dyDescent="0.45">
      <c r="A244" t="s">
        <v>267</v>
      </c>
      <c r="B244" t="s">
        <v>8</v>
      </c>
      <c r="C244" t="s">
        <v>268</v>
      </c>
      <c r="E244" t="s">
        <v>8</v>
      </c>
      <c r="F244" t="s">
        <v>393</v>
      </c>
      <c r="H244" t="s">
        <v>240</v>
      </c>
      <c r="I244" t="s">
        <v>8</v>
      </c>
      <c r="J244" t="s">
        <v>333</v>
      </c>
      <c r="K244" t="b">
        <v>0</v>
      </c>
      <c r="M244">
        <v>611.88057575182097</v>
      </c>
      <c r="N244">
        <v>0.22570832208271499</v>
      </c>
    </row>
    <row r="245" spans="1:14" x14ac:dyDescent="0.45">
      <c r="A245" t="s">
        <v>792</v>
      </c>
      <c r="B245" t="s">
        <v>8</v>
      </c>
      <c r="C245" t="s">
        <v>305</v>
      </c>
      <c r="E245" t="s">
        <v>8</v>
      </c>
      <c r="F245" s="1" t="s">
        <v>425</v>
      </c>
      <c r="G245" s="1"/>
      <c r="H245" t="s">
        <v>241</v>
      </c>
      <c r="I245" t="s">
        <v>8</v>
      </c>
      <c r="J245" t="s">
        <v>334</v>
      </c>
      <c r="K245" t="b">
        <v>0</v>
      </c>
      <c r="M245">
        <v>6812.92069057961</v>
      </c>
      <c r="N245">
        <v>2.513125859019</v>
      </c>
    </row>
    <row r="246" spans="1:14" x14ac:dyDescent="0.45">
      <c r="A246" s="7" t="s">
        <v>1106</v>
      </c>
      <c r="B246" t="s">
        <v>8</v>
      </c>
      <c r="C246" t="s">
        <v>863</v>
      </c>
      <c r="E246" t="s">
        <v>8</v>
      </c>
      <c r="F246" s="1" t="s">
        <v>864</v>
      </c>
      <c r="G246" s="1"/>
      <c r="H246" t="s">
        <v>241</v>
      </c>
      <c r="I246" t="s">
        <v>8</v>
      </c>
      <c r="J246" t="s">
        <v>561</v>
      </c>
      <c r="K246" t="b">
        <v>1</v>
      </c>
    </row>
    <row r="247" spans="1:14" x14ac:dyDescent="0.45">
      <c r="A247" t="s">
        <v>103</v>
      </c>
      <c r="B247" t="s">
        <v>8</v>
      </c>
      <c r="C247" t="s">
        <v>99</v>
      </c>
      <c r="E247" t="s">
        <v>8</v>
      </c>
      <c r="F247" s="1" t="s">
        <v>219</v>
      </c>
      <c r="G247" s="1"/>
      <c r="H247" t="s">
        <v>241</v>
      </c>
      <c r="I247" t="s">
        <v>8</v>
      </c>
      <c r="J247" t="s">
        <v>335</v>
      </c>
      <c r="K247" t="b">
        <v>0</v>
      </c>
      <c r="M247">
        <v>1202.26443461741</v>
      </c>
      <c r="N247">
        <v>0.44348701199379897</v>
      </c>
    </row>
    <row r="248" spans="1:14" x14ac:dyDescent="0.45">
      <c r="A248" s="4" t="s">
        <v>923</v>
      </c>
      <c r="B248" t="s">
        <v>8</v>
      </c>
      <c r="C248" t="s">
        <v>163</v>
      </c>
      <c r="E248" t="s">
        <v>8</v>
      </c>
      <c r="F248" s="1" t="s">
        <v>188</v>
      </c>
      <c r="H248" t="s">
        <v>240</v>
      </c>
      <c r="I248" t="s">
        <v>8</v>
      </c>
      <c r="J248" t="s">
        <v>165</v>
      </c>
      <c r="K248" t="b">
        <v>0</v>
      </c>
    </row>
    <row r="249" spans="1:14" x14ac:dyDescent="0.45">
      <c r="A249" t="s">
        <v>322</v>
      </c>
      <c r="B249" t="s">
        <v>8</v>
      </c>
      <c r="C249" t="s">
        <v>163</v>
      </c>
      <c r="E249" t="s">
        <v>8</v>
      </c>
      <c r="F249" s="1" t="s">
        <v>188</v>
      </c>
      <c r="G249" s="1"/>
      <c r="H249" t="s">
        <v>240</v>
      </c>
      <c r="I249" t="s">
        <v>8</v>
      </c>
      <c r="J249" t="s">
        <v>165</v>
      </c>
      <c r="K249" t="b">
        <v>0</v>
      </c>
      <c r="M249">
        <v>380.189396320561</v>
      </c>
      <c r="N249">
        <v>0.140242907060281</v>
      </c>
    </row>
    <row r="250" spans="1:14" x14ac:dyDescent="0.45">
      <c r="A250" t="s">
        <v>122</v>
      </c>
      <c r="B250" t="s">
        <v>8</v>
      </c>
      <c r="C250" t="s">
        <v>112</v>
      </c>
      <c r="E250" t="s">
        <v>8</v>
      </c>
      <c r="F250" s="1" t="s">
        <v>189</v>
      </c>
      <c r="G250" s="1"/>
      <c r="H250" t="s">
        <v>240</v>
      </c>
      <c r="I250" t="s">
        <v>8</v>
      </c>
      <c r="J250" t="s">
        <v>167</v>
      </c>
      <c r="K250" t="b">
        <v>0</v>
      </c>
      <c r="M250">
        <v>205.74691560478399</v>
      </c>
      <c r="N250">
        <v>7.5895187615312304E-2</v>
      </c>
    </row>
    <row r="251" spans="1:14" x14ac:dyDescent="0.45">
      <c r="A251" t="s">
        <v>44</v>
      </c>
      <c r="B251" t="s">
        <v>8</v>
      </c>
      <c r="C251" t="s">
        <v>45</v>
      </c>
      <c r="E251" t="s">
        <v>8</v>
      </c>
      <c r="F251" s="1" t="s">
        <v>190</v>
      </c>
      <c r="G251" s="1"/>
      <c r="H251" t="s">
        <v>240</v>
      </c>
      <c r="I251" t="s">
        <v>8</v>
      </c>
      <c r="J251" t="s">
        <v>165</v>
      </c>
      <c r="K251" t="b">
        <v>0</v>
      </c>
      <c r="M251">
        <v>26.3026799189538</v>
      </c>
      <c r="N251">
        <v>9.7024386556008799E-3</v>
      </c>
    </row>
    <row r="252" spans="1:14" x14ac:dyDescent="0.45">
      <c r="A252" t="s">
        <v>505</v>
      </c>
      <c r="B252" t="s">
        <v>8</v>
      </c>
      <c r="C252" t="s">
        <v>506</v>
      </c>
      <c r="E252" t="s">
        <v>407</v>
      </c>
      <c r="F252" t="s">
        <v>507</v>
      </c>
      <c r="H252" t="s">
        <v>240</v>
      </c>
      <c r="I252" t="s">
        <v>407</v>
      </c>
      <c r="J252" t="s">
        <v>447</v>
      </c>
      <c r="K252" t="b">
        <v>0</v>
      </c>
      <c r="M252">
        <v>969.76535910824896</v>
      </c>
      <c r="N252">
        <v>0.35772358315071601</v>
      </c>
    </row>
    <row r="253" spans="1:14" x14ac:dyDescent="0.45">
      <c r="A253" t="s">
        <v>291</v>
      </c>
      <c r="B253" t="s">
        <v>8</v>
      </c>
      <c r="C253" t="s">
        <v>341</v>
      </c>
      <c r="E253" t="s">
        <v>8</v>
      </c>
      <c r="F253" t="s">
        <v>351</v>
      </c>
      <c r="H253" t="s">
        <v>240</v>
      </c>
      <c r="I253" t="s">
        <v>8</v>
      </c>
      <c r="J253" t="s">
        <v>165</v>
      </c>
      <c r="K253" t="b">
        <v>0</v>
      </c>
      <c r="M253">
        <v>171.132830416178</v>
      </c>
      <c r="N253">
        <v>6.3126867459456906E-2</v>
      </c>
    </row>
    <row r="254" spans="1:14" x14ac:dyDescent="0.45">
      <c r="A254" t="s">
        <v>771</v>
      </c>
      <c r="B254" t="s">
        <v>8</v>
      </c>
      <c r="C254" t="s">
        <v>254</v>
      </c>
      <c r="E254" t="s">
        <v>8</v>
      </c>
      <c r="F254" t="s">
        <v>352</v>
      </c>
      <c r="H254" t="s">
        <v>240</v>
      </c>
      <c r="I254" t="s">
        <v>8</v>
      </c>
      <c r="J254" t="s">
        <v>165</v>
      </c>
      <c r="K254" t="b">
        <v>0</v>
      </c>
      <c r="M254">
        <v>229.08676527677699</v>
      </c>
      <c r="N254">
        <v>8.4504708028107903E-2</v>
      </c>
    </row>
    <row r="255" spans="1:14" x14ac:dyDescent="0.45">
      <c r="A255" t="s">
        <v>301</v>
      </c>
      <c r="B255" t="s">
        <v>8</v>
      </c>
      <c r="C255" t="s">
        <v>254</v>
      </c>
      <c r="E255" t="s">
        <v>8</v>
      </c>
      <c r="F255" t="s">
        <v>352</v>
      </c>
      <c r="H255" t="s">
        <v>240</v>
      </c>
      <c r="I255" t="s">
        <v>8</v>
      </c>
      <c r="J255" t="s">
        <v>165</v>
      </c>
      <c r="K255" t="b">
        <v>0</v>
      </c>
      <c r="M255">
        <v>95.499258602143598</v>
      </c>
      <c r="N255">
        <v>3.5227425536018001E-2</v>
      </c>
    </row>
    <row r="256" spans="1:14" x14ac:dyDescent="0.45">
      <c r="A256" t="s">
        <v>772</v>
      </c>
      <c r="B256" t="s">
        <v>8</v>
      </c>
      <c r="C256" t="s">
        <v>459</v>
      </c>
      <c r="E256" t="s">
        <v>8</v>
      </c>
      <c r="F256" t="s">
        <v>460</v>
      </c>
      <c r="H256" t="s">
        <v>240</v>
      </c>
      <c r="I256" t="s">
        <v>8</v>
      </c>
      <c r="J256" t="s">
        <v>165</v>
      </c>
      <c r="K256" t="b">
        <v>0</v>
      </c>
      <c r="M256">
        <v>135.935639087852</v>
      </c>
      <c r="N256">
        <v>5.0143453192744103E-2</v>
      </c>
    </row>
    <row r="257" spans="1:14" x14ac:dyDescent="0.45">
      <c r="A257" t="s">
        <v>123</v>
      </c>
      <c r="B257" t="s">
        <v>8</v>
      </c>
      <c r="C257" t="s">
        <v>113</v>
      </c>
      <c r="E257" t="s">
        <v>8</v>
      </c>
      <c r="F257" s="1" t="s">
        <v>191</v>
      </c>
      <c r="G257" s="1"/>
      <c r="H257" t="s">
        <v>240</v>
      </c>
      <c r="I257" t="s">
        <v>8</v>
      </c>
      <c r="J257" t="s">
        <v>167</v>
      </c>
      <c r="K257" t="b">
        <v>0</v>
      </c>
      <c r="M257">
        <v>575.43993733715604</v>
      </c>
      <c r="N257">
        <v>0.21226622949448201</v>
      </c>
    </row>
    <row r="258" spans="1:14" x14ac:dyDescent="0.45">
      <c r="A258" t="s">
        <v>1109</v>
      </c>
      <c r="B258" t="s">
        <v>8</v>
      </c>
      <c r="C258" t="s">
        <v>1107</v>
      </c>
      <c r="E258" t="s">
        <v>8</v>
      </c>
      <c r="F258" s="1" t="s">
        <v>1108</v>
      </c>
      <c r="G258" s="1"/>
      <c r="H258" t="s">
        <v>241</v>
      </c>
      <c r="I258" t="s">
        <v>8</v>
      </c>
      <c r="J258" t="s">
        <v>165</v>
      </c>
      <c r="K258" t="b">
        <v>0</v>
      </c>
    </row>
    <row r="259" spans="1:14" x14ac:dyDescent="0.45">
      <c r="A259" t="s">
        <v>739</v>
      </c>
      <c r="B259" t="s">
        <v>8</v>
      </c>
      <c r="C259" t="s">
        <v>737</v>
      </c>
      <c r="E259" t="s">
        <v>8</v>
      </c>
      <c r="F259" s="1" t="s">
        <v>738</v>
      </c>
      <c r="G259" s="1"/>
      <c r="H259" t="s">
        <v>240</v>
      </c>
      <c r="I259" t="s">
        <v>8</v>
      </c>
      <c r="J259" t="s">
        <v>167</v>
      </c>
      <c r="K259" t="b">
        <v>0</v>
      </c>
      <c r="M259">
        <v>75.857757502918304</v>
      </c>
      <c r="N259">
        <v>2.7982138739906199E-2</v>
      </c>
    </row>
    <row r="260" spans="1:14" x14ac:dyDescent="0.45">
      <c r="A260" t="s">
        <v>599</v>
      </c>
      <c r="B260" t="s">
        <v>8</v>
      </c>
      <c r="C260" t="s">
        <v>600</v>
      </c>
      <c r="E260" t="s">
        <v>8</v>
      </c>
      <c r="F260" t="s">
        <v>602</v>
      </c>
      <c r="H260" t="s">
        <v>240</v>
      </c>
      <c r="I260" t="s">
        <v>8</v>
      </c>
      <c r="J260" t="s">
        <v>620</v>
      </c>
      <c r="K260" t="b">
        <v>0</v>
      </c>
      <c r="L260" t="s">
        <v>601</v>
      </c>
      <c r="M260">
        <v>1031.17727459305</v>
      </c>
      <c r="N260">
        <v>0.38037699126541102</v>
      </c>
    </row>
    <row r="261" spans="1:14" x14ac:dyDescent="0.45">
      <c r="A261" t="s">
        <v>558</v>
      </c>
      <c r="B261" t="s">
        <v>8</v>
      </c>
      <c r="C261" t="s">
        <v>825</v>
      </c>
      <c r="E261" t="s">
        <v>8</v>
      </c>
      <c r="F261" t="s">
        <v>560</v>
      </c>
      <c r="H261" t="s">
        <v>240</v>
      </c>
      <c r="I261" t="s">
        <v>8</v>
      </c>
      <c r="J261" t="s">
        <v>333</v>
      </c>
      <c r="K261" t="b">
        <v>0</v>
      </c>
      <c r="L261" t="s">
        <v>559</v>
      </c>
      <c r="M261">
        <v>1711.3283041617699</v>
      </c>
      <c r="N261">
        <v>0.63126867459456804</v>
      </c>
    </row>
    <row r="262" spans="1:14" x14ac:dyDescent="0.45">
      <c r="A262" t="s">
        <v>104</v>
      </c>
      <c r="B262" t="s">
        <v>8</v>
      </c>
      <c r="C262" t="s">
        <v>100</v>
      </c>
      <c r="E262" t="s">
        <v>8</v>
      </c>
      <c r="F262" s="1" t="s">
        <v>220</v>
      </c>
      <c r="G262" s="1"/>
      <c r="H262" t="s">
        <v>241</v>
      </c>
      <c r="I262" t="s">
        <v>8</v>
      </c>
      <c r="J262" t="s">
        <v>335</v>
      </c>
      <c r="K262" t="b">
        <v>0</v>
      </c>
      <c r="M262">
        <v>368.69450645195701</v>
      </c>
      <c r="N262">
        <v>0.13600271312769799</v>
      </c>
    </row>
    <row r="263" spans="1:14" x14ac:dyDescent="0.45">
      <c r="A263" t="s">
        <v>1142</v>
      </c>
      <c r="B263" t="s">
        <v>8</v>
      </c>
      <c r="C263" t="s">
        <v>1143</v>
      </c>
      <c r="E263" t="s">
        <v>8</v>
      </c>
      <c r="F263" s="1" t="s">
        <v>213</v>
      </c>
      <c r="G263" s="1"/>
      <c r="H263" t="s">
        <v>240</v>
      </c>
      <c r="I263" t="s">
        <v>8</v>
      </c>
      <c r="J263" t="s">
        <v>335</v>
      </c>
      <c r="K263" t="b">
        <v>0</v>
      </c>
    </row>
    <row r="264" spans="1:14" x14ac:dyDescent="0.45">
      <c r="A264" t="s">
        <v>751</v>
      </c>
      <c r="B264" t="s">
        <v>8</v>
      </c>
      <c r="C264" t="s">
        <v>724</v>
      </c>
      <c r="E264" t="s">
        <v>8</v>
      </c>
      <c r="F264" t="s">
        <v>725</v>
      </c>
      <c r="H264" t="s">
        <v>240</v>
      </c>
      <c r="I264" t="s">
        <v>8</v>
      </c>
      <c r="J264" t="s">
        <v>620</v>
      </c>
      <c r="K264" t="b">
        <v>0</v>
      </c>
      <c r="M264">
        <v>3575.47160450621</v>
      </c>
      <c r="N264">
        <v>1.3189071993597901</v>
      </c>
    </row>
    <row r="265" spans="1:14" x14ac:dyDescent="0.45">
      <c r="A265" t="s">
        <v>773</v>
      </c>
      <c r="B265" t="s">
        <v>8</v>
      </c>
      <c r="C265" t="s">
        <v>273</v>
      </c>
      <c r="E265" t="s">
        <v>8</v>
      </c>
      <c r="F265" t="s">
        <v>353</v>
      </c>
      <c r="H265" t="s">
        <v>240</v>
      </c>
      <c r="I265" t="s">
        <v>8</v>
      </c>
      <c r="J265" t="s">
        <v>165</v>
      </c>
      <c r="K265" t="b">
        <v>0</v>
      </c>
      <c r="M265">
        <v>199.52623149688799</v>
      </c>
      <c r="N265">
        <v>7.3600523872351303E-2</v>
      </c>
    </row>
    <row r="266" spans="1:14" x14ac:dyDescent="0.45">
      <c r="A266" t="s">
        <v>742</v>
      </c>
      <c r="B266" t="s">
        <v>16</v>
      </c>
      <c r="C266" t="s">
        <v>741</v>
      </c>
      <c r="E266" t="s">
        <v>16</v>
      </c>
      <c r="F266" s="1" t="s">
        <v>740</v>
      </c>
      <c r="G266" s="1"/>
      <c r="H266" t="s">
        <v>240</v>
      </c>
      <c r="I266" t="s">
        <v>16</v>
      </c>
      <c r="J266" t="s">
        <v>14</v>
      </c>
      <c r="K266" t="b">
        <v>0</v>
      </c>
      <c r="M266">
        <v>1659.5869074375601</v>
      </c>
      <c r="N266">
        <v>0.61218249291199101</v>
      </c>
    </row>
    <row r="267" spans="1:14" x14ac:dyDescent="0.45">
      <c r="A267" t="s">
        <v>106</v>
      </c>
      <c r="B267" t="s">
        <v>8</v>
      </c>
      <c r="C267" t="s">
        <v>105</v>
      </c>
      <c r="E267" t="s">
        <v>8</v>
      </c>
      <c r="F267" s="1" t="s">
        <v>221</v>
      </c>
      <c r="G267" s="1"/>
      <c r="H267" t="s">
        <v>241</v>
      </c>
      <c r="I267" t="s">
        <v>8</v>
      </c>
      <c r="J267" t="s">
        <v>14</v>
      </c>
      <c r="K267" t="b">
        <v>0</v>
      </c>
      <c r="M267">
        <v>1609.40989326253</v>
      </c>
      <c r="N267">
        <v>0.59367337507857998</v>
      </c>
    </row>
    <row r="268" spans="1:14" x14ac:dyDescent="0.45">
      <c r="A268" t="s">
        <v>744</v>
      </c>
      <c r="B268" t="s">
        <v>16</v>
      </c>
      <c r="C268" t="s">
        <v>745</v>
      </c>
      <c r="E268" t="s">
        <v>16</v>
      </c>
      <c r="F268" s="1" t="s">
        <v>746</v>
      </c>
      <c r="G268" s="1"/>
      <c r="H268" t="s">
        <v>240</v>
      </c>
      <c r="I268" t="s">
        <v>16</v>
      </c>
      <c r="J268" t="s">
        <v>14</v>
      </c>
      <c r="K268" t="b">
        <v>0</v>
      </c>
      <c r="M268">
        <v>831.76377110267003</v>
      </c>
      <c r="N268">
        <v>0.30681805009760699</v>
      </c>
    </row>
    <row r="269" spans="1:14" x14ac:dyDescent="0.45">
      <c r="A269" t="s">
        <v>774</v>
      </c>
      <c r="B269" t="s">
        <v>8</v>
      </c>
      <c r="C269" t="s">
        <v>372</v>
      </c>
      <c r="E269" t="s">
        <v>8</v>
      </c>
      <c r="F269" t="s">
        <v>372</v>
      </c>
      <c r="H269" t="s">
        <v>240</v>
      </c>
      <c r="I269" t="s">
        <v>8</v>
      </c>
      <c r="J269" t="s">
        <v>165</v>
      </c>
      <c r="K269" t="b">
        <v>0</v>
      </c>
      <c r="L269" t="s">
        <v>292</v>
      </c>
      <c r="M269">
        <v>1220.86225405907</v>
      </c>
      <c r="N269">
        <v>0.45034730922650001</v>
      </c>
    </row>
    <row r="270" spans="1:14" x14ac:dyDescent="0.45">
      <c r="A270" t="s">
        <v>161</v>
      </c>
      <c r="B270" t="s">
        <v>8</v>
      </c>
      <c r="C270" t="s">
        <v>162</v>
      </c>
      <c r="E270" t="s">
        <v>8</v>
      </c>
      <c r="F270" s="1" t="s">
        <v>192</v>
      </c>
      <c r="G270" s="1"/>
      <c r="H270" t="s">
        <v>240</v>
      </c>
      <c r="I270" t="s">
        <v>8</v>
      </c>
      <c r="J270" t="s">
        <v>165</v>
      </c>
      <c r="K270" t="b">
        <v>0</v>
      </c>
      <c r="M270">
        <v>501.18723362727098</v>
      </c>
      <c r="N270">
        <v>0.184876157266956</v>
      </c>
    </row>
    <row r="271" spans="1:14" x14ac:dyDescent="0.45">
      <c r="A271" t="s">
        <v>314</v>
      </c>
      <c r="B271" t="s">
        <v>8</v>
      </c>
      <c r="C271" t="s">
        <v>315</v>
      </c>
      <c r="E271" t="s">
        <v>8</v>
      </c>
      <c r="F271" t="s">
        <v>364</v>
      </c>
      <c r="H271" t="s">
        <v>240</v>
      </c>
      <c r="I271" t="s">
        <v>8</v>
      </c>
      <c r="J271" t="s">
        <v>165</v>
      </c>
      <c r="K271" t="b">
        <v>0</v>
      </c>
      <c r="M271">
        <v>151.35612484361999</v>
      </c>
      <c r="N271">
        <v>5.58317069199658E-2</v>
      </c>
    </row>
    <row r="272" spans="1:14" x14ac:dyDescent="0.45">
      <c r="A272" t="s">
        <v>810</v>
      </c>
      <c r="B272" t="s">
        <v>8</v>
      </c>
      <c r="C272" t="s">
        <v>471</v>
      </c>
      <c r="E272" t="s">
        <v>8</v>
      </c>
      <c r="F272" t="s">
        <v>474</v>
      </c>
      <c r="H272" t="s">
        <v>240</v>
      </c>
      <c r="I272" t="s">
        <v>8</v>
      </c>
      <c r="J272" t="s">
        <v>450</v>
      </c>
      <c r="K272" t="b">
        <v>0</v>
      </c>
      <c r="L272" t="s">
        <v>473</v>
      </c>
      <c r="M272">
        <v>575.43993733715604</v>
      </c>
      <c r="N272">
        <v>0.21226622949448201</v>
      </c>
    </row>
    <row r="273" spans="1:14" x14ac:dyDescent="0.45">
      <c r="A273" t="s">
        <v>312</v>
      </c>
      <c r="B273" t="s">
        <v>16</v>
      </c>
      <c r="C273" t="s">
        <v>313</v>
      </c>
      <c r="E273" t="s">
        <v>16</v>
      </c>
      <c r="F273" s="1" t="s">
        <v>415</v>
      </c>
      <c r="G273" s="1"/>
      <c r="H273" t="s">
        <v>241</v>
      </c>
      <c r="I273" t="s">
        <v>16</v>
      </c>
      <c r="J273" t="s">
        <v>331</v>
      </c>
      <c r="K273" t="b">
        <v>0</v>
      </c>
      <c r="M273">
        <v>549.54087385762398</v>
      </c>
      <c r="N273">
        <v>0.202712675429956</v>
      </c>
    </row>
    <row r="274" spans="1:14" x14ac:dyDescent="0.45">
      <c r="A274" t="s">
        <v>312</v>
      </c>
      <c r="B274" t="s">
        <v>16</v>
      </c>
      <c r="C274" t="s">
        <v>313</v>
      </c>
      <c r="E274" t="s">
        <v>16</v>
      </c>
      <c r="F274" s="1" t="s">
        <v>379</v>
      </c>
      <c r="G274" s="1"/>
      <c r="H274" t="s">
        <v>241</v>
      </c>
      <c r="I274" t="s">
        <v>16</v>
      </c>
      <c r="J274" t="s">
        <v>331</v>
      </c>
      <c r="K274" t="b">
        <v>0</v>
      </c>
      <c r="M274">
        <v>549.54087385762398</v>
      </c>
      <c r="N274">
        <v>0.202712675429956</v>
      </c>
    </row>
    <row r="275" spans="1:14" x14ac:dyDescent="0.45">
      <c r="A275" s="4" t="s">
        <v>49</v>
      </c>
      <c r="B275" t="s">
        <v>8</v>
      </c>
      <c r="C275" t="s">
        <v>669</v>
      </c>
      <c r="E275" t="s">
        <v>8</v>
      </c>
      <c r="F275" s="1" t="s">
        <v>670</v>
      </c>
      <c r="G275" s="1"/>
      <c r="H275" t="s">
        <v>241</v>
      </c>
      <c r="I275" t="s">
        <v>8</v>
      </c>
      <c r="J275" t="s">
        <v>165</v>
      </c>
      <c r="K275" t="b">
        <v>0</v>
      </c>
      <c r="L275" t="s">
        <v>648</v>
      </c>
      <c r="M275">
        <v>747.02189892733099</v>
      </c>
      <c r="N275">
        <v>0.27555877085779401</v>
      </c>
    </row>
    <row r="276" spans="1:14" x14ac:dyDescent="0.45">
      <c r="A276" t="s">
        <v>943</v>
      </c>
      <c r="B276" t="s">
        <v>8</v>
      </c>
      <c r="C276" t="s">
        <v>944</v>
      </c>
      <c r="E276" t="s">
        <v>8</v>
      </c>
      <c r="F276" s="1" t="s">
        <v>945</v>
      </c>
      <c r="H276" t="s">
        <v>240</v>
      </c>
      <c r="I276" t="s">
        <v>8</v>
      </c>
      <c r="J276" t="s">
        <v>946</v>
      </c>
      <c r="K276" t="b">
        <v>0</v>
      </c>
    </row>
    <row r="277" spans="1:14" x14ac:dyDescent="0.45">
      <c r="A277" t="s">
        <v>686</v>
      </c>
      <c r="B277" t="s">
        <v>8</v>
      </c>
      <c r="C277" t="s">
        <v>683</v>
      </c>
      <c r="E277" t="s">
        <v>8</v>
      </c>
      <c r="F277" s="1" t="s">
        <v>684</v>
      </c>
      <c r="G277" s="1" t="s">
        <v>685</v>
      </c>
      <c r="H277" t="s">
        <v>240</v>
      </c>
      <c r="I277" t="s">
        <v>8</v>
      </c>
      <c r="J277" t="s">
        <v>334</v>
      </c>
      <c r="K277" t="b">
        <v>0</v>
      </c>
      <c r="M277">
        <v>450.12520620613299</v>
      </c>
      <c r="N277">
        <v>0.16604057890723101</v>
      </c>
    </row>
    <row r="278" spans="1:14" x14ac:dyDescent="0.45">
      <c r="A278" s="6" t="s">
        <v>837</v>
      </c>
      <c r="B278" t="s">
        <v>8</v>
      </c>
      <c r="C278" t="s">
        <v>850</v>
      </c>
      <c r="E278" t="s">
        <v>8</v>
      </c>
      <c r="F278" t="s">
        <v>854</v>
      </c>
      <c r="H278" t="s">
        <v>240</v>
      </c>
      <c r="I278" t="s">
        <v>8</v>
      </c>
      <c r="J278" t="s">
        <v>19</v>
      </c>
      <c r="K278" t="b">
        <v>0</v>
      </c>
    </row>
    <row r="279" spans="1:14" x14ac:dyDescent="0.45">
      <c r="A279" s="6" t="s">
        <v>895</v>
      </c>
      <c r="B279" t="s">
        <v>8</v>
      </c>
      <c r="C279" t="s">
        <v>896</v>
      </c>
      <c r="E279" t="s">
        <v>8</v>
      </c>
      <c r="F279" t="s">
        <v>897</v>
      </c>
      <c r="H279" t="s">
        <v>241</v>
      </c>
      <c r="I279" t="s">
        <v>8</v>
      </c>
      <c r="J279" t="s">
        <v>335</v>
      </c>
      <c r="K279" t="b">
        <v>0</v>
      </c>
    </row>
    <row r="280" spans="1:14" x14ac:dyDescent="0.45">
      <c r="A280" s="7" t="s">
        <v>1110</v>
      </c>
      <c r="B280" t="s">
        <v>8</v>
      </c>
      <c r="C280" t="s">
        <v>660</v>
      </c>
      <c r="E280" t="s">
        <v>8</v>
      </c>
      <c r="F280" s="1" t="s">
        <v>661</v>
      </c>
      <c r="G280" s="1"/>
      <c r="H280" t="s">
        <v>240</v>
      </c>
      <c r="I280" t="s">
        <v>8</v>
      </c>
      <c r="J280" t="s">
        <v>167</v>
      </c>
      <c r="K280" t="b">
        <v>0</v>
      </c>
      <c r="M280">
        <v>443.26829234600899</v>
      </c>
      <c r="N280">
        <v>0.163511225004907</v>
      </c>
    </row>
    <row r="281" spans="1:14" x14ac:dyDescent="0.45">
      <c r="A281" s="7" t="s">
        <v>1145</v>
      </c>
      <c r="B281" t="s">
        <v>16</v>
      </c>
      <c r="C281" t="s">
        <v>1144</v>
      </c>
      <c r="E281" t="s">
        <v>16</v>
      </c>
      <c r="F281" s="1" t="s">
        <v>1146</v>
      </c>
      <c r="G281" s="1"/>
      <c r="H281" t="s">
        <v>241</v>
      </c>
      <c r="I281" t="s">
        <v>16</v>
      </c>
      <c r="J281" t="s">
        <v>938</v>
      </c>
      <c r="K281" t="b">
        <v>0</v>
      </c>
    </row>
    <row r="282" spans="1:14" x14ac:dyDescent="0.45">
      <c r="A282" s="4" t="s">
        <v>924</v>
      </c>
      <c r="B282" t="s">
        <v>16</v>
      </c>
      <c r="C282" t="s">
        <v>925</v>
      </c>
      <c r="E282" t="s">
        <v>16</v>
      </c>
      <c r="F282" t="s">
        <v>926</v>
      </c>
      <c r="H282" t="s">
        <v>240</v>
      </c>
      <c r="I282" t="s">
        <v>16</v>
      </c>
      <c r="J282" t="s">
        <v>15</v>
      </c>
      <c r="K282" t="b">
        <v>0</v>
      </c>
    </row>
    <row r="283" spans="1:14" x14ac:dyDescent="0.45">
      <c r="A283" t="s">
        <v>309</v>
      </c>
      <c r="B283" t="s">
        <v>8</v>
      </c>
      <c r="C283" t="s">
        <v>434</v>
      </c>
      <c r="E283" t="s">
        <v>8</v>
      </c>
      <c r="F283" t="s">
        <v>435</v>
      </c>
      <c r="H283" t="s">
        <v>241</v>
      </c>
      <c r="I283" t="s">
        <v>8</v>
      </c>
      <c r="J283" t="s">
        <v>332</v>
      </c>
      <c r="K283" t="b">
        <v>0</v>
      </c>
      <c r="M283">
        <v>3630.7805477010102</v>
      </c>
      <c r="N283">
        <v>1.3393093648466201</v>
      </c>
    </row>
    <row r="284" spans="1:14" x14ac:dyDescent="0.45">
      <c r="A284" s="6" t="s">
        <v>872</v>
      </c>
      <c r="B284" t="s">
        <v>8</v>
      </c>
      <c r="C284" t="s">
        <v>853</v>
      </c>
      <c r="E284" t="s">
        <v>8</v>
      </c>
      <c r="F284" t="s">
        <v>857</v>
      </c>
      <c r="H284" t="s">
        <v>240</v>
      </c>
      <c r="I284" t="s">
        <v>8</v>
      </c>
      <c r="J284" t="s">
        <v>19</v>
      </c>
      <c r="K284" t="b">
        <v>0</v>
      </c>
    </row>
    <row r="285" spans="1:14" x14ac:dyDescent="0.45">
      <c r="A285" t="s">
        <v>502</v>
      </c>
      <c r="B285" t="s">
        <v>8</v>
      </c>
      <c r="C285" t="s">
        <v>503</v>
      </c>
      <c r="E285" t="s">
        <v>8</v>
      </c>
      <c r="F285" t="s">
        <v>504</v>
      </c>
      <c r="H285" t="s">
        <v>241</v>
      </c>
      <c r="I285" t="s">
        <v>8</v>
      </c>
      <c r="J285" t="s">
        <v>447</v>
      </c>
      <c r="K285" t="b">
        <v>0</v>
      </c>
      <c r="M285">
        <v>284.009804791421</v>
      </c>
      <c r="N285">
        <v>0.10476452274325999</v>
      </c>
    </row>
    <row r="286" spans="1:14" x14ac:dyDescent="0.45">
      <c r="A286" t="s">
        <v>808</v>
      </c>
      <c r="B286" t="s">
        <v>407</v>
      </c>
      <c r="C286" t="s">
        <v>430</v>
      </c>
      <c r="E286" t="s">
        <v>407</v>
      </c>
      <c r="F286" t="s">
        <v>431</v>
      </c>
      <c r="H286" t="s">
        <v>241</v>
      </c>
      <c r="I286" t="s">
        <v>407</v>
      </c>
      <c r="J286" t="s">
        <v>332</v>
      </c>
      <c r="K286" t="b">
        <v>0</v>
      </c>
      <c r="L286" t="s">
        <v>272</v>
      </c>
      <c r="M286">
        <v>1401.73741834676</v>
      </c>
      <c r="N286">
        <v>0.51706789401978204</v>
      </c>
    </row>
    <row r="287" spans="1:14" x14ac:dyDescent="0.45">
      <c r="A287" t="s">
        <v>293</v>
      </c>
      <c r="B287" t="s">
        <v>8</v>
      </c>
      <c r="C287" t="s">
        <v>1112</v>
      </c>
      <c r="E287" t="s">
        <v>8</v>
      </c>
      <c r="F287" t="s">
        <v>1111</v>
      </c>
      <c r="H287" t="s">
        <v>240</v>
      </c>
      <c r="I287" t="s">
        <v>8</v>
      </c>
      <c r="J287" t="s">
        <v>332</v>
      </c>
      <c r="K287" t="b">
        <v>0</v>
      </c>
      <c r="L287" t="s">
        <v>1113</v>
      </c>
    </row>
    <row r="288" spans="1:14" x14ac:dyDescent="0.45">
      <c r="A288" s="6" t="s">
        <v>839</v>
      </c>
      <c r="B288" t="s">
        <v>8</v>
      </c>
      <c r="C288" t="s">
        <v>852</v>
      </c>
      <c r="E288" t="s">
        <v>8</v>
      </c>
      <c r="F288" t="s">
        <v>856</v>
      </c>
      <c r="H288" t="s">
        <v>241</v>
      </c>
      <c r="I288" t="s">
        <v>8</v>
      </c>
      <c r="K288" t="b">
        <v>0</v>
      </c>
    </row>
    <row r="289" spans="1:14" x14ac:dyDescent="0.45">
      <c r="A289" t="s">
        <v>124</v>
      </c>
      <c r="B289" t="s">
        <v>8</v>
      </c>
      <c r="C289" t="s">
        <v>114</v>
      </c>
      <c r="E289" t="s">
        <v>8</v>
      </c>
      <c r="F289" s="1" t="s">
        <v>193</v>
      </c>
      <c r="G289" s="1"/>
      <c r="H289" t="s">
        <v>241</v>
      </c>
      <c r="I289" t="s">
        <v>8</v>
      </c>
      <c r="J289" t="s">
        <v>167</v>
      </c>
      <c r="K289" t="b">
        <v>0</v>
      </c>
      <c r="M289">
        <v>621.34575174807503</v>
      </c>
      <c r="N289">
        <v>0.22919980240909599</v>
      </c>
    </row>
    <row r="290" spans="1:14" x14ac:dyDescent="0.45">
      <c r="A290" t="s">
        <v>287</v>
      </c>
      <c r="B290" t="s">
        <v>8</v>
      </c>
      <c r="C290" t="s">
        <v>288</v>
      </c>
      <c r="E290" t="s">
        <v>8</v>
      </c>
      <c r="F290" t="s">
        <v>365</v>
      </c>
      <c r="H290" t="s">
        <v>240</v>
      </c>
      <c r="I290" t="s">
        <v>8</v>
      </c>
      <c r="J290" t="s">
        <v>165</v>
      </c>
      <c r="K290" t="b">
        <v>0</v>
      </c>
      <c r="M290">
        <v>125.892541179416</v>
      </c>
      <c r="N290">
        <v>4.6438791094849802E-2</v>
      </c>
    </row>
    <row r="291" spans="1:14" x14ac:dyDescent="0.45">
      <c r="A291" t="s">
        <v>610</v>
      </c>
      <c r="B291" t="s">
        <v>8</v>
      </c>
      <c r="C291" t="s">
        <v>611</v>
      </c>
      <c r="E291" t="s">
        <v>8</v>
      </c>
      <c r="F291" t="s">
        <v>612</v>
      </c>
      <c r="G291" t="s">
        <v>624</v>
      </c>
      <c r="H291" t="s">
        <v>240</v>
      </c>
      <c r="I291" t="s">
        <v>8</v>
      </c>
      <c r="J291" t="s">
        <v>620</v>
      </c>
      <c r="K291" t="b">
        <v>0</v>
      </c>
      <c r="M291">
        <v>724.435960074989</v>
      </c>
      <c r="N291">
        <v>0.26722735037633699</v>
      </c>
    </row>
    <row r="292" spans="1:14" x14ac:dyDescent="0.45">
      <c r="A292" t="s">
        <v>302</v>
      </c>
      <c r="B292" t="s">
        <v>8</v>
      </c>
      <c r="C292" t="s">
        <v>303</v>
      </c>
      <c r="E292" t="s">
        <v>8</v>
      </c>
      <c r="F292" t="s">
        <v>377</v>
      </c>
      <c r="H292" t="s">
        <v>241</v>
      </c>
      <c r="I292" t="s">
        <v>8</v>
      </c>
      <c r="J292" t="s">
        <v>11</v>
      </c>
      <c r="K292" t="b">
        <v>0</v>
      </c>
      <c r="M292">
        <v>288.40315031265999</v>
      </c>
      <c r="N292">
        <v>0.106385124352831</v>
      </c>
    </row>
    <row r="293" spans="1:14" x14ac:dyDescent="0.45">
      <c r="A293" t="s">
        <v>501</v>
      </c>
      <c r="B293" t="s">
        <v>8</v>
      </c>
      <c r="C293" t="s">
        <v>499</v>
      </c>
      <c r="E293" t="s">
        <v>8</v>
      </c>
      <c r="F293" t="s">
        <v>500</v>
      </c>
      <c r="H293" t="s">
        <v>241</v>
      </c>
      <c r="I293" t="s">
        <v>8</v>
      </c>
      <c r="J293" t="s">
        <v>447</v>
      </c>
      <c r="K293" t="b">
        <v>1</v>
      </c>
      <c r="M293">
        <v>1220.86225405907</v>
      </c>
      <c r="N293">
        <v>0.45034730922650001</v>
      </c>
    </row>
    <row r="294" spans="1:14" x14ac:dyDescent="0.45">
      <c r="A294" t="s">
        <v>456</v>
      </c>
      <c r="B294" t="s">
        <v>8</v>
      </c>
      <c r="C294" t="s">
        <v>457</v>
      </c>
      <c r="E294" t="s">
        <v>8</v>
      </c>
      <c r="F294" s="1" t="s">
        <v>458</v>
      </c>
      <c r="G294" s="1"/>
      <c r="H294" t="s">
        <v>241</v>
      </c>
      <c r="I294" t="s">
        <v>8</v>
      </c>
      <c r="J294" t="s">
        <v>334</v>
      </c>
      <c r="K294" t="b">
        <v>0</v>
      </c>
      <c r="M294">
        <v>3575.47160450621</v>
      </c>
      <c r="N294">
        <v>1.3189071993597901</v>
      </c>
    </row>
    <row r="295" spans="1:14" x14ac:dyDescent="0.45">
      <c r="A295" s="7" t="s">
        <v>865</v>
      </c>
      <c r="B295" t="s">
        <v>8</v>
      </c>
      <c r="C295" t="s">
        <v>866</v>
      </c>
      <c r="E295" t="s">
        <v>8</v>
      </c>
      <c r="F295" s="1" t="s">
        <v>1114</v>
      </c>
      <c r="G295" s="1"/>
      <c r="H295" t="s">
        <v>241</v>
      </c>
      <c r="I295" t="s">
        <v>407</v>
      </c>
      <c r="J295" t="s">
        <v>165</v>
      </c>
      <c r="K295" t="b">
        <v>0</v>
      </c>
    </row>
    <row r="296" spans="1:14" x14ac:dyDescent="0.45">
      <c r="A296" t="s">
        <v>72</v>
      </c>
      <c r="B296" t="s">
        <v>8</v>
      </c>
      <c r="C296" t="s">
        <v>67</v>
      </c>
      <c r="E296" t="s">
        <v>8</v>
      </c>
      <c r="F296" s="1" t="s">
        <v>232</v>
      </c>
      <c r="G296" s="1"/>
      <c r="H296" t="s">
        <v>241</v>
      </c>
      <c r="I296" t="s">
        <v>8</v>
      </c>
      <c r="J296" t="s">
        <v>7</v>
      </c>
      <c r="K296" t="b">
        <v>0</v>
      </c>
      <c r="M296">
        <v>1995.26231496888</v>
      </c>
      <c r="N296">
        <v>0.73600523872351298</v>
      </c>
    </row>
    <row r="297" spans="1:14" x14ac:dyDescent="0.45">
      <c r="A297" t="s">
        <v>71</v>
      </c>
      <c r="B297" t="s">
        <v>8</v>
      </c>
      <c r="C297" t="s">
        <v>70</v>
      </c>
      <c r="E297" t="s">
        <v>8</v>
      </c>
      <c r="F297" s="1" t="s">
        <v>233</v>
      </c>
      <c r="G297" s="1"/>
      <c r="H297" t="s">
        <v>241</v>
      </c>
      <c r="I297" t="s">
        <v>8</v>
      </c>
      <c r="J297" t="s">
        <v>7</v>
      </c>
      <c r="K297" t="b">
        <v>0</v>
      </c>
      <c r="M297">
        <v>1659.5869074375601</v>
      </c>
      <c r="N297">
        <v>0.61218249291199101</v>
      </c>
    </row>
    <row r="298" spans="1:14" x14ac:dyDescent="0.45">
      <c r="A298" t="s">
        <v>1148</v>
      </c>
      <c r="B298" t="s">
        <v>8</v>
      </c>
      <c r="C298" t="s">
        <v>1147</v>
      </c>
      <c r="E298" t="s">
        <v>8</v>
      </c>
      <c r="F298" s="1" t="s">
        <v>1149</v>
      </c>
      <c r="G298" s="1"/>
      <c r="H298" t="s">
        <v>240</v>
      </c>
      <c r="I298" t="s">
        <v>8</v>
      </c>
      <c r="J298" t="s">
        <v>447</v>
      </c>
      <c r="K298" t="b">
        <v>0</v>
      </c>
    </row>
    <row r="299" spans="1:14" x14ac:dyDescent="0.45">
      <c r="A299" t="s">
        <v>546</v>
      </c>
      <c r="B299" t="s">
        <v>8</v>
      </c>
      <c r="C299" t="s">
        <v>547</v>
      </c>
      <c r="E299" t="s">
        <v>8</v>
      </c>
      <c r="F299" t="s">
        <v>548</v>
      </c>
      <c r="H299" t="s">
        <v>241</v>
      </c>
      <c r="I299" t="s">
        <v>8</v>
      </c>
      <c r="J299" t="s">
        <v>333</v>
      </c>
      <c r="K299" t="b">
        <v>0</v>
      </c>
      <c r="L299" t="s">
        <v>545</v>
      </c>
      <c r="M299">
        <v>1819.7008586099801</v>
      </c>
      <c r="N299">
        <v>0.67124475553857699</v>
      </c>
    </row>
    <row r="300" spans="1:14" x14ac:dyDescent="0.45">
      <c r="A300" s="7" t="s">
        <v>656</v>
      </c>
      <c r="B300" t="s">
        <v>8</v>
      </c>
      <c r="C300" t="s">
        <v>657</v>
      </c>
      <c r="E300" t="s">
        <v>8</v>
      </c>
      <c r="F300" t="s">
        <v>658</v>
      </c>
      <c r="H300" t="s">
        <v>241</v>
      </c>
      <c r="I300" t="s">
        <v>8</v>
      </c>
      <c r="J300" t="s">
        <v>165</v>
      </c>
      <c r="K300" t="b">
        <v>0</v>
      </c>
      <c r="L300" t="s">
        <v>648</v>
      </c>
      <c r="M300">
        <v>660.69344800759598</v>
      </c>
      <c r="N300">
        <v>0.24371424011557899</v>
      </c>
    </row>
    <row r="301" spans="1:14" x14ac:dyDescent="0.45">
      <c r="A301" s="7" t="s">
        <v>656</v>
      </c>
      <c r="B301" t="s">
        <v>8</v>
      </c>
      <c r="C301" t="s">
        <v>657</v>
      </c>
      <c r="E301" t="s">
        <v>8</v>
      </c>
      <c r="F301" t="s">
        <v>659</v>
      </c>
      <c r="H301" t="s">
        <v>241</v>
      </c>
      <c r="I301" t="s">
        <v>8</v>
      </c>
      <c r="J301" t="s">
        <v>165</v>
      </c>
      <c r="K301" t="b">
        <v>0</v>
      </c>
      <c r="L301" t="s">
        <v>648</v>
      </c>
      <c r="M301">
        <v>660.69344800759598</v>
      </c>
      <c r="N301">
        <v>0.24371424011557899</v>
      </c>
    </row>
    <row r="302" spans="1:14" x14ac:dyDescent="0.45">
      <c r="A302" t="s">
        <v>613</v>
      </c>
      <c r="B302" t="s">
        <v>8</v>
      </c>
      <c r="C302" t="s">
        <v>614</v>
      </c>
      <c r="E302" t="s">
        <v>8</v>
      </c>
      <c r="F302" t="s">
        <v>615</v>
      </c>
      <c r="G302" t="s">
        <v>632</v>
      </c>
      <c r="H302" t="s">
        <v>240</v>
      </c>
      <c r="I302" t="s">
        <v>8</v>
      </c>
      <c r="J302" t="s">
        <v>620</v>
      </c>
      <c r="K302" t="b">
        <v>0</v>
      </c>
      <c r="M302">
        <v>2884.0315031266</v>
      </c>
      <c r="N302">
        <v>1.0638512435283101</v>
      </c>
    </row>
    <row r="303" spans="1:14" x14ac:dyDescent="0.45">
      <c r="A303" t="s">
        <v>75</v>
      </c>
      <c r="B303" t="s">
        <v>8</v>
      </c>
      <c r="C303" t="s">
        <v>74</v>
      </c>
      <c r="E303" t="s">
        <v>8</v>
      </c>
      <c r="F303" s="1" t="s">
        <v>234</v>
      </c>
      <c r="G303" s="1"/>
      <c r="H303" t="s">
        <v>240</v>
      </c>
      <c r="I303" t="s">
        <v>8</v>
      </c>
      <c r="J303" t="s">
        <v>7</v>
      </c>
      <c r="K303" t="b">
        <v>0</v>
      </c>
      <c r="M303">
        <v>2362.2906626344602</v>
      </c>
      <c r="N303">
        <v>0.87139334514706102</v>
      </c>
    </row>
    <row r="304" spans="1:14" x14ac:dyDescent="0.45">
      <c r="A304" t="s">
        <v>799</v>
      </c>
      <c r="B304" t="s">
        <v>8</v>
      </c>
      <c r="C304" t="s">
        <v>74</v>
      </c>
      <c r="E304" t="s">
        <v>8</v>
      </c>
      <c r="F304" t="s">
        <v>234</v>
      </c>
      <c r="H304" t="s">
        <v>240</v>
      </c>
      <c r="I304" t="s">
        <v>8</v>
      </c>
      <c r="J304" t="s">
        <v>7</v>
      </c>
      <c r="K304" t="b">
        <v>0</v>
      </c>
      <c r="M304">
        <v>2362.2906626344602</v>
      </c>
      <c r="N304">
        <v>0.87139334514706102</v>
      </c>
    </row>
    <row r="305" spans="1:14" x14ac:dyDescent="0.45">
      <c r="A305" t="s">
        <v>775</v>
      </c>
      <c r="B305" t="s">
        <v>8</v>
      </c>
      <c r="C305" t="s">
        <v>343</v>
      </c>
      <c r="E305" t="s">
        <v>8</v>
      </c>
      <c r="F305" t="s">
        <v>366</v>
      </c>
      <c r="H305" t="s">
        <v>240</v>
      </c>
      <c r="I305" t="s">
        <v>8</v>
      </c>
      <c r="J305" t="s">
        <v>165</v>
      </c>
      <c r="K305" t="b">
        <v>0</v>
      </c>
      <c r="M305">
        <v>208.92961308540299</v>
      </c>
      <c r="N305">
        <v>7.7069209698240701E-2</v>
      </c>
    </row>
    <row r="306" spans="1:14" x14ac:dyDescent="0.45">
      <c r="A306" t="s">
        <v>776</v>
      </c>
      <c r="B306" t="s">
        <v>8</v>
      </c>
      <c r="C306" t="s">
        <v>343</v>
      </c>
      <c r="E306" t="s">
        <v>8</v>
      </c>
      <c r="F306" t="s">
        <v>366</v>
      </c>
      <c r="H306" t="s">
        <v>240</v>
      </c>
      <c r="I306" t="s">
        <v>8</v>
      </c>
      <c r="J306" t="s">
        <v>165</v>
      </c>
      <c r="K306" t="b">
        <v>0</v>
      </c>
      <c r="M306">
        <v>208.92961308540299</v>
      </c>
      <c r="N306">
        <v>7.7069209698240701E-2</v>
      </c>
    </row>
    <row r="307" spans="1:14" x14ac:dyDescent="0.45">
      <c r="A307" t="s">
        <v>164</v>
      </c>
      <c r="B307" t="s">
        <v>8</v>
      </c>
      <c r="C307" t="s">
        <v>166</v>
      </c>
      <c r="E307" t="s">
        <v>8</v>
      </c>
      <c r="F307" s="1" t="s">
        <v>194</v>
      </c>
      <c r="G307" s="1"/>
      <c r="H307" t="s">
        <v>241</v>
      </c>
      <c r="I307" t="s">
        <v>8</v>
      </c>
      <c r="J307" t="s">
        <v>165</v>
      </c>
      <c r="K307" t="b">
        <v>0</v>
      </c>
      <c r="M307">
        <v>681.29206905796104</v>
      </c>
      <c r="N307">
        <v>0.25131258590189998</v>
      </c>
    </row>
    <row r="308" spans="1:14" x14ac:dyDescent="0.45">
      <c r="A308" t="s">
        <v>46</v>
      </c>
      <c r="B308" t="s">
        <v>8</v>
      </c>
      <c r="C308" t="s">
        <v>47</v>
      </c>
      <c r="E308" t="s">
        <v>8</v>
      </c>
      <c r="F308" s="1" t="s">
        <v>195</v>
      </c>
      <c r="G308" s="1"/>
      <c r="H308" t="s">
        <v>240</v>
      </c>
      <c r="I308" t="s">
        <v>8</v>
      </c>
      <c r="J308" t="s">
        <v>165</v>
      </c>
      <c r="K308" t="b">
        <v>0</v>
      </c>
      <c r="M308">
        <v>681.29206905796104</v>
      </c>
      <c r="N308">
        <v>0.25131258590189998</v>
      </c>
    </row>
    <row r="309" spans="1:14" x14ac:dyDescent="0.45">
      <c r="A309" t="s">
        <v>786</v>
      </c>
      <c r="B309" t="s">
        <v>8</v>
      </c>
      <c r="C309" t="s">
        <v>269</v>
      </c>
      <c r="E309" t="s">
        <v>8</v>
      </c>
      <c r="F309" t="s">
        <v>409</v>
      </c>
      <c r="H309" t="s">
        <v>241</v>
      </c>
      <c r="I309" t="s">
        <v>8</v>
      </c>
      <c r="J309" t="s">
        <v>11</v>
      </c>
      <c r="K309" t="b">
        <v>0</v>
      </c>
      <c r="M309">
        <v>940.44485172635098</v>
      </c>
      <c r="N309">
        <v>0.34690793907564299</v>
      </c>
    </row>
    <row r="310" spans="1:14" x14ac:dyDescent="0.45">
      <c r="A310" s="6" t="s">
        <v>884</v>
      </c>
      <c r="B310" t="s">
        <v>8</v>
      </c>
      <c r="C310" t="s">
        <v>885</v>
      </c>
      <c r="E310" t="s">
        <v>8</v>
      </c>
      <c r="F310" s="1" t="s">
        <v>230</v>
      </c>
      <c r="G310" s="1" t="s">
        <v>235</v>
      </c>
      <c r="H310" t="s">
        <v>240</v>
      </c>
      <c r="I310" t="s">
        <v>8</v>
      </c>
      <c r="J310" t="s">
        <v>7</v>
      </c>
      <c r="K310" t="b">
        <v>0</v>
      </c>
      <c r="L310" t="s">
        <v>886</v>
      </c>
    </row>
    <row r="311" spans="1:14" s="7" customFormat="1" x14ac:dyDescent="0.45">
      <c r="A311" s="7" t="s">
        <v>1150</v>
      </c>
      <c r="B311" s="7" t="s">
        <v>8</v>
      </c>
      <c r="C311" s="7" t="s">
        <v>1151</v>
      </c>
      <c r="E311" s="7" t="s">
        <v>8</v>
      </c>
      <c r="F311" s="8" t="s">
        <v>1152</v>
      </c>
      <c r="G311" s="8"/>
      <c r="H311" s="7" t="s">
        <v>241</v>
      </c>
      <c r="I311" s="7" t="s">
        <v>8</v>
      </c>
      <c r="J311" s="7" t="s">
        <v>561</v>
      </c>
      <c r="K311" s="7" t="b">
        <v>0</v>
      </c>
    </row>
    <row r="312" spans="1:14" x14ac:dyDescent="0.45">
      <c r="A312" t="s">
        <v>48</v>
      </c>
      <c r="B312" t="s">
        <v>8</v>
      </c>
      <c r="C312" t="s">
        <v>96</v>
      </c>
      <c r="E312" t="s">
        <v>8</v>
      </c>
      <c r="F312" s="1" t="s">
        <v>196</v>
      </c>
      <c r="G312" s="1"/>
      <c r="H312" t="s">
        <v>241</v>
      </c>
      <c r="I312" t="s">
        <v>8</v>
      </c>
      <c r="J312" t="s">
        <v>165</v>
      </c>
      <c r="K312" t="b">
        <v>0</v>
      </c>
      <c r="M312">
        <v>288.40315031265999</v>
      </c>
      <c r="N312">
        <v>0.106385124352831</v>
      </c>
    </row>
    <row r="313" spans="1:14" x14ac:dyDescent="0.45">
      <c r="A313" s="6" t="s">
        <v>894</v>
      </c>
      <c r="B313" t="s">
        <v>8</v>
      </c>
      <c r="C313" t="s">
        <v>846</v>
      </c>
      <c r="E313" t="s">
        <v>8</v>
      </c>
      <c r="F313" t="s">
        <v>861</v>
      </c>
      <c r="H313" t="s">
        <v>240</v>
      </c>
      <c r="I313" t="s">
        <v>8</v>
      </c>
      <c r="K313" t="b">
        <v>0</v>
      </c>
    </row>
    <row r="314" spans="1:14" x14ac:dyDescent="0.45">
      <c r="A314" s="6" t="s">
        <v>838</v>
      </c>
      <c r="B314" t="s">
        <v>8</v>
      </c>
      <c r="C314" t="s">
        <v>851</v>
      </c>
      <c r="E314" t="s">
        <v>8</v>
      </c>
      <c r="F314" t="s">
        <v>855</v>
      </c>
      <c r="H314" t="s">
        <v>240</v>
      </c>
      <c r="I314" t="s">
        <v>8</v>
      </c>
      <c r="J314" t="s">
        <v>620</v>
      </c>
      <c r="K314" t="b">
        <v>0</v>
      </c>
    </row>
    <row r="315" spans="1:14" x14ac:dyDescent="0.45">
      <c r="A315" t="s">
        <v>293</v>
      </c>
      <c r="B315" t="s">
        <v>8</v>
      </c>
      <c r="C315" t="s">
        <v>428</v>
      </c>
      <c r="E315" t="s">
        <v>8</v>
      </c>
      <c r="F315" t="s">
        <v>429</v>
      </c>
      <c r="H315" t="s">
        <v>240</v>
      </c>
      <c r="I315" t="s">
        <v>8</v>
      </c>
      <c r="J315" t="s">
        <v>332</v>
      </c>
      <c r="K315" t="b">
        <v>0</v>
      </c>
      <c r="L315" t="s">
        <v>294</v>
      </c>
      <c r="M315">
        <v>1490.5046433861901</v>
      </c>
      <c r="N315">
        <v>0.54981203105170195</v>
      </c>
    </row>
    <row r="316" spans="1:14" x14ac:dyDescent="0.45">
      <c r="A316" t="s">
        <v>244</v>
      </c>
      <c r="B316" t="s">
        <v>8</v>
      </c>
      <c r="C316" t="s">
        <v>43</v>
      </c>
      <c r="E316" t="s">
        <v>8</v>
      </c>
      <c r="F316" s="1" t="s">
        <v>211</v>
      </c>
      <c r="G316" s="1"/>
      <c r="H316" t="s">
        <v>240</v>
      </c>
      <c r="I316" t="s">
        <v>8</v>
      </c>
      <c r="J316" t="s">
        <v>11</v>
      </c>
      <c r="K316" t="b">
        <v>0</v>
      </c>
      <c r="M316">
        <v>884.43651913859901</v>
      </c>
      <c r="N316">
        <v>0.32624778532668802</v>
      </c>
    </row>
    <row r="317" spans="1:14" x14ac:dyDescent="0.45">
      <c r="A317" s="6" t="s">
        <v>836</v>
      </c>
      <c r="B317" t="s">
        <v>8</v>
      </c>
      <c r="C317" t="s">
        <v>848</v>
      </c>
      <c r="E317" t="s">
        <v>8</v>
      </c>
      <c r="F317" s="1" t="s">
        <v>867</v>
      </c>
      <c r="H317" t="s">
        <v>240</v>
      </c>
      <c r="I317" t="s">
        <v>8</v>
      </c>
      <c r="J317" t="s">
        <v>89</v>
      </c>
      <c r="K317" t="b">
        <v>0</v>
      </c>
      <c r="L317" t="s">
        <v>849</v>
      </c>
    </row>
    <row r="318" spans="1:14" x14ac:dyDescent="0.45">
      <c r="A318" t="s">
        <v>802</v>
      </c>
      <c r="B318" t="s">
        <v>8</v>
      </c>
      <c r="C318" t="s">
        <v>277</v>
      </c>
      <c r="E318" t="s">
        <v>8</v>
      </c>
      <c r="F318" t="s">
        <v>391</v>
      </c>
      <c r="H318" t="s">
        <v>240</v>
      </c>
      <c r="I318" t="s">
        <v>8</v>
      </c>
      <c r="J318" t="s">
        <v>89</v>
      </c>
      <c r="K318" t="b">
        <v>0</v>
      </c>
      <c r="M318">
        <v>363.07805477010101</v>
      </c>
      <c r="N318">
        <v>0.13393093648466201</v>
      </c>
    </row>
    <row r="319" spans="1:14" x14ac:dyDescent="0.45">
      <c r="A319" t="s">
        <v>498</v>
      </c>
      <c r="B319" t="s">
        <v>8</v>
      </c>
      <c r="C319" t="s">
        <v>495</v>
      </c>
      <c r="E319" t="s">
        <v>8</v>
      </c>
      <c r="F319" t="s">
        <v>496</v>
      </c>
      <c r="H319" t="s">
        <v>240</v>
      </c>
      <c r="I319" t="s">
        <v>8</v>
      </c>
      <c r="J319" t="s">
        <v>447</v>
      </c>
      <c r="K319" t="b">
        <v>0</v>
      </c>
      <c r="L319" t="s">
        <v>497</v>
      </c>
      <c r="M319">
        <v>331.13112148259103</v>
      </c>
      <c r="N319">
        <v>0.122146465799099</v>
      </c>
    </row>
    <row r="320" spans="1:14" x14ac:dyDescent="0.45">
      <c r="A320" t="s">
        <v>263</v>
      </c>
      <c r="B320" t="s">
        <v>8</v>
      </c>
      <c r="C320" t="s">
        <v>264</v>
      </c>
      <c r="E320" t="s">
        <v>8</v>
      </c>
      <c r="F320" s="1" t="s">
        <v>381</v>
      </c>
      <c r="G320" s="1"/>
      <c r="H320" t="s">
        <v>240</v>
      </c>
      <c r="I320" t="s">
        <v>8</v>
      </c>
      <c r="J320" t="s">
        <v>14</v>
      </c>
      <c r="K320" t="b">
        <v>0</v>
      </c>
      <c r="M320">
        <v>1876.43417195608</v>
      </c>
      <c r="N320">
        <v>0.69217233760115204</v>
      </c>
    </row>
    <row r="321" spans="1:14" x14ac:dyDescent="0.45">
      <c r="A321" t="s">
        <v>265</v>
      </c>
      <c r="B321" t="s">
        <v>8</v>
      </c>
      <c r="C321" t="s">
        <v>266</v>
      </c>
      <c r="E321" t="s">
        <v>407</v>
      </c>
      <c r="F321" s="1" t="s">
        <v>420</v>
      </c>
      <c r="G321" s="1"/>
      <c r="H321" t="s">
        <v>241</v>
      </c>
      <c r="I321" t="s">
        <v>407</v>
      </c>
      <c r="J321" t="s">
        <v>14</v>
      </c>
      <c r="K321" t="b">
        <v>0</v>
      </c>
      <c r="M321">
        <v>32.111949093648199</v>
      </c>
      <c r="N321">
        <v>1.18453411269467E-2</v>
      </c>
    </row>
    <row r="322" spans="1:14" x14ac:dyDescent="0.45">
      <c r="A322" t="s">
        <v>1036</v>
      </c>
      <c r="B322" t="s">
        <v>8</v>
      </c>
      <c r="C322" t="s">
        <v>1115</v>
      </c>
      <c r="E322" t="s">
        <v>8</v>
      </c>
      <c r="F322" s="1" t="s">
        <v>1118</v>
      </c>
      <c r="G322" s="1"/>
      <c r="H322" t="s">
        <v>241</v>
      </c>
      <c r="I322" t="s">
        <v>8</v>
      </c>
      <c r="J322" t="s">
        <v>654</v>
      </c>
      <c r="K322" t="b">
        <v>1</v>
      </c>
    </row>
    <row r="323" spans="1:14" x14ac:dyDescent="0.45">
      <c r="A323" t="s">
        <v>323</v>
      </c>
      <c r="B323" t="s">
        <v>8</v>
      </c>
      <c r="C323" t="s">
        <v>324</v>
      </c>
      <c r="E323" t="s">
        <v>8</v>
      </c>
      <c r="F323" t="s">
        <v>367</v>
      </c>
      <c r="H323" t="s">
        <v>240</v>
      </c>
      <c r="I323" t="s">
        <v>8</v>
      </c>
      <c r="J323" t="s">
        <v>165</v>
      </c>
      <c r="K323" t="b">
        <v>0</v>
      </c>
      <c r="M323">
        <v>47.133895361573998</v>
      </c>
      <c r="N323">
        <v>1.7386583030866001E-2</v>
      </c>
    </row>
    <row r="324" spans="1:14" x14ac:dyDescent="0.45">
      <c r="A324" t="s">
        <v>1153</v>
      </c>
      <c r="B324" t="s">
        <v>8</v>
      </c>
      <c r="C324" t="s">
        <v>1154</v>
      </c>
      <c r="E324" t="s">
        <v>8</v>
      </c>
      <c r="F324" s="1" t="s">
        <v>1154</v>
      </c>
      <c r="H324" t="s">
        <v>240</v>
      </c>
      <c r="I324" t="s">
        <v>8</v>
      </c>
      <c r="J324" t="s">
        <v>14</v>
      </c>
      <c r="K324" t="b">
        <v>0</v>
      </c>
    </row>
    <row r="325" spans="1:14" x14ac:dyDescent="0.45">
      <c r="A325" t="s">
        <v>1155</v>
      </c>
      <c r="B325" t="s">
        <v>8</v>
      </c>
      <c r="C325" t="s">
        <v>1156</v>
      </c>
      <c r="E325" t="s">
        <v>8</v>
      </c>
      <c r="F325" s="1" t="s">
        <v>1156</v>
      </c>
      <c r="H325" t="s">
        <v>240</v>
      </c>
      <c r="I325" t="s">
        <v>8</v>
      </c>
      <c r="J325" t="s">
        <v>14</v>
      </c>
      <c r="K325" t="b">
        <v>0</v>
      </c>
    </row>
    <row r="326" spans="1:14" x14ac:dyDescent="0.45">
      <c r="A326" t="s">
        <v>1117</v>
      </c>
      <c r="B326" t="s">
        <v>8</v>
      </c>
      <c r="C326" t="s">
        <v>1116</v>
      </c>
      <c r="E326" t="s">
        <v>8</v>
      </c>
      <c r="F326" s="1" t="s">
        <v>1119</v>
      </c>
      <c r="G326" s="1" t="s">
        <v>1120</v>
      </c>
      <c r="H326" t="s">
        <v>240</v>
      </c>
      <c r="I326" t="s">
        <v>8</v>
      </c>
      <c r="J326" t="s">
        <v>620</v>
      </c>
      <c r="K326" t="b">
        <v>0</v>
      </c>
    </row>
    <row r="327" spans="1:14" x14ac:dyDescent="0.45">
      <c r="A327" t="s">
        <v>44</v>
      </c>
      <c r="B327" t="s">
        <v>8</v>
      </c>
      <c r="C327" t="s">
        <v>461</v>
      </c>
      <c r="E327" t="s">
        <v>8</v>
      </c>
      <c r="F327" s="1" t="s">
        <v>190</v>
      </c>
      <c r="G327" s="1"/>
      <c r="H327" t="s">
        <v>240</v>
      </c>
      <c r="I327" t="s">
        <v>8</v>
      </c>
      <c r="J327" t="s">
        <v>165</v>
      </c>
      <c r="K327" t="b">
        <v>0</v>
      </c>
      <c r="M327">
        <v>26.3026799189538</v>
      </c>
      <c r="N327">
        <v>9.7024386556008799E-3</v>
      </c>
    </row>
    <row r="328" spans="1:14" x14ac:dyDescent="0.45">
      <c r="A328" t="s">
        <v>794</v>
      </c>
      <c r="B328" t="s">
        <v>8</v>
      </c>
      <c r="C328" t="s">
        <v>276</v>
      </c>
      <c r="E328" t="s">
        <v>8</v>
      </c>
      <c r="F328" s="1" t="s">
        <v>354</v>
      </c>
      <c r="G328" s="1"/>
      <c r="H328" t="s">
        <v>241</v>
      </c>
      <c r="I328" t="s">
        <v>8</v>
      </c>
      <c r="J328" t="s">
        <v>426</v>
      </c>
      <c r="K328" t="b">
        <v>0</v>
      </c>
      <c r="M328">
        <v>71.340037507125601</v>
      </c>
      <c r="N328">
        <v>2.63156583182373E-2</v>
      </c>
    </row>
    <row r="329" spans="1:14" x14ac:dyDescent="0.45">
      <c r="A329" t="s">
        <v>782</v>
      </c>
      <c r="B329" t="s">
        <v>8</v>
      </c>
      <c r="C329" t="s">
        <v>247</v>
      </c>
      <c r="E329" t="s">
        <v>407</v>
      </c>
      <c r="F329" t="s">
        <v>406</v>
      </c>
      <c r="H329" t="s">
        <v>240</v>
      </c>
      <c r="I329" t="s">
        <v>407</v>
      </c>
      <c r="J329" t="s">
        <v>11</v>
      </c>
      <c r="K329" t="b">
        <v>0</v>
      </c>
      <c r="M329">
        <v>153.69745159352701</v>
      </c>
      <c r="N329">
        <v>5.6695367171836597E-2</v>
      </c>
    </row>
    <row r="330" spans="1:14" x14ac:dyDescent="0.45">
      <c r="A330" t="s">
        <v>257</v>
      </c>
      <c r="B330" t="s">
        <v>8</v>
      </c>
      <c r="C330" t="s">
        <v>258</v>
      </c>
      <c r="E330" t="s">
        <v>8</v>
      </c>
      <c r="F330" s="1" t="s">
        <v>337</v>
      </c>
      <c r="G330" s="1"/>
      <c r="H330" t="s">
        <v>240</v>
      </c>
      <c r="I330" t="s">
        <v>8</v>
      </c>
      <c r="J330" t="s">
        <v>165</v>
      </c>
      <c r="K330" t="b">
        <v>0</v>
      </c>
      <c r="M330">
        <v>735.64225445964098</v>
      </c>
      <c r="N330">
        <v>0.27136108823721999</v>
      </c>
    </row>
    <row r="331" spans="1:14" x14ac:dyDescent="0.45">
      <c r="A331" t="s">
        <v>147</v>
      </c>
      <c r="B331" t="s">
        <v>8</v>
      </c>
      <c r="C331" t="s">
        <v>249</v>
      </c>
      <c r="E331" t="s">
        <v>8</v>
      </c>
      <c r="F331" t="s">
        <v>355</v>
      </c>
      <c r="H331" t="s">
        <v>240</v>
      </c>
      <c r="I331" t="s">
        <v>8</v>
      </c>
      <c r="J331" t="s">
        <v>165</v>
      </c>
      <c r="K331" t="b">
        <v>0</v>
      </c>
      <c r="M331">
        <v>392.042665527015</v>
      </c>
      <c r="N331">
        <v>0.14461529868342801</v>
      </c>
    </row>
    <row r="332" spans="1:14" x14ac:dyDescent="0.45">
      <c r="A332" s="4" t="s">
        <v>777</v>
      </c>
      <c r="B332" t="s">
        <v>8</v>
      </c>
      <c r="C332" t="s">
        <v>249</v>
      </c>
      <c r="E332" t="s">
        <v>8</v>
      </c>
      <c r="F332" t="s">
        <v>355</v>
      </c>
      <c r="H332" t="s">
        <v>240</v>
      </c>
      <c r="I332" t="s">
        <v>8</v>
      </c>
      <c r="J332" t="s">
        <v>165</v>
      </c>
      <c r="K332" t="b">
        <v>0</v>
      </c>
      <c r="L332" t="s">
        <v>648</v>
      </c>
      <c r="M332">
        <v>239.88329190194801</v>
      </c>
      <c r="N332">
        <v>8.8487292220937805E-2</v>
      </c>
    </row>
    <row r="333" spans="1:14" s="7" customFormat="1" x14ac:dyDescent="0.45">
      <c r="A333" s="7" t="s">
        <v>1157</v>
      </c>
      <c r="B333" s="7" t="s">
        <v>8</v>
      </c>
      <c r="C333" s="7" t="s">
        <v>1158</v>
      </c>
      <c r="E333" s="7" t="s">
        <v>8</v>
      </c>
      <c r="F333" s="7" t="s">
        <v>1159</v>
      </c>
      <c r="H333" s="7" t="s">
        <v>240</v>
      </c>
      <c r="I333" s="7" t="s">
        <v>8</v>
      </c>
      <c r="J333" s="7" t="s">
        <v>561</v>
      </c>
      <c r="K333" s="7" t="b">
        <v>0</v>
      </c>
    </row>
    <row r="334" spans="1:14" x14ac:dyDescent="0.45">
      <c r="A334" t="s">
        <v>245</v>
      </c>
      <c r="B334" t="s">
        <v>8</v>
      </c>
      <c r="C334" t="s">
        <v>10</v>
      </c>
      <c r="E334" t="s">
        <v>8</v>
      </c>
      <c r="F334" s="1" t="s">
        <v>212</v>
      </c>
      <c r="G334" s="1"/>
      <c r="H334" t="s">
        <v>241</v>
      </c>
      <c r="I334" t="s">
        <v>8</v>
      </c>
      <c r="J334" t="s">
        <v>11</v>
      </c>
      <c r="K334" t="b">
        <v>0</v>
      </c>
      <c r="M334">
        <v>1905.4607179632401</v>
      </c>
      <c r="N334">
        <v>0.70287954625389104</v>
      </c>
    </row>
    <row r="335" spans="1:14" x14ac:dyDescent="0.45">
      <c r="A335" t="s">
        <v>13</v>
      </c>
      <c r="B335" t="s">
        <v>8</v>
      </c>
      <c r="C335" t="s">
        <v>82</v>
      </c>
      <c r="E335" t="s">
        <v>8</v>
      </c>
      <c r="F335" s="1" t="s">
        <v>82</v>
      </c>
      <c r="G335" s="1"/>
      <c r="H335" t="s">
        <v>241</v>
      </c>
      <c r="I335" t="s">
        <v>8</v>
      </c>
      <c r="J335" t="s">
        <v>14</v>
      </c>
      <c r="K335" t="b">
        <v>0</v>
      </c>
      <c r="M335">
        <v>255.07427837113499</v>
      </c>
      <c r="N335">
        <v>9.4090889070745504E-2</v>
      </c>
    </row>
    <row r="336" spans="1:14" x14ac:dyDescent="0.45">
      <c r="A336" t="s">
        <v>76</v>
      </c>
      <c r="B336" t="s">
        <v>8</v>
      </c>
      <c r="C336" t="s">
        <v>77</v>
      </c>
      <c r="E336" t="s">
        <v>8</v>
      </c>
      <c r="F336" s="1" t="s">
        <v>77</v>
      </c>
      <c r="G336" s="1"/>
      <c r="H336" t="s">
        <v>241</v>
      </c>
      <c r="I336" t="s">
        <v>8</v>
      </c>
      <c r="J336" t="s">
        <v>14</v>
      </c>
      <c r="K336" t="b">
        <v>0</v>
      </c>
      <c r="M336">
        <v>156.074996309211</v>
      </c>
      <c r="N336">
        <v>5.7572387377608503E-2</v>
      </c>
    </row>
    <row r="337" spans="1:14" x14ac:dyDescent="0.45">
      <c r="A337" t="s">
        <v>793</v>
      </c>
      <c r="B337" t="s">
        <v>407</v>
      </c>
      <c r="C337" t="s">
        <v>468</v>
      </c>
      <c r="E337" t="s">
        <v>407</v>
      </c>
      <c r="F337" s="1" t="s">
        <v>469</v>
      </c>
      <c r="G337" s="1"/>
      <c r="H337" t="s">
        <v>240</v>
      </c>
      <c r="I337" t="s">
        <v>407</v>
      </c>
      <c r="J337" t="s">
        <v>334</v>
      </c>
      <c r="K337" t="b">
        <v>0</v>
      </c>
      <c r="M337">
        <v>4713.3895361573996</v>
      </c>
      <c r="N337">
        <v>1.7386583030866001</v>
      </c>
    </row>
    <row r="338" spans="1:14" x14ac:dyDescent="0.45">
      <c r="A338" s="4" t="s">
        <v>868</v>
      </c>
      <c r="B338" t="s">
        <v>8</v>
      </c>
      <c r="C338" t="s">
        <v>869</v>
      </c>
      <c r="E338" t="s">
        <v>8</v>
      </c>
      <c r="F338" t="s">
        <v>871</v>
      </c>
      <c r="G338" t="s">
        <v>870</v>
      </c>
      <c r="H338" t="s">
        <v>240</v>
      </c>
      <c r="I338" t="s">
        <v>8</v>
      </c>
      <c r="J338" t="s">
        <v>334</v>
      </c>
      <c r="K338" t="b">
        <v>0</v>
      </c>
    </row>
    <row r="339" spans="1:14" x14ac:dyDescent="0.45">
      <c r="A339" t="s">
        <v>616</v>
      </c>
      <c r="B339" t="s">
        <v>8</v>
      </c>
      <c r="C339" t="s">
        <v>617</v>
      </c>
      <c r="E339" t="s">
        <v>8</v>
      </c>
      <c r="F339" t="s">
        <v>618</v>
      </c>
      <c r="G339" t="s">
        <v>625</v>
      </c>
      <c r="H339" t="s">
        <v>240</v>
      </c>
      <c r="I339" t="s">
        <v>8</v>
      </c>
      <c r="J339" t="s">
        <v>620</v>
      </c>
      <c r="K339" t="b">
        <v>0</v>
      </c>
      <c r="M339">
        <v>429.86623470822701</v>
      </c>
      <c r="N339">
        <v>0.158567521835113</v>
      </c>
    </row>
    <row r="340" spans="1:14" x14ac:dyDescent="0.45">
      <c r="A340" t="s">
        <v>549</v>
      </c>
      <c r="B340" t="s">
        <v>8</v>
      </c>
      <c r="C340" t="s">
        <v>550</v>
      </c>
      <c r="E340" t="s">
        <v>8</v>
      </c>
      <c r="F340" t="s">
        <v>551</v>
      </c>
      <c r="H340" t="s">
        <v>240</v>
      </c>
      <c r="I340" t="s">
        <v>8</v>
      </c>
      <c r="J340" t="s">
        <v>333</v>
      </c>
      <c r="K340" t="b">
        <v>0</v>
      </c>
      <c r="M340">
        <v>1711.3283041617699</v>
      </c>
      <c r="N340">
        <v>0.63126867459456804</v>
      </c>
    </row>
    <row r="341" spans="1:14" x14ac:dyDescent="0.45">
      <c r="A341" t="s">
        <v>329</v>
      </c>
      <c r="B341" t="s">
        <v>8</v>
      </c>
      <c r="C341" t="s">
        <v>330</v>
      </c>
      <c r="E341" t="s">
        <v>8</v>
      </c>
      <c r="F341" t="s">
        <v>356</v>
      </c>
      <c r="H341" t="s">
        <v>241</v>
      </c>
      <c r="I341" t="s">
        <v>8</v>
      </c>
      <c r="J341" t="s">
        <v>165</v>
      </c>
      <c r="K341" t="b">
        <v>0</v>
      </c>
      <c r="M341">
        <v>331.13112148259103</v>
      </c>
      <c r="N341">
        <v>0.122146465799099</v>
      </c>
    </row>
    <row r="342" spans="1:14" x14ac:dyDescent="0.45">
      <c r="A342" s="4" t="s">
        <v>665</v>
      </c>
      <c r="B342" t="s">
        <v>8</v>
      </c>
      <c r="C342" t="s">
        <v>666</v>
      </c>
      <c r="E342" t="s">
        <v>8</v>
      </c>
      <c r="F342" t="s">
        <v>667</v>
      </c>
      <c r="H342" t="s">
        <v>240</v>
      </c>
      <c r="I342" t="s">
        <v>8</v>
      </c>
      <c r="J342" t="s">
        <v>165</v>
      </c>
      <c r="K342" t="b">
        <v>0</v>
      </c>
      <c r="L342" t="s">
        <v>648</v>
      </c>
      <c r="M342">
        <v>1096.47819614318</v>
      </c>
      <c r="N342">
        <v>0.40446496205190802</v>
      </c>
    </row>
    <row r="343" spans="1:14" x14ac:dyDescent="0.45">
      <c r="A343" s="4" t="s">
        <v>665</v>
      </c>
      <c r="B343" t="s">
        <v>8</v>
      </c>
      <c r="C343" t="s">
        <v>666</v>
      </c>
      <c r="E343" t="s">
        <v>8</v>
      </c>
      <c r="F343" t="s">
        <v>668</v>
      </c>
      <c r="H343" t="s">
        <v>240</v>
      </c>
      <c r="I343" t="s">
        <v>8</v>
      </c>
      <c r="J343" t="s">
        <v>165</v>
      </c>
      <c r="K343" t="b">
        <v>0</v>
      </c>
      <c r="L343" t="s">
        <v>648</v>
      </c>
      <c r="M343">
        <v>1096.47819614318</v>
      </c>
      <c r="N343">
        <v>0.40446496205190802</v>
      </c>
    </row>
    <row r="344" spans="1:14" x14ac:dyDescent="0.45">
      <c r="A344" t="s">
        <v>747</v>
      </c>
      <c r="B344" t="s">
        <v>8</v>
      </c>
      <c r="C344" t="s">
        <v>748</v>
      </c>
      <c r="E344" t="s">
        <v>16</v>
      </c>
      <c r="F344" s="1" t="s">
        <v>667</v>
      </c>
      <c r="G344" s="1"/>
      <c r="H344" t="s">
        <v>240</v>
      </c>
      <c r="I344" t="s">
        <v>16</v>
      </c>
      <c r="J344" t="s">
        <v>14</v>
      </c>
      <c r="K344" t="b">
        <v>0</v>
      </c>
      <c r="M344">
        <v>1220.86225405907</v>
      </c>
      <c r="N344">
        <v>0.45034730922650001</v>
      </c>
    </row>
    <row r="345" spans="1:14" x14ac:dyDescent="0.45">
      <c r="A345" t="s">
        <v>79</v>
      </c>
      <c r="B345" t="s">
        <v>16</v>
      </c>
      <c r="C345" t="s">
        <v>78</v>
      </c>
      <c r="E345" t="s">
        <v>16</v>
      </c>
      <c r="F345" s="1" t="s">
        <v>222</v>
      </c>
      <c r="G345" s="1"/>
      <c r="H345" t="s">
        <v>240</v>
      </c>
      <c r="I345" t="s">
        <v>16</v>
      </c>
      <c r="J345" t="s">
        <v>14</v>
      </c>
      <c r="K345" t="b">
        <v>0</v>
      </c>
      <c r="M345">
        <v>1096.47819614318</v>
      </c>
      <c r="N345">
        <v>0.40446496205190802</v>
      </c>
    </row>
    <row r="346" spans="1:14" x14ac:dyDescent="0.45">
      <c r="A346" t="s">
        <v>160</v>
      </c>
      <c r="B346" t="s">
        <v>8</v>
      </c>
      <c r="C346" t="s">
        <v>159</v>
      </c>
      <c r="E346" t="s">
        <v>8</v>
      </c>
      <c r="F346" s="1" t="s">
        <v>197</v>
      </c>
      <c r="G346" s="1"/>
      <c r="H346" t="s">
        <v>241</v>
      </c>
      <c r="I346" t="s">
        <v>8</v>
      </c>
      <c r="J346" t="s">
        <v>165</v>
      </c>
      <c r="K346" t="b">
        <v>0</v>
      </c>
      <c r="M346">
        <v>404.265487362344</v>
      </c>
      <c r="N346">
        <v>0.14912400956083799</v>
      </c>
    </row>
    <row r="347" spans="1:14" x14ac:dyDescent="0.45">
      <c r="A347" t="s">
        <v>311</v>
      </c>
      <c r="B347" t="s">
        <v>8</v>
      </c>
      <c r="C347" t="s">
        <v>437</v>
      </c>
      <c r="E347" t="s">
        <v>407</v>
      </c>
      <c r="F347" t="s">
        <v>436</v>
      </c>
      <c r="H347" t="s">
        <v>241</v>
      </c>
      <c r="I347" t="s">
        <v>407</v>
      </c>
      <c r="J347" t="s">
        <v>332</v>
      </c>
      <c r="K347" t="b">
        <v>0</v>
      </c>
      <c r="M347">
        <v>212.161543689268</v>
      </c>
      <c r="N347">
        <v>7.8261392719886302E-2</v>
      </c>
    </row>
    <row r="348" spans="1:14" x14ac:dyDescent="0.45">
      <c r="A348" t="s">
        <v>259</v>
      </c>
      <c r="B348" t="s">
        <v>8</v>
      </c>
      <c r="C348" t="s">
        <v>260</v>
      </c>
      <c r="E348" t="s">
        <v>8</v>
      </c>
      <c r="F348" t="s">
        <v>390</v>
      </c>
      <c r="H348" t="s">
        <v>240</v>
      </c>
      <c r="I348" t="s">
        <v>8</v>
      </c>
      <c r="J348" t="s">
        <v>7</v>
      </c>
      <c r="K348" t="b">
        <v>0</v>
      </c>
      <c r="M348">
        <v>1148.1536214968801</v>
      </c>
      <c r="N348">
        <v>0.42352680845087698</v>
      </c>
    </row>
    <row r="349" spans="1:14" x14ac:dyDescent="0.45">
      <c r="A349" s="4" t="s">
        <v>816</v>
      </c>
      <c r="B349" t="s">
        <v>8</v>
      </c>
      <c r="C349" t="s">
        <v>817</v>
      </c>
      <c r="E349" t="s">
        <v>8</v>
      </c>
      <c r="F349" s="1" t="s">
        <v>818</v>
      </c>
      <c r="G349" s="1"/>
      <c r="H349" t="s">
        <v>240</v>
      </c>
      <c r="I349" t="s">
        <v>8</v>
      </c>
      <c r="J349" t="s">
        <v>447</v>
      </c>
      <c r="K349" t="b">
        <v>0</v>
      </c>
    </row>
    <row r="350" spans="1:14" x14ac:dyDescent="0.45">
      <c r="A350" t="s">
        <v>787</v>
      </c>
      <c r="B350" t="s">
        <v>8</v>
      </c>
      <c r="C350" t="s">
        <v>251</v>
      </c>
      <c r="E350" t="s">
        <v>8</v>
      </c>
      <c r="F350" s="1" t="s">
        <v>251</v>
      </c>
      <c r="G350" s="1"/>
      <c r="H350" t="s">
        <v>241</v>
      </c>
      <c r="I350" t="s">
        <v>8</v>
      </c>
      <c r="J350" t="s">
        <v>11</v>
      </c>
      <c r="K350" t="b">
        <v>0</v>
      </c>
      <c r="M350">
        <v>352.100520168451</v>
      </c>
      <c r="N350">
        <v>0.12988158271575201</v>
      </c>
    </row>
    <row r="351" spans="1:14" x14ac:dyDescent="0.45">
      <c r="A351" t="s">
        <v>1160</v>
      </c>
      <c r="B351" t="s">
        <v>8</v>
      </c>
      <c r="C351" t="s">
        <v>464</v>
      </c>
      <c r="E351" t="s">
        <v>8</v>
      </c>
      <c r="F351" s="1" t="s">
        <v>1161</v>
      </c>
      <c r="G351" s="1"/>
      <c r="H351" t="s">
        <v>240</v>
      </c>
      <c r="I351" t="s">
        <v>8</v>
      </c>
      <c r="J351" t="s">
        <v>464</v>
      </c>
      <c r="K351" t="b">
        <v>0</v>
      </c>
      <c r="L351" t="s">
        <v>1162</v>
      </c>
    </row>
    <row r="352" spans="1:14" x14ac:dyDescent="0.45">
      <c r="A352" t="s">
        <v>555</v>
      </c>
      <c r="B352" t="s">
        <v>16</v>
      </c>
      <c r="C352" t="s">
        <v>556</v>
      </c>
      <c r="E352" t="s">
        <v>16</v>
      </c>
      <c r="F352" t="s">
        <v>557</v>
      </c>
      <c r="H352" t="s">
        <v>241</v>
      </c>
      <c r="I352" t="s">
        <v>8</v>
      </c>
      <c r="J352" t="s">
        <v>333</v>
      </c>
      <c r="K352" t="b">
        <v>0</v>
      </c>
      <c r="M352">
        <v>374.39783898238102</v>
      </c>
      <c r="N352">
        <v>0.13810653806794901</v>
      </c>
    </row>
    <row r="353" spans="1:14" x14ac:dyDescent="0.45">
      <c r="A353" s="4" t="s">
        <v>905</v>
      </c>
      <c r="B353" t="s">
        <v>8</v>
      </c>
      <c r="C353" t="s">
        <v>906</v>
      </c>
      <c r="E353" t="s">
        <v>8</v>
      </c>
      <c r="F353" s="1" t="s">
        <v>175</v>
      </c>
      <c r="G353" s="1"/>
      <c r="H353" t="s">
        <v>241</v>
      </c>
      <c r="I353" t="s">
        <v>8</v>
      </c>
      <c r="J353" t="s">
        <v>11</v>
      </c>
      <c r="K353" t="b">
        <v>0</v>
      </c>
      <c r="L353" t="s">
        <v>907</v>
      </c>
    </row>
    <row r="354" spans="1:14" x14ac:dyDescent="0.45">
      <c r="A354" t="s">
        <v>778</v>
      </c>
      <c r="B354" t="s">
        <v>8</v>
      </c>
      <c r="C354" t="s">
        <v>275</v>
      </c>
      <c r="E354" t="s">
        <v>8</v>
      </c>
      <c r="F354" t="s">
        <v>357</v>
      </c>
      <c r="H354" t="s">
        <v>241</v>
      </c>
      <c r="I354" t="s">
        <v>8</v>
      </c>
      <c r="J354" t="s">
        <v>165</v>
      </c>
      <c r="K354" t="b">
        <v>0</v>
      </c>
      <c r="M354">
        <v>160.940989326253</v>
      </c>
      <c r="N354">
        <v>5.9367337507857998E-2</v>
      </c>
    </row>
    <row r="355" spans="1:14" x14ac:dyDescent="0.45">
      <c r="A355" t="s">
        <v>779</v>
      </c>
      <c r="B355" t="s">
        <v>8</v>
      </c>
      <c r="C355" t="s">
        <v>275</v>
      </c>
      <c r="E355" t="s">
        <v>8</v>
      </c>
      <c r="F355" t="s">
        <v>357</v>
      </c>
      <c r="H355" t="s">
        <v>241</v>
      </c>
      <c r="I355" t="s">
        <v>8</v>
      </c>
      <c r="J355" t="s">
        <v>165</v>
      </c>
      <c r="K355" t="b">
        <v>0</v>
      </c>
      <c r="M355">
        <v>160.940989326253</v>
      </c>
      <c r="N355">
        <v>5.9367337507857998E-2</v>
      </c>
    </row>
    <row r="356" spans="1:14" x14ac:dyDescent="0.45">
      <c r="A356" t="s">
        <v>1163</v>
      </c>
      <c r="B356" t="s">
        <v>8</v>
      </c>
      <c r="C356" t="s">
        <v>1164</v>
      </c>
      <c r="E356" t="s">
        <v>8</v>
      </c>
      <c r="F356" t="s">
        <v>1165</v>
      </c>
      <c r="H356" t="s">
        <v>240</v>
      </c>
      <c r="I356" t="s">
        <v>8</v>
      </c>
      <c r="J356" t="s">
        <v>165</v>
      </c>
      <c r="K356" t="b">
        <v>0</v>
      </c>
    </row>
    <row r="357" spans="1:14" x14ac:dyDescent="0.45">
      <c r="A357" t="s">
        <v>788</v>
      </c>
      <c r="B357" t="s">
        <v>8</v>
      </c>
      <c r="C357" t="s">
        <v>306</v>
      </c>
      <c r="E357" t="s">
        <v>8</v>
      </c>
      <c r="F357" s="1" t="s">
        <v>376</v>
      </c>
      <c r="G357" s="1"/>
      <c r="H357" t="s">
        <v>241</v>
      </c>
      <c r="I357" t="s">
        <v>8</v>
      </c>
      <c r="J357" t="s">
        <v>11</v>
      </c>
      <c r="K357" t="b">
        <v>0</v>
      </c>
      <c r="M357">
        <v>436.51583224016599</v>
      </c>
      <c r="N357">
        <v>0.16102040163051301</v>
      </c>
    </row>
    <row r="358" spans="1:14" x14ac:dyDescent="0.45">
      <c r="A358" t="s">
        <v>606</v>
      </c>
      <c r="B358" t="s">
        <v>8</v>
      </c>
      <c r="C358" t="s">
        <v>607</v>
      </c>
      <c r="D358" t="s">
        <v>647</v>
      </c>
      <c r="E358" t="s">
        <v>8</v>
      </c>
      <c r="F358" t="s">
        <v>608</v>
      </c>
      <c r="G358" t="s">
        <v>633</v>
      </c>
      <c r="H358" t="s">
        <v>240</v>
      </c>
      <c r="I358" t="s">
        <v>8</v>
      </c>
      <c r="J358" t="s">
        <v>620</v>
      </c>
      <c r="K358" t="b">
        <v>0</v>
      </c>
      <c r="L358" t="s">
        <v>609</v>
      </c>
      <c r="M358">
        <v>255.07427837113499</v>
      </c>
      <c r="N358">
        <v>9.4090889070745504E-2</v>
      </c>
    </row>
    <row r="359" spans="1:14" x14ac:dyDescent="0.45">
      <c r="A359" t="s">
        <v>780</v>
      </c>
      <c r="B359" t="s">
        <v>8</v>
      </c>
      <c r="C359" t="s">
        <v>52</v>
      </c>
      <c r="E359" t="s">
        <v>8</v>
      </c>
      <c r="F359" s="1" t="s">
        <v>198</v>
      </c>
      <c r="G359" s="1"/>
      <c r="H359" t="s">
        <v>241</v>
      </c>
      <c r="I359" t="s">
        <v>8</v>
      </c>
      <c r="J359" t="s">
        <v>165</v>
      </c>
      <c r="K359" t="b">
        <v>0</v>
      </c>
      <c r="M359">
        <v>133.86488420699899</v>
      </c>
      <c r="N359">
        <v>4.9379600525861003E-2</v>
      </c>
    </row>
    <row r="360" spans="1:14" x14ac:dyDescent="0.45">
      <c r="A360" t="s">
        <v>51</v>
      </c>
      <c r="B360" t="s">
        <v>8</v>
      </c>
      <c r="C360" t="s">
        <v>52</v>
      </c>
      <c r="E360" t="s">
        <v>8</v>
      </c>
      <c r="F360" s="1" t="s">
        <v>198</v>
      </c>
      <c r="G360" s="1"/>
      <c r="H360" t="s">
        <v>241</v>
      </c>
      <c r="I360" t="s">
        <v>8</v>
      </c>
      <c r="J360" t="s">
        <v>165</v>
      </c>
      <c r="K360" t="b">
        <v>0</v>
      </c>
      <c r="M360">
        <v>133.86488420699899</v>
      </c>
      <c r="N360">
        <v>4.9379600525861003E-2</v>
      </c>
    </row>
    <row r="361" spans="1:14" x14ac:dyDescent="0.45">
      <c r="A361" t="s">
        <v>554</v>
      </c>
      <c r="B361" t="s">
        <v>16</v>
      </c>
      <c r="C361" t="s">
        <v>552</v>
      </c>
      <c r="E361" t="s">
        <v>407</v>
      </c>
      <c r="F361" t="s">
        <v>553</v>
      </c>
      <c r="H361" t="s">
        <v>241</v>
      </c>
      <c r="I361" t="s">
        <v>8</v>
      </c>
      <c r="J361" t="s">
        <v>333</v>
      </c>
      <c r="K361" t="b">
        <v>0</v>
      </c>
      <c r="M361">
        <v>346.73685045253097</v>
      </c>
      <c r="N361">
        <v>0.12790305138176</v>
      </c>
    </row>
    <row r="362" spans="1:14" x14ac:dyDescent="0.45">
      <c r="A362" s="4" t="s">
        <v>919</v>
      </c>
      <c r="B362" t="s">
        <v>8</v>
      </c>
      <c r="C362" t="s">
        <v>920</v>
      </c>
      <c r="E362" t="s">
        <v>8</v>
      </c>
      <c r="F362" s="1" t="s">
        <v>922</v>
      </c>
      <c r="G362" s="1"/>
      <c r="H362" t="s">
        <v>240</v>
      </c>
      <c r="I362" t="s">
        <v>8</v>
      </c>
      <c r="J362" t="s">
        <v>332</v>
      </c>
      <c r="K362" t="b">
        <v>0</v>
      </c>
      <c r="L362" t="s">
        <v>921</v>
      </c>
    </row>
    <row r="363" spans="1:14" x14ac:dyDescent="0.45">
      <c r="A363" t="s">
        <v>5</v>
      </c>
      <c r="B363" t="s">
        <v>8</v>
      </c>
      <c r="C363" t="s">
        <v>6</v>
      </c>
      <c r="E363" t="s">
        <v>8</v>
      </c>
      <c r="F363" s="1" t="s">
        <v>235</v>
      </c>
      <c r="G363" s="1"/>
      <c r="H363" t="s">
        <v>241</v>
      </c>
      <c r="I363" t="s">
        <v>8</v>
      </c>
      <c r="J363" t="s">
        <v>7</v>
      </c>
      <c r="K363" t="b">
        <v>0</v>
      </c>
      <c r="M363">
        <v>3066.66733071318</v>
      </c>
      <c r="N363">
        <v>1.13122129551289</v>
      </c>
    </row>
    <row r="364" spans="1:14" x14ac:dyDescent="0.45">
      <c r="A364" t="s">
        <v>465</v>
      </c>
      <c r="B364" t="s">
        <v>8</v>
      </c>
      <c r="C364" t="s">
        <v>466</v>
      </c>
      <c r="E364" t="s">
        <v>407</v>
      </c>
      <c r="F364" s="1" t="s">
        <v>467</v>
      </c>
      <c r="G364" s="1"/>
      <c r="H364" t="s">
        <v>241</v>
      </c>
      <c r="I364" t="s">
        <v>407</v>
      </c>
      <c r="J364" t="s">
        <v>335</v>
      </c>
      <c r="K364" t="b">
        <v>0</v>
      </c>
      <c r="M364">
        <v>1584.8931924611099</v>
      </c>
      <c r="N364">
        <v>0.58462974202307105</v>
      </c>
    </row>
    <row r="365" spans="1:14" x14ac:dyDescent="0.45">
      <c r="A365" t="s">
        <v>252</v>
      </c>
      <c r="B365" t="s">
        <v>8</v>
      </c>
      <c r="C365" t="s">
        <v>253</v>
      </c>
      <c r="E365" t="s">
        <v>8</v>
      </c>
      <c r="F365" t="s">
        <v>368</v>
      </c>
      <c r="H365" t="s">
        <v>240</v>
      </c>
      <c r="I365" t="s">
        <v>8</v>
      </c>
      <c r="J365" t="s">
        <v>165</v>
      </c>
      <c r="K365" t="b">
        <v>0</v>
      </c>
      <c r="M365">
        <v>1584.8931924611099</v>
      </c>
      <c r="N365">
        <v>0.58462974202307105</v>
      </c>
    </row>
    <row r="366" spans="1:14" x14ac:dyDescent="0.45">
      <c r="A366" s="6" t="s">
        <v>840</v>
      </c>
      <c r="B366" t="s">
        <v>8</v>
      </c>
      <c r="C366" t="s">
        <v>842</v>
      </c>
      <c r="E366" t="s">
        <v>8</v>
      </c>
      <c r="F366" t="s">
        <v>858</v>
      </c>
      <c r="H366" t="s">
        <v>241</v>
      </c>
      <c r="I366" t="s">
        <v>8</v>
      </c>
      <c r="J366" t="s">
        <v>11</v>
      </c>
      <c r="K366" t="b">
        <v>0</v>
      </c>
    </row>
    <row r="367" spans="1:14" s="7" customFormat="1" x14ac:dyDescent="0.45">
      <c r="A367" s="7" t="s">
        <v>1123</v>
      </c>
      <c r="B367" s="7" t="s">
        <v>8</v>
      </c>
      <c r="C367" s="7" t="s">
        <v>1124</v>
      </c>
      <c r="E367" s="7" t="s">
        <v>8</v>
      </c>
      <c r="F367" s="8" t="s">
        <v>1125</v>
      </c>
      <c r="H367" s="7" t="s">
        <v>241</v>
      </c>
      <c r="I367" s="7" t="s">
        <v>8</v>
      </c>
      <c r="J367" s="7" t="s">
        <v>334</v>
      </c>
    </row>
    <row r="368" spans="1:14" x14ac:dyDescent="0.45">
      <c r="A368" s="4" t="s">
        <v>916</v>
      </c>
      <c r="B368" t="s">
        <v>8</v>
      </c>
      <c r="C368" t="s">
        <v>917</v>
      </c>
      <c r="E368" t="s">
        <v>8</v>
      </c>
      <c r="F368" s="1" t="s">
        <v>918</v>
      </c>
      <c r="G368" s="1"/>
      <c r="H368" t="s">
        <v>240</v>
      </c>
      <c r="I368" t="s">
        <v>8</v>
      </c>
      <c r="J368" t="s">
        <v>334</v>
      </c>
      <c r="K368" t="b">
        <v>0</v>
      </c>
    </row>
    <row r="369" spans="1:14" x14ac:dyDescent="0.45">
      <c r="A369" t="s">
        <v>781</v>
      </c>
      <c r="B369" t="s">
        <v>8</v>
      </c>
      <c r="C369" t="s">
        <v>336</v>
      </c>
      <c r="E369" t="s">
        <v>8</v>
      </c>
      <c r="F369" t="s">
        <v>369</v>
      </c>
      <c r="H369" t="s">
        <v>240</v>
      </c>
      <c r="I369" t="s">
        <v>8</v>
      </c>
      <c r="J369" t="s">
        <v>165</v>
      </c>
      <c r="K369" t="b">
        <v>0</v>
      </c>
      <c r="L369" t="s">
        <v>250</v>
      </c>
      <c r="M369">
        <v>326.08688591189298</v>
      </c>
      <c r="N369">
        <v>0.120285766192067</v>
      </c>
    </row>
    <row r="370" spans="1:14" x14ac:dyDescent="0.45">
      <c r="A370" s="6" t="s">
        <v>893</v>
      </c>
      <c r="B370" t="s">
        <v>8</v>
      </c>
      <c r="C370" t="s">
        <v>847</v>
      </c>
      <c r="E370" t="s">
        <v>8</v>
      </c>
      <c r="F370" t="s">
        <v>862</v>
      </c>
      <c r="H370" t="s">
        <v>241</v>
      </c>
      <c r="I370" t="s">
        <v>8</v>
      </c>
      <c r="K370" t="b">
        <v>0</v>
      </c>
    </row>
    <row r="371" spans="1:14" x14ac:dyDescent="0.45">
      <c r="A371" t="s">
        <v>300</v>
      </c>
      <c r="B371" t="s">
        <v>8</v>
      </c>
      <c r="C371" t="s">
        <v>419</v>
      </c>
      <c r="E371" t="s">
        <v>8</v>
      </c>
      <c r="F371" s="1" t="s">
        <v>424</v>
      </c>
      <c r="G371" s="1"/>
      <c r="H371" t="s">
        <v>240</v>
      </c>
      <c r="I371" t="s">
        <v>8</v>
      </c>
      <c r="J371" t="s">
        <v>334</v>
      </c>
      <c r="K371" t="b">
        <v>0</v>
      </c>
      <c r="M371">
        <v>7585.7757502918403</v>
      </c>
      <c r="N371">
        <v>2.7982138739906302</v>
      </c>
    </row>
    <row r="372" spans="1:14" x14ac:dyDescent="0.45">
      <c r="A372" t="s">
        <v>888</v>
      </c>
      <c r="B372" t="s">
        <v>8</v>
      </c>
      <c r="C372" t="s">
        <v>419</v>
      </c>
      <c r="E372" t="s">
        <v>8</v>
      </c>
      <c r="F372" s="1" t="s">
        <v>887</v>
      </c>
      <c r="H372" t="s">
        <v>240</v>
      </c>
      <c r="I372" t="s">
        <v>8</v>
      </c>
      <c r="J372" t="s">
        <v>334</v>
      </c>
      <c r="K372" t="b">
        <v>0</v>
      </c>
    </row>
    <row r="373" spans="1:14" x14ac:dyDescent="0.45">
      <c r="A373" t="s">
        <v>804</v>
      </c>
      <c r="B373" t="s">
        <v>8</v>
      </c>
      <c r="C373" t="s">
        <v>304</v>
      </c>
      <c r="E373" t="s">
        <v>8</v>
      </c>
      <c r="F373" t="s">
        <v>394</v>
      </c>
      <c r="H373" t="s">
        <v>241</v>
      </c>
      <c r="I373" t="s">
        <v>8</v>
      </c>
      <c r="J373" t="s">
        <v>333</v>
      </c>
      <c r="K373" t="b">
        <v>0</v>
      </c>
      <c r="M373">
        <v>208.92961308540299</v>
      </c>
      <c r="N373">
        <v>7.7069209698240701E-2</v>
      </c>
    </row>
    <row r="374" spans="1:14" x14ac:dyDescent="0.45">
      <c r="A374" t="s">
        <v>1121</v>
      </c>
      <c r="B374" t="s">
        <v>8</v>
      </c>
      <c r="C374" t="s">
        <v>1122</v>
      </c>
      <c r="E374" t="s">
        <v>8</v>
      </c>
      <c r="F374" t="s">
        <v>1122</v>
      </c>
      <c r="H374" t="s">
        <v>240</v>
      </c>
      <c r="I374" t="s">
        <v>8</v>
      </c>
      <c r="J374" t="s">
        <v>335</v>
      </c>
      <c r="K374" t="b">
        <v>0</v>
      </c>
    </row>
    <row r="375" spans="1:14" x14ac:dyDescent="0.45">
      <c r="A375" t="s">
        <v>688</v>
      </c>
      <c r="B375" t="s">
        <v>8</v>
      </c>
      <c r="C375" t="s">
        <v>687</v>
      </c>
      <c r="E375" t="s">
        <v>8</v>
      </c>
      <c r="F375" t="s">
        <v>689</v>
      </c>
      <c r="H375" t="s">
        <v>241</v>
      </c>
      <c r="I375" t="s">
        <v>8</v>
      </c>
      <c r="J375" t="s">
        <v>165</v>
      </c>
      <c r="K375" t="b">
        <v>0</v>
      </c>
      <c r="M375">
        <v>184.78497974222901</v>
      </c>
      <c r="N375">
        <v>6.8162823558274896E-2</v>
      </c>
    </row>
  </sheetData>
  <autoFilter ref="A1:N349" xr:uid="{E001EA36-45B7-49F2-A87F-BEB029C70AB9}">
    <sortState xmlns:xlrd2="http://schemas.microsoft.com/office/spreadsheetml/2017/richdata2" ref="A2:N372">
      <sortCondition ref="C1:C349"/>
    </sortState>
  </autoFilter>
  <sortState xmlns:xlrd2="http://schemas.microsoft.com/office/spreadsheetml/2017/richdata2" ref="A2:N350">
    <sortCondition ref="J2:J350"/>
    <sortCondition ref="C2:C35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837C-D0F6-42C7-BEAD-6EE4F4E8DE76}">
  <dimension ref="A1:K10"/>
  <sheetViews>
    <sheetView workbookViewId="0">
      <selection activeCell="E10" sqref="E10"/>
    </sheetView>
  </sheetViews>
  <sheetFormatPr defaultRowHeight="14.25" x14ac:dyDescent="0.45"/>
  <cols>
    <col min="1" max="6" width="25.19921875" customWidth="1"/>
    <col min="9" max="9" width="14.1328125" customWidth="1"/>
    <col min="11" max="11" width="31.46484375" customWidth="1"/>
  </cols>
  <sheetData>
    <row r="1" spans="1:11" x14ac:dyDescent="0.45">
      <c r="A1" t="s">
        <v>0</v>
      </c>
      <c r="B1" t="s">
        <v>520</v>
      </c>
      <c r="C1" t="s">
        <v>1</v>
      </c>
      <c r="D1" t="s">
        <v>521</v>
      </c>
      <c r="E1" s="2" t="s">
        <v>168</v>
      </c>
      <c r="F1" s="2" t="s">
        <v>621</v>
      </c>
      <c r="G1" t="s">
        <v>239</v>
      </c>
      <c r="H1" t="s">
        <v>522</v>
      </c>
      <c r="I1" t="s">
        <v>2</v>
      </c>
      <c r="J1" t="s">
        <v>3</v>
      </c>
      <c r="K1" t="s">
        <v>4</v>
      </c>
    </row>
    <row r="2" spans="1:11" ht="15.75" x14ac:dyDescent="0.45">
      <c r="A2" t="s">
        <v>704</v>
      </c>
      <c r="C2" s="5" t="s">
        <v>712</v>
      </c>
      <c r="D2" s="5"/>
      <c r="E2" s="5" t="s">
        <v>705</v>
      </c>
      <c r="F2" s="5" t="s">
        <v>709</v>
      </c>
      <c r="H2" s="5"/>
    </row>
    <row r="3" spans="1:11" ht="15.75" x14ac:dyDescent="0.45">
      <c r="A3" t="s">
        <v>719</v>
      </c>
      <c r="C3" s="5" t="s">
        <v>716</v>
      </c>
      <c r="E3" s="5" t="s">
        <v>717</v>
      </c>
      <c r="F3" s="5" t="s">
        <v>718</v>
      </c>
      <c r="H3" s="5"/>
    </row>
    <row r="4" spans="1:11" ht="15.75" x14ac:dyDescent="0.45">
      <c r="A4" t="s">
        <v>723</v>
      </c>
      <c r="C4" s="5" t="s">
        <v>720</v>
      </c>
      <c r="D4" s="5"/>
      <c r="E4" s="5" t="s">
        <v>721</v>
      </c>
      <c r="F4" s="5" t="s">
        <v>722</v>
      </c>
      <c r="H4" s="5"/>
    </row>
    <row r="5" spans="1:11" ht="15.75" x14ac:dyDescent="0.45">
      <c r="C5" s="5" t="s">
        <v>600</v>
      </c>
      <c r="D5" s="5"/>
      <c r="E5" s="5" t="s">
        <v>602</v>
      </c>
      <c r="F5" s="5" t="s">
        <v>602</v>
      </c>
      <c r="H5" s="5"/>
    </row>
    <row r="6" spans="1:11" ht="15.75" x14ac:dyDescent="0.45">
      <c r="C6" s="5" t="s">
        <v>713</v>
      </c>
      <c r="D6" s="5"/>
      <c r="E6" s="5" t="s">
        <v>706</v>
      </c>
      <c r="F6" s="5" t="s">
        <v>710</v>
      </c>
      <c r="H6" s="5"/>
    </row>
    <row r="7" spans="1:11" ht="15.75" x14ac:dyDescent="0.45">
      <c r="C7" s="5" t="s">
        <v>714</v>
      </c>
      <c r="D7" s="5"/>
      <c r="E7" s="5" t="s">
        <v>707</v>
      </c>
      <c r="F7" s="5" t="s">
        <v>711</v>
      </c>
      <c r="H7" s="5"/>
    </row>
    <row r="8" spans="1:11" ht="15.75" x14ac:dyDescent="0.45">
      <c r="C8" s="5" t="s">
        <v>715</v>
      </c>
      <c r="D8" s="5"/>
      <c r="E8" s="5" t="s">
        <v>708</v>
      </c>
      <c r="F8" s="5" t="s">
        <v>708</v>
      </c>
      <c r="H8" s="5"/>
    </row>
    <row r="9" spans="1:11" ht="15.75" x14ac:dyDescent="0.45">
      <c r="C9" s="5" t="s">
        <v>617</v>
      </c>
      <c r="D9" s="5"/>
      <c r="E9" s="5" t="s">
        <v>618</v>
      </c>
      <c r="F9" s="5" t="s">
        <v>625</v>
      </c>
      <c r="H9" s="5"/>
    </row>
    <row r="10" spans="1:11" ht="15.75" x14ac:dyDescent="0.45">
      <c r="C10" s="5" t="s">
        <v>727</v>
      </c>
      <c r="E10" s="4" t="str">
        <f>LOWER(_xlfn.TRANSLATE(C10,"en","es"))</f>
        <v>escritor</v>
      </c>
    </row>
  </sheetData>
  <autoFilter ref="A1:K13" xr:uid="{9E42837C-D0F6-42C7-BEAD-6EE4F4E8DE76}">
    <sortState xmlns:xlrd2="http://schemas.microsoft.com/office/spreadsheetml/2017/richdata2" ref="A2:K9">
      <sortCondition ref="C1:C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E9AE-6897-4771-8FBD-7FC4E0EBCAB7}">
  <dimension ref="A1:A27"/>
  <sheetViews>
    <sheetView workbookViewId="0">
      <selection activeCell="A19" sqref="A19"/>
    </sheetView>
  </sheetViews>
  <sheetFormatPr defaultRowHeight="14.25" x14ac:dyDescent="0.45"/>
  <cols>
    <col min="1" max="1" width="25.53125" customWidth="1"/>
  </cols>
  <sheetData>
    <row r="1" spans="1:1" x14ac:dyDescent="0.45">
      <c r="A1" s="3" t="s">
        <v>2</v>
      </c>
    </row>
    <row r="2" spans="1:1" x14ac:dyDescent="0.45">
      <c r="A2" t="s">
        <v>167</v>
      </c>
    </row>
    <row r="3" spans="1:1" x14ac:dyDescent="0.45">
      <c r="A3" t="s">
        <v>165</v>
      </c>
    </row>
    <row r="4" spans="1:1" x14ac:dyDescent="0.45">
      <c r="A4" t="s">
        <v>19</v>
      </c>
    </row>
    <row r="5" spans="1:1" x14ac:dyDescent="0.45">
      <c r="A5" t="s">
        <v>446</v>
      </c>
    </row>
    <row r="6" spans="1:1" x14ac:dyDescent="0.45">
      <c r="A6" t="s">
        <v>11</v>
      </c>
    </row>
    <row r="7" spans="1:1" x14ac:dyDescent="0.45">
      <c r="A7" t="s">
        <v>442</v>
      </c>
    </row>
    <row r="8" spans="1:1" x14ac:dyDescent="0.45">
      <c r="A8" t="s">
        <v>447</v>
      </c>
    </row>
    <row r="9" spans="1:1" x14ac:dyDescent="0.45">
      <c r="A9" t="s">
        <v>529</v>
      </c>
    </row>
    <row r="10" spans="1:1" x14ac:dyDescent="0.45">
      <c r="A10" t="s">
        <v>448</v>
      </c>
    </row>
    <row r="11" spans="1:1" x14ac:dyDescent="0.45">
      <c r="A11" t="s">
        <v>331</v>
      </c>
    </row>
    <row r="12" spans="1:1" x14ac:dyDescent="0.45">
      <c r="A12" t="s">
        <v>645</v>
      </c>
    </row>
    <row r="13" spans="1:1" x14ac:dyDescent="0.45">
      <c r="A13" t="s">
        <v>14</v>
      </c>
    </row>
    <row r="14" spans="1:1" x14ac:dyDescent="0.45">
      <c r="A14" t="s">
        <v>335</v>
      </c>
    </row>
    <row r="15" spans="1:1" x14ac:dyDescent="0.45">
      <c r="A15" t="s">
        <v>334</v>
      </c>
    </row>
    <row r="16" spans="1:1" x14ac:dyDescent="0.45">
      <c r="A16" t="s">
        <v>426</v>
      </c>
    </row>
    <row r="17" spans="1:1" x14ac:dyDescent="0.45">
      <c r="A17" t="s">
        <v>7</v>
      </c>
    </row>
    <row r="18" spans="1:1" x14ac:dyDescent="0.45">
      <c r="A18" t="s">
        <v>620</v>
      </c>
    </row>
    <row r="19" spans="1:1" x14ac:dyDescent="0.45">
      <c r="A19" t="s">
        <v>449</v>
      </c>
    </row>
    <row r="20" spans="1:1" x14ac:dyDescent="0.45">
      <c r="A20" t="s">
        <v>89</v>
      </c>
    </row>
    <row r="21" spans="1:1" x14ac:dyDescent="0.45">
      <c r="A21" t="s">
        <v>333</v>
      </c>
    </row>
    <row r="22" spans="1:1" x14ac:dyDescent="0.45">
      <c r="A22" t="s">
        <v>938</v>
      </c>
    </row>
    <row r="23" spans="1:1" x14ac:dyDescent="0.45">
      <c r="A23" t="s">
        <v>15</v>
      </c>
    </row>
    <row r="24" spans="1:1" x14ac:dyDescent="0.45">
      <c r="A24" t="s">
        <v>332</v>
      </c>
    </row>
    <row r="25" spans="1:1" x14ac:dyDescent="0.45">
      <c r="A25" t="s">
        <v>561</v>
      </c>
    </row>
    <row r="26" spans="1:1" x14ac:dyDescent="0.45">
      <c r="A26" t="s">
        <v>464</v>
      </c>
    </row>
    <row r="27" spans="1:1" x14ac:dyDescent="0.45">
      <c r="A27" t="s">
        <v>450</v>
      </c>
    </row>
  </sheetData>
  <autoFilter ref="A1:A41" xr:uid="{94DDC2B7-6A6C-468A-B0F8-A7B7CABF1E4F}">
    <sortState xmlns:xlrd2="http://schemas.microsoft.com/office/spreadsheetml/2017/richdata2" ref="A2:A41">
      <sortCondition ref="A1:A4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33C1-7AA0-4C7B-8661-1EFF1F5128C8}">
  <dimension ref="A1:B26"/>
  <sheetViews>
    <sheetView workbookViewId="0">
      <selection activeCell="B20" sqref="B20:B22"/>
    </sheetView>
  </sheetViews>
  <sheetFormatPr defaultRowHeight="14.25" x14ac:dyDescent="0.45"/>
  <cols>
    <col min="1" max="1" width="19.46484375" customWidth="1"/>
  </cols>
  <sheetData>
    <row r="1" spans="1:2" x14ac:dyDescent="0.45">
      <c r="A1" s="3" t="s">
        <v>2</v>
      </c>
    </row>
    <row r="2" spans="1:2" x14ac:dyDescent="0.45">
      <c r="A2" t="s">
        <v>167</v>
      </c>
      <c r="B2">
        <f>COUNTIF(semantics_nouns!J:J,Classes_count!A2)</f>
        <v>14</v>
      </c>
    </row>
    <row r="3" spans="1:2" x14ac:dyDescent="0.45">
      <c r="A3" t="s">
        <v>165</v>
      </c>
      <c r="B3">
        <f>COUNTIF(semantics_nouns!J:J,Classes_count!A3)</f>
        <v>71</v>
      </c>
    </row>
    <row r="4" spans="1:2" x14ac:dyDescent="0.45">
      <c r="A4" t="s">
        <v>19</v>
      </c>
      <c r="B4">
        <f>COUNTIF(semantics_nouns!J:J,Classes_count!A4)</f>
        <v>5</v>
      </c>
    </row>
    <row r="5" spans="1:2" x14ac:dyDescent="0.45">
      <c r="A5" t="s">
        <v>446</v>
      </c>
      <c r="B5">
        <f>COUNTIF(semantics_nouns!J:J,Classes_count!A5)</f>
        <v>6</v>
      </c>
    </row>
    <row r="6" spans="1:2" x14ac:dyDescent="0.45">
      <c r="A6" t="s">
        <v>11</v>
      </c>
      <c r="B6">
        <f>COUNTIF(semantics_nouns!J:J,Classes_count!A6)</f>
        <v>35</v>
      </c>
    </row>
    <row r="7" spans="1:2" x14ac:dyDescent="0.45">
      <c r="A7" t="s">
        <v>442</v>
      </c>
      <c r="B7">
        <f>COUNTIF(semantics_nouns!J:J,Classes_count!A7)</f>
        <v>3</v>
      </c>
    </row>
    <row r="8" spans="1:2" x14ac:dyDescent="0.45">
      <c r="A8" t="s">
        <v>447</v>
      </c>
      <c r="B8">
        <f>COUNTIF(semantics_nouns!J:J,Classes_count!A8)</f>
        <v>13</v>
      </c>
    </row>
    <row r="9" spans="1:2" x14ac:dyDescent="0.45">
      <c r="A9" t="s">
        <v>529</v>
      </c>
      <c r="B9">
        <f>COUNTIF(semantics_nouns!J:J,Classes_count!A9)</f>
        <v>4</v>
      </c>
    </row>
    <row r="10" spans="1:2" x14ac:dyDescent="0.45">
      <c r="A10" t="s">
        <v>448</v>
      </c>
      <c r="B10">
        <f>COUNTIF(semantics_nouns!J:J,Classes_count!A10)</f>
        <v>4</v>
      </c>
    </row>
    <row r="11" spans="1:2" x14ac:dyDescent="0.45">
      <c r="A11" t="s">
        <v>331</v>
      </c>
      <c r="B11">
        <f>COUNTIF(semantics_nouns!J:J,Classes_count!A11)</f>
        <v>5</v>
      </c>
    </row>
    <row r="12" spans="1:2" x14ac:dyDescent="0.45">
      <c r="A12" t="s">
        <v>14</v>
      </c>
      <c r="B12">
        <f>COUNTIF(semantics_nouns!J:J,Classes_count!A12)</f>
        <v>22</v>
      </c>
    </row>
    <row r="13" spans="1:2" x14ac:dyDescent="0.45">
      <c r="A13" t="s">
        <v>335</v>
      </c>
      <c r="B13">
        <f>COUNTIF(semantics_nouns!J:J,Classes_count!A13)</f>
        <v>13</v>
      </c>
    </row>
    <row r="14" spans="1:2" x14ac:dyDescent="0.45">
      <c r="A14" t="s">
        <v>654</v>
      </c>
      <c r="B14">
        <f>COUNTIF(semantics_nouns!J:J,Classes_count!A14)</f>
        <v>5</v>
      </c>
    </row>
    <row r="15" spans="1:2" x14ac:dyDescent="0.45">
      <c r="A15" t="s">
        <v>334</v>
      </c>
      <c r="B15">
        <f>COUNTIF(semantics_nouns!J:J,Classes_count!A15)</f>
        <v>29</v>
      </c>
    </row>
    <row r="16" spans="1:2" x14ac:dyDescent="0.45">
      <c r="A16" t="s">
        <v>426</v>
      </c>
      <c r="B16">
        <f>COUNTIF(semantics_nouns!J:J,Classes_count!A16)</f>
        <v>15</v>
      </c>
    </row>
    <row r="17" spans="1:2" x14ac:dyDescent="0.45">
      <c r="A17" t="s">
        <v>7</v>
      </c>
      <c r="B17">
        <f>COUNTIF(semantics_nouns!J:J,Classes_count!A17)</f>
        <v>25</v>
      </c>
    </row>
    <row r="18" spans="1:2" x14ac:dyDescent="0.45">
      <c r="A18" t="s">
        <v>620</v>
      </c>
      <c r="B18">
        <f>COUNTIF(semantics_nouns!J:J,Classes_count!A18)</f>
        <v>34</v>
      </c>
    </row>
    <row r="19" spans="1:2" x14ac:dyDescent="0.45">
      <c r="A19" t="s">
        <v>89</v>
      </c>
      <c r="B19">
        <f>COUNTIF(semantics_nouns!J:J,Classes_count!A19)</f>
        <v>11</v>
      </c>
    </row>
    <row r="20" spans="1:2" x14ac:dyDescent="0.45">
      <c r="A20" t="s">
        <v>333</v>
      </c>
      <c r="B20">
        <f>COUNTIF(semantics_nouns!J:J,Classes_count!A20)</f>
        <v>15</v>
      </c>
    </row>
    <row r="21" spans="1:2" x14ac:dyDescent="0.45">
      <c r="A21" t="s">
        <v>938</v>
      </c>
      <c r="B21">
        <f>COUNTIF(semantics_nouns!J:J,Classes_count!A21)</f>
        <v>2</v>
      </c>
    </row>
    <row r="22" spans="1:2" x14ac:dyDescent="0.45">
      <c r="A22" t="s">
        <v>15</v>
      </c>
      <c r="B22">
        <f>COUNTIF(semantics_nouns!J:J,Classes_count!A22)</f>
        <v>4</v>
      </c>
    </row>
    <row r="23" spans="1:2" x14ac:dyDescent="0.45">
      <c r="A23" t="s">
        <v>332</v>
      </c>
      <c r="B23">
        <f>COUNTIF(semantics_nouns!J:J,Classes_count!A23)</f>
        <v>16</v>
      </c>
    </row>
    <row r="24" spans="1:2" x14ac:dyDescent="0.45">
      <c r="A24" t="s">
        <v>561</v>
      </c>
      <c r="B24">
        <f>COUNTIF(semantics_nouns!J:J,Classes_count!A24)</f>
        <v>9</v>
      </c>
    </row>
    <row r="25" spans="1:2" x14ac:dyDescent="0.45">
      <c r="A25" t="s">
        <v>464</v>
      </c>
      <c r="B25">
        <f>COUNTIF(semantics_nouns!J:J,Classes_count!A25)</f>
        <v>3</v>
      </c>
    </row>
    <row r="26" spans="1:2" x14ac:dyDescent="0.45">
      <c r="A26" t="s">
        <v>450</v>
      </c>
      <c r="B26">
        <f>COUNTIF(semantics_nouns!J:J,Classes_count!A26)</f>
        <v>3</v>
      </c>
    </row>
  </sheetData>
  <autoFilter ref="A1:B26" xr:uid="{D95233C1-7AA0-4C7B-8661-1EFF1F5128C8}">
    <sortState xmlns:xlrd2="http://schemas.microsoft.com/office/spreadsheetml/2017/richdata2" ref="A2:B26">
      <sortCondition ref="A1:A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semantics_nouns</vt:lpstr>
      <vt:lpstr>to add</vt:lpstr>
      <vt:lpstr>Allowed_classes</vt:lpstr>
      <vt:lpstr>Classes_count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2025-09-14T03:42:57Z</dcterms:created>
  <dcterms:modified xsi:type="dcterms:W3CDTF">2026-04-04T08:46:46Z</dcterms:modified>
</cp:coreProperties>
</file>